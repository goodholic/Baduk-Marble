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게임 개요" sheetId="1" state="visible" r:id="rId1"/>
    <sheet name="마스터 목차" sheetId="2" state="visible" r:id="rId2"/>
    <sheet name="클래스 &amp; 전직" sheetId="3" state="visible" r:id="rId3"/>
    <sheet name="스킬" sheetId="4" state="visible" r:id="rId4"/>
    <sheet name="몬스터" sheetId="5" state="visible" r:id="rId5"/>
    <sheet name="맵 &amp; 지역" sheetId="6" state="visible" r:id="rId6"/>
    <sheet name="장비 &amp; 강화" sheetId="7" state="visible" r:id="rId7"/>
    <sheet name="제작" sheetId="8" state="visible" r:id="rId8"/>
    <sheet name="교역" sheetId="9" state="visible" r:id="rId9"/>
    <sheet name="펫 &amp; 탈것" sheetId="10" state="visible" r:id="rId10"/>
    <sheet name="버프 &amp; 변신" sheetId="11" state="visible" r:id="rId11"/>
    <sheet name="PvP &amp; 카르마" sheetId="12" state="visible" r:id="rId12"/>
    <sheet name="퀘스트" sheetId="13" state="visible" r:id="rId13"/>
    <sheet name="상점 &amp; 결제" sheetId="14" state="visible" r:id="rId14"/>
    <sheet name="칭호" sheetId="15" state="visible" r:id="rId15"/>
    <sheet name="(v2) 용병 시스템" sheetId="16" state="visible" r:id="rId16"/>
    <sheet name="게임 수치" sheetId="17" state="visible" r:id="rId17"/>
    <sheet name="출석 캘린더" sheetId="18" state="visible" r:id="rId18"/>
    <sheet name="장비 세트" sheetId="19" state="visible" r:id="rId19"/>
    <sheet name="장비 등급" sheetId="20" state="visible" r:id="rId20"/>
    <sheet name="디버프 v1.7+" sheetId="21" state="visible" r:id="rId21"/>
    <sheet name="던전" sheetId="22" state="visible" r:id="rId22"/>
    <sheet name="농장" sheetId="23" state="visible" r:id="rId23"/>
    <sheet name="특성 트리" sheetId="24" state="visible" r:id="rId24"/>
    <sheet name="우편함" sheetId="25" state="visible" r:id="rId25"/>
    <sheet name="도감" sheetId="26" state="visible" r:id="rId26"/>
    <sheet name="일일 상점" sheetId="27" state="visible" r:id="rId27"/>
    <sheet name="경매장" sheetId="28" state="visible" r:id="rId28"/>
    <sheet name="낚시" sheetId="29" state="visible" r:id="rId29"/>
    <sheet name="보스 러시" sheetId="30" state="visible" r:id="rId30"/>
    <sheet name="행운의 룰렛" sheetId="31" state="visible" r:id="rId31"/>
    <sheet name="축제 이벤트" sheetId="32" state="visible" r:id="rId32"/>
    <sheet name="시즌 패스" sheetId="33" state="visible" r:id="rId33"/>
    <sheet name="무료 다이아" sheetId="34" state="visible" r:id="rId34"/>
    <sheet name="길드 (혈맹)" sheetId="35" state="visible" r:id="rId35"/>
    <sheet name="NPC" sheetId="36" state="visible" r:id="rId36"/>
    <sheet name="월드 보스" sheetId="37" state="visible" r:id="rId37"/>
    <sheet name="연금술" sheetId="38" state="visible" r:id="rId38"/>
    <sheet name="패치 노트" sheetId="39" state="visible" r:id="rId39"/>
    <sheet name="v1.9 ~ v2.18" sheetId="40" state="visible" r:id="rId40"/>
    <sheet name="메인 스토리 퀘스트" sheetId="41" state="visible" r:id="rId41"/>
    <sheet name="퀘스트 길잡이" sheetId="42" state="visible" r:id="rId42"/>
    <sheet name="숨겨진 &amp; 분기 퀘스트" sheetId="43" state="visible" r:id="rId43"/>
    <sheet name="카지노 상세" sheetId="44" state="visible" r:id="rId44"/>
    <sheet name="요리 상세" sheetId="45" state="visible" r:id="rId45"/>
    <sheet name="별자리 상세" sheetId="46" state="visible" r:id="rId46"/>
    <sheet name="훈련 상세" sheetId="47" state="visible" r:id="rId47"/>
    <sheet name="룬 &amp; 룬워드 상세" sheetId="48" state="visible" r:id="rId48"/>
    <sheet name="유물 상세" sheetId="49" state="visible" r:id="rId49"/>
    <sheet name="정원 상세" sheetId="50" state="visible" r:id="rId50"/>
    <sheet name="타로 상세" sheetId="51" state="visible" r:id="rId51"/>
    <sheet name="원정 상세" sheetId="52" state="visible" r:id="rId52"/>
    <sheet name="보물 지도 상세" sheetId="53" state="visible" r:id="rId53"/>
    <sheet name="펫 교배 상세" sheetId="54" state="visible" r:id="rId54"/>
    <sheet name="명상 상세" sheetId="55" state="visible" r:id="rId55"/>
    <sheet name="암시장 상세" sheetId="56" state="visible" r:id="rId56"/>
    <sheet name="존 미니보스 &amp; 위험" sheetId="57" state="visible" r:id="rId57"/>
    <sheet name="환생 상세" sheetId="58" state="visible" r:id="rId58"/>
    <sheet name="낚시 상세" sheetId="59" state="visible" r:id="rId59"/>
    <sheet name="혈맹 레이드 상세" sheetId="60" state="visible" r:id="rId60"/>
    <sheet name="무한의 탑 상세" sheetId="61" state="visible" r:id="rId61"/>
    <sheet name="차원 균열 상세" sheetId="62" state="visible" r:id="rId62"/>
    <sheet name="보스 소환 시스템" sheetId="63" state="visible" r:id="rId63"/>
    <sheet name="날씨 던전 시스템" sheetId="64" state="visible" r:id="rId64"/>
    <sheet name="PvP 매칭 시스템" sheetId="65" state="visible" r:id="rId65"/>
    <sheet name="사냥꾼 시스템" sheetId="66" state="visible" r:id="rId66"/>
    <sheet name="종족 시스템" sheetId="67" state="visible" r:id="rId67"/>
    <sheet name="유물 조합 시스템" sheetId="68" state="visible" r:id="rId68"/>
    <sheet name="스킬 웨이브 시스템" sheetId="69" state="visible" r:id="rId69"/>
    <sheet name="도전 과제 100" sheetId="70" state="visible" r:id="rId70"/>
    <sheet name="슈퍼 보스" sheetId="71" state="visible" r:id="rId71"/>
    <sheet name="전장 점령" sheetId="72" state="visible" r:id="rId72"/>
    <sheet name="소원 나무" sheetId="73" state="visible" r:id="rId73"/>
    <sheet name="영혼 시스템" sheetId="74" state="visible" r:id="rId74"/>
    <sheet name="시간 여행 던전" sheetId="75" state="visible" r:id="rId75"/>
    <sheet name="신화 소환수" sheetId="76" state="visible" r:id="rId76"/>
    <sheet name="고대 유적 탐험" sheetId="77" state="visible" r:id="rId77"/>
    <sheet name="세계 보스 연대기" sheetId="78" state="visible" r:id="rId78"/>
    <sheet name="마법 연구소" sheetId="79" state="visible" r:id="rId79"/>
    <sheet name="달빛 성역" sheetId="80" state="visible" r:id="rId80"/>
    <sheet name="무기 영혼 각성" sheetId="81" state="visible" r:id="rId81"/>
    <sheet name="부유 요새" sheetId="82" state="visible" r:id="rId82"/>
    <sheet name="영체 이탈" sheetId="83" state="visible" r:id="rId83"/>
    <sheet name="저주받은 던전" sheetId="84" state="visible" r:id="rId84"/>
    <sheet name="운명의 결투" sheetId="85" state="visible" r:id="rId85"/>
    <sheet name="영혼 대장간" sheetId="86" state="visible" r:id="rId86"/>
    <sheet name="환영 투기장" sheetId="87" state="visible" r:id="rId87"/>
    <sheet name="꿈의 건축가" sheetId="88" state="visible" r:id="rId88"/>
    <sheet name="별자리 전쟁" sheetId="89" state="visible" r:id="rId89"/>
    <sheet name="금서의 도서관" sheetId="90" state="visible" r:id="rId90"/>
    <sheet name="거수 합체" sheetId="91" state="visible" r:id="rId91"/>
    <sheet name="상인 캐러밴" sheetId="92" state="visible" r:id="rId92"/>
    <sheet name="기억 궁전" sheetId="93" state="visible" r:id="rId93"/>
    <sheet name="마왕의 옥좌" sheetId="94" state="visible" r:id="rId94"/>
    <sheet name="천상 대장간" sheetId="95" state="visible" r:id="rId95"/>
    <sheet name="살아있는 마도서" sheetId="96" state="visible" r:id="rId96"/>
    <sheet name="세계의 씨앗" sheetId="97" state="visible" r:id="rId97"/>
    <sheet name="운명의 직공" sheetId="98" state="visible" r:id="rId98"/>
    <sheet name="드래곤 라이딩" sheetId="99" state="visible" r:id="rId99"/>
    <sheet name="드래곤 성장 &amp; 스킬" sheetId="100" state="visible" r:id="rId100"/>
    <sheet name="드래곤 레이드" sheetId="101" state="visible" r:id="rId101"/>
    <sheet name="v2.37~v2.57 패치노트" sheetId="102" state="visible" r:id="rId102"/>
    <sheet name="시스템 시너지" sheetId="103" state="visible" r:id="rId103"/>
    <sheet name="기술 아키텍처" sheetId="104" state="visible" r:id="rId104"/>
    <sheet name="판타지 이펙트" sheetId="105" state="visible" r:id="rId105"/>
    <sheet name="배틀로얄" sheetId="106" state="visible" r:id="rId106"/>
    <sheet name="NPC 대화 시스템" sheetId="107" state="visible" r:id="rId107"/>
    <sheet name="전투 강화" sheetId="108" state="visible" r:id="rId108"/>
    <sheet name="심층 던전" sheetId="109" state="visible" r:id="rId109"/>
    <sheet name="메인 스토리" sheetId="110" state="visible" r:id="rId110"/>
    <sheet name="월드 레이드" sheetId="111" state="visible" r:id="rId111"/>
    <sheet name="시즌 이벤트" sheetId="112" state="visible" r:id="rId112"/>
    <sheet name="하우징 &amp; 요새" sheetId="113" state="visible" r:id="rId113"/>
    <sheet name="드래곤 레이스" sheetId="114" state="visible" r:id="rId114"/>
    <sheet name="업적 &amp; 전설변신" sheetId="115" state="visible" r:id="rId115"/>
    <sheet name="에셋 목록 (334개)" sheetId="116" state="visible" r:id="rId116"/>
    <sheet name="미니게임" sheetId="117" state="visible" r:id="rId117"/>
    <sheet name="v2.59 신규" sheetId="118" state="visible" r:id="rId118"/>
    <sheet name="오토배틀 서바이벌 IO" sheetId="119" state="visible" r:id="rId119"/>
    <sheet name="IO-RPG 코어" sheetId="120" state="visible" r:id="rId120"/>
    <sheet name="v3.0 게임 구조" sheetId="121" state="visible" r:id="rId121"/>
    <sheet name="성(Castle) 시스템" sheetId="122" state="visible" r:id="rId122"/>
    <sheet name="성 시설" sheetId="123" state="visible" r:id="rId123"/>
    <sheet name="용병 시스템" sheetId="124" state="visible" r:id="rId124"/>
    <sheet name="(v3.0) 무역 간략" sheetId="125" state="visible" r:id="rId125"/>
    <sheet name="(v3.0) 공성 간략" sheetId="126" state="visible" r:id="rId126"/>
    <sheet name="(v3.0) 포획 간략" sheetId="127" state="visible" r:id="rId127"/>
    <sheet name="PK 시스템" sheetId="128" state="visible" r:id="rId128"/>
    <sheet name="용병 육성 상세" sheetId="129" state="visible" r:id="rId129"/>
    <sheet name="SLG 뷰 진급 진화" sheetId="130" state="visible" r:id="rId130"/>
    <sheet name="공성전 배치 상세" sheetId="131" state="visible" r:id="rId131"/>
    <sheet name="공성전 IO 전투" sheetId="132" state="visible" r:id="rId132"/>
    <sheet name="전체 이벤트 목록" sheetId="133" state="visible" r:id="rId133"/>
    <sheet name="전체 무역 루트" sheetId="134" state="visible" r:id="rId134"/>
    <sheet name="(v3.0) 무역 구현" sheetId="135" state="visible" r:id="rId135"/>
    <sheet name="전체 용병 목록 v3" sheetId="136" state="visible" r:id="rId136"/>
    <sheet name="진화 트리 다이어그램" sheetId="137" state="visible" r:id="rId137"/>
    <sheet name="용병 각성 &amp; 초월" sheetId="138" state="visible" r:id="rId138"/>
    <sheet name="용병 시너지" sheetId="139" state="visible" r:id="rId139"/>
    <sheet name="무역 습격 &amp; 호위" sheetId="140" state="visible" r:id="rId140"/>
    <sheet name="몬스터 포획 확장" sheetId="141" state="visible" r:id="rId141"/>
    <sheet name="혈맹 대전" sheetId="142" state="visible" r:id="rId142"/>
    <sheet name="용병 인연 &amp; 스토리" sheetId="143" state="visible" r:id="rId143"/>
    <sheet name="비밀 합성 레시피" sheetId="144" state="visible" r:id="rId144"/>
    <sheet name="용병 원정대" sheetId="145" state="visible" r:id="rId145"/>
    <sheet name="SLG 시즌 이벤트" sheetId="146" state="visible" r:id="rId146"/>
    <sheet name="공성전 고급 전략" sheetId="147" state="visible" r:id="rId147"/>
    <sheet name="신규 용병 v3.1" sheetId="148" state="visible" r:id="rId148"/>
    <sheet name="v3.1 변경이력" sheetId="149" state="visible" r:id="rId149"/>
    <sheet name="SLG 월드맵 &amp; 영토" sheetId="150" state="visible" r:id="rId150"/>
    <sheet name="용병 AI 전술" sheetId="151" state="visible" r:id="rId151"/>
    <sheet name="IO 특수 매치 모드" sheetId="152" state="visible" r:id="rId152"/>
    <sheet name="경매장 &amp; 경제" sheetId="153" state="visible" r:id="rId153"/>
    <sheet name="외교 &amp; 동맹" sheetId="154" state="visible" r:id="rId154"/>
    <sheet name="용병 전용 장비" sheetId="155" state="visible" r:id="rId155"/>
    <sheet name="포획 몬스터 진화 트리" sheetId="156" state="visible" r:id="rId156"/>
    <sheet name="IO↔SLG 보상 순환" sheetId="157" state="visible" r:id="rId157"/>
    <sheet name="공성전 맵 에디터" sheetId="158" state="visible" r:id="rId158"/>
    <sheet name="현상금 사냥꾼" sheetId="159" state="visible" r:id="rId159"/>
    <sheet name="진영 전쟁" sheetId="160" state="visible" r:id="rId160"/>
    <sheet name="용병 소환 가챠" sheetId="161" state="visible" r:id="rId161"/>
    <sheet name="v3.2 변경이력" sheetId="162" state="visible" r:id="rId162"/>
    <sheet name="SLG 메인 화면" sheetId="163" state="visible" r:id="rId163"/>
    <sheet name="일일 주간 루틴" sheetId="164" state="visible" r:id="rId164"/>
    <sheet name="배틀패스" sheetId="165" state="visible" r:id="rId165"/>
    <sheet name="용병 스토리 퀘스트" sheetId="166" state="visible" r:id="rId166"/>
    <sheet name="IO 보스 패턴" sheetId="167" state="visible" r:id="rId167"/>
    <sheet name="심연의 탑" sheetId="168" state="visible" r:id="rId168"/>
    <sheet name="무역 동적 경제" sheetId="169" state="visible" r:id="rId169"/>
    <sheet name="혈맹 레이드 보스" sheetId="170" state="visible" r:id="rId170"/>
    <sheet name="PvP 아레나 시즌" sheetId="171" state="visible" r:id="rId171"/>
    <sheet name="용병 스킨 &amp; 코스튬" sheetId="172" state="visible" r:id="rId172"/>
    <sheet name="��보자 튜토리얼" sheetId="173" state="visible" r:id="rId173"/>
    <sheet name="서버 주간 시간표" sheetId="174" state="visible" r:id="rId174"/>
    <sheet name="v3.3 변경이력" sheetId="175" state="visible" r:id="rId175"/>
    <sheet name="세계관 &amp; 로어" sheetId="176" state="visible" r:id="rId176"/>
    <sheet name="비밀 지역 &amp; 히든" sheetId="177" state="visible" r:id="rId177"/>
    <sheet name="월드 이벤트 체인" sheetId="178" state="visible" r:id="rId178"/>
    <sheet name="용병 특성 유전" sheetId="179" state="visible" r:id="rId179"/>
    <sheet name="커스텀 IO 매치" sheetId="180" state="visible" r:id="rId180"/>
    <sheet name="마법 연구 트리" sheetId="181" state="visible" r:id="rId181"/>
    <sheet name="IO 환경 변수" sheetId="182" state="visible" r:id="rId182"/>
    <sheet name="서버 연대기" sheetId="183" state="visible" r:id="rId183"/>
    <sheet name="차원 정복" sheetId="184" state="visible" r:id="rId184"/>
    <sheet name="업적 대전과" sheetId="185" state="visible" r:id="rId185"/>
    <sheet name="용병 대사 시스템" sheetId="186" state="visible" r:id="rId186"/>
    <sheet name="밸런스 수치표" sheetId="187" state="visible" r:id="rId187"/>
    <sheet name="v3.4 변경이력" sheetId="188" state="visible" r:id="rId188"/>
    <sheet name="IO 무기 진화 조합" sheetId="189" state="visible" r:id="rId189"/>
    <sheet name="용병 합체 궁극기" sheetId="190" state="visible" r:id="rId190"/>
    <sheet name="SLG 생활 콘텐츠" sheetId="191" state="visible" r:id="rId191"/>
    <sheet name="서버 간 대전" sheetId="192" state="visible" r:id="rId192"/>
    <sheet name="공성전 토너먼트" sheetId="193" state="visible" r:id="rId193"/>
    <sheet name="IO 변신 시스템" sheetId="194" state="visible" r:id="rId194"/>
    <sheet name="무역 카라반 실시간" sheetId="195" state="visible" r:id="rId195"/>
    <sheet name="NPC 호감도" sheetId="196" state="visible" r:id="rId196"/>
    <sheet name="하우징 인테리어" sheetId="197" state="visible" r:id="rId197"/>
    <sheet name="수익화 모델" sheetId="198" state="visible" r:id="rId198"/>
    <sheet name="개발 로드맵" sheetId="199" state="visible" r:id="rId199"/>
    <sheet name="용병 토너먼트 상세" sheetId="200" state="visible" r:id="rId200"/>
    <sheet name="전체 시스템 요약" sheetId="201" state="visible" r:id="rId201"/>
    <sheet name="용병 상세 - 일반&amp;고급" sheetId="202" state="visible" r:id="rId202"/>
    <sheet name="용병 상세 - 희귀" sheetId="203" state="visible" r:id="rId203"/>
    <sheet name="용병 상세 - 영웅" sheetId="204" state="visible" r:id="rId204"/>
    <sheet name="용병 상세 - 전설~초신화" sheetId="205" state="visible" r:id="rId205"/>
    <sheet name="IO 웨이브 40종 상세" sheetId="206" state="visible" r:id="rId206"/>
    <sheet name="요리 레시피 50종" sheetId="207" state="visible" r:id="rId207"/>
    <sheet name="NPC 상세 7명" sheetId="208" state="visible" r:id="rId208"/>
    <sheet name="메인 스토리 12에피소드" sheetId="209" state="visible" r:id="rId209"/>
    <sheet name="지역별 로어 12지역" sheetId="210" state="visible" r:id="rId210"/>
    <sheet name="장비 제작 레시피 상세" sheetId="211" state="visible" r:id="rId211"/>
    <sheet name="용병 대사 전문 60종" sheetId="212" state="visible" r:id="rId212"/>
    <sheet name="포획 몬스터 상세 15종" sheetId="213" state="visible" r:id="rId213"/>
    <sheet name="업적 전체 목록 100선" sheetId="214" state="visible" r:id="rId214"/>
    <sheet name="SLG 미니게임 5종" sheetId="215" state="visible" r:id="rId215"/>
    <sheet name="골드 이코노미 밸런스" sheetId="216" state="visible" r:id="rId216"/>
    <sheet name="신규 유저 7일 가이드" sheetId="217" state="visible" r:id="rId217"/>
    <sheet name="PvP 아레나 매치 상세" sheetId="218" state="visible" r:id="rId218"/>
    <sheet name="심연의 탑 층별 상세" sheetId="219" state="visible" r:id="rId219"/>
    <sheet name="차원 정복 상세" sheetId="220" state="visible" r:id="rId220"/>
    <sheet name="공성전 맵 디자인 10종" sheetId="221" state="visible" r:id="rId221"/>
    <sheet name="무역 동적 이벤트 20종" sheetId="222" state="visible" r:id="rId222"/>
    <sheet name="혈맹 스토리 &amp; 활동 30종" sheetId="223" state="visible" r:id="rId223"/>
    <sheet name="진화 합성 전체 경로도" sheetId="224" state="visible" r:id="rId224"/>
    <sheet name="용병 소환 확률 상세표" sheetId="225" state="visible" r:id="rId225"/>
    <sheet name="용병 특성 조합 추천" sheetId="226" state="visible" r:id="rId226"/>
    <sheet name="용병 시너지 조합 가이드 20선" sheetId="227" state="visible" r:id="rId227"/>
    <sheet name="무역 루트 최적 전략 가이드" sheetId="228" state="visible" r:id="rId228"/>
    <sheet name="IO 무기 조합 빌드 가이드 15선" sheetId="229" state="visible" r:id="rId229"/>
    <sheet name="용병 60종 레벨별 스탯표" sheetId="230" state="visible" r:id="rId230"/>
    <sheet name="IO 매치 타임라인" sheetId="231" state="visible" r:id="rId231"/>
    <sheet name="몬스터 드롭표 전체" sheetId="232" state="visible" r:id="rId232"/>
    <sheet name="소켓 이벤트 API 명세서" sheetId="233" state="visible" r:id="rId233"/>
    <sheet name="용병 각성별 스탯 &amp; 장비 가이드" sheetId="234" state="visible" r:id="rId234"/>
    <sheet name="성 방어 배치 전략 10종" sheetId="235" state="visible" r:id="rId235"/>
    <sheet name="월드 이벤트 시나리오 상세" sheetId="236" state="visible" r:id="rId236"/>
    <sheet name="1년 시즌 로드맵" sheetId="237" state="visible" r:id="rId237"/>
    <sheet name="서버 간 대전 상세 시나리오" sheetId="238" state="visible" r:id="rId238"/>
    <sheet name="포획 유대도 &amp; 합체 변신" sheetId="239" state="visible" r:id="rId239"/>
    <sheet name="전체 칭호 목록 50종" sheetId="240" state="visible" r:id="rId240"/>
    <sheet name="일일 퀘스트 &amp; 미션 보드" sheetId="241" state="visible" r:id="rId241"/>
    <sheet name="진화 재료 획득처 총정리" sheetId="242" state="visible" r:id="rId242"/>
    <sheet name="공성전 공격 전략 가이드" sheetId="243" state="visible" r:id="rId243"/>
    <sheet name="낚시 도감 30종" sheetId="244" state="visible" r:id="rId244"/>
    <sheet name="경매장 거래 가이드" sheetId="245" state="visible" r:id="rId245"/>
    <sheet name="외교 시나리오 &amp; 정치 전략" sheetId="246" state="visible" r:id="rId246"/>
    <sheet name="펫 시스템 상세 10종" sheetId="247" state="visible" r:id="rId247"/>
    <sheet name="환생 &amp; 전생 시스템" sheetId="248" state="visible" r:id="rId248"/>
    <sheet name="음악 &amp; 사운드 기획" sheetId="249" state="visible" r:id="rId249"/>
    <sheet name="정원 &amp; 재배 시스템 20종" sheetId="250" state="visible" r:id="rId250"/>
    <sheet name="하우징 가구 &amp; 장식 50종" sheetId="251" state="visible" r:id="rId251"/>
    <sheet name="최종 마스터 통계" sheetId="252" state="visible" r:id="rId252"/>
    <sheet name="용병 전용 궁극기 상세" sheetId="253" state="visible" r:id="rId253"/>
    <sheet name="서버 경제 시뮬레이션" sheetId="254" state="visible" r:id="rId254"/>
    <sheet name="플레이어 유형별 가이드" sheetId="255" state="visible" r:id="rId255"/>
    <sheet name="이스터에그 &amp; 숨겨진 요소" sheetId="256" state="visible" r:id="rId256"/>
    <sheet name="공성전 실시간 중계" sheetId="257" state="visible" r:id="rId257"/>
    <sheet name="용병 관계도 &amp; 세력도" sheetId="258" state="visible" r:id="rId258"/>
    <sheet name="로그라이크 던전 상세" sheetId="259" state="visible" r:id="rId259"/>
    <sheet name="용병 코스튬 전체 목록" sheetId="260" state="visible" r:id="rId260"/>
    <sheet name="서버 운영 체크리스트" sheetId="261" state="visible" r:id="rId261"/>
    <sheet name="용병 대회 토너먼트 브래킷" sheetId="262" state="visible" r:id="rId262"/>
    <sheet name="무역 상인 NPC 상세" sheetId="263" state="visible" r:id="rId263"/>
    <sheet name="IO 클래스별 최적 빌드" sheetId="264" state="visible" r:id="rId264"/>
    <sheet name="날씨 &amp; 시간대 효과 상세" sheetId="265" state="visible" r:id="rId265"/>
    <sheet name="혈맹 스킬 트리 20종" sheetId="266" state="visible" r:id="rId266"/>
    <sheet name="상태이상 &amp; 버프 전체 목록" sheetId="267" state="visible" r:id="rId267"/>
    <sheet name="전체 화폐 &amp; 재화 목록" sheetId="268" state="visible" r:id="rId268"/>
    <sheet name="보스 공략 가이드 10종" sheetId="269" state="visible" r:id="rId269"/>
    <sheet name="마스터 목차 v2" sheetId="270" state="visible" r:id="rId270"/>
    <sheet name="전장 배치 시뮬레이터" sheetId="271" state="visible" r:id="rId271"/>
    <sheet name="채팅 &amp; 이모티콘 시스템" sheetId="272" state="visible" r:id="rId272"/>
    <sheet name="FAQ 자주하는 질문" sheetId="273" state="visible" r:id="rId273"/>
    <sheet name="용병 조합 퍼즐 &amp; 히든" sheetId="274" state="visible" r:id="rId274"/>
    <sheet name="서버 랭킹 시스템 상세" sheetId="275" state="visible" r:id="rId275"/>
    <sheet name="튜토리얼 NPC 대사" sheetId="276" state="visible" r:id="rId276"/>
    <sheet name="용병 성장 로드맵" sheetId="277" state="visible" r:id="rId277"/>
    <sheet name="PK &amp; 카르마 상세" sheetId="278" state="visible" r:id="rId278"/>
    <sheet name="전체 UI 화면 목록" sheetId="279" state="visible" r:id="rId279"/>
    <sheet name="용병 음성 연출 &amp; 컷씬" sheetId="280" state="visible" r:id="rId280"/>
    <sheet name="전체 SFX 목록 50종" sheetId="281" state="visible" r:id="rId281"/>
    <sheet name="경쟁작 분석 &amp; 차별점" sheetId="282" state="visible" r:id="rId282"/>
    <sheet name="용병 합성 시뮬레이터" sheetId="283" state="visible" r:id="rId283"/>
    <sheet name="진영별 전략 &amp; 메타" sheetId="284" state="visible" r:id="rId284"/>
    <sheet name="서버 이벤트 달력 1개월" sheetId="285" state="visible" r:id="rId285"/>
    <sheet name="용병 대회 주간 일정" sheetId="286" state="visible" r:id="rId286"/>
    <sheet name="포획 몬스터 배틀" sheetId="287" state="visible" r:id="rId287"/>
    <sheet name="전체 단축키 &amp; 조작" sheetId="288" state="visible" r:id="rId288"/>
    <sheet name="용병 도감 완성 보상" sheetId="289" state="visible" r:id="rId289"/>
    <sheet name="공성전 시즌 점수표" sheetId="290" state="visible" r:id="rId290"/>
    <sheet name="최종 게임 플로우" sheetId="291" state="visible" r:id="rId291"/>
    <sheet name="진영 전쟁 상세 규칙" sheetId="292" state="visible" r:id="rId292"/>
    <sheet name="마을별 상점 목록" sheetId="293" state="visible" r:id="rId293"/>
    <sheet name="퀘스트 NPC 연결도" sheetId="294" state="visible" r:id="rId29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맑은 고딕"/>
      <b val="1"/>
      <sz val="11"/>
    </font>
    <font>
      <name val="맑은 고딕"/>
      <b val="1"/>
      <color rgb="00FFD700"/>
      <sz val="16"/>
    </font>
    <font>
      <name val="맑은 고딕"/>
      <sz val="10"/>
    </font>
    <font>
      <name val="맑은 고딕"/>
      <b val="1"/>
      <color rgb="00FFFFFF"/>
      <sz val="10"/>
    </font>
    <font>
      <name val="맑은 고딕"/>
      <b val="1"/>
      <color rgb="00FFFFFF"/>
      <sz val="14"/>
    </font>
    <font>
      <name val="맑은 고딕"/>
      <b val="1"/>
      <color rgb="00FFD700"/>
      <sz val="12"/>
    </font>
    <font>
      <name val="맑은 고딕"/>
      <b val="1"/>
      <color rgb="00FF4444"/>
      <sz val="10"/>
    </font>
    <font>
      <name val="맑은 고딕"/>
      <b val="1"/>
      <color rgb="00FFD700"/>
      <sz val="10"/>
    </font>
  </fonts>
  <fills count="6">
    <fill>
      <patternFill/>
    </fill>
    <fill>
      <patternFill patternType="gray125"/>
    </fill>
    <fill>
      <patternFill patternType="solid">
        <fgColor rgb="002d2d5e"/>
        <bgColor rgb="002d2d5e"/>
      </patternFill>
    </fill>
    <fill>
      <patternFill patternType="solid">
        <fgColor rgb="001a1a2e"/>
        <bgColor rgb="001a1a2e"/>
      </patternFill>
    </fill>
    <fill>
      <patternFill patternType="solid">
        <fgColor rgb="00f0f0f8"/>
        <bgColor rgb="00f0f0f8"/>
      </patternFill>
    </fill>
    <fill>
      <patternFill patternType="solid">
        <fgColor rgb="003d3d7e"/>
        <bgColor rgb="003d3d7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2" fillId="0" borderId="1" pivotButton="0" quotePrefix="0" xfId="0"/>
    <xf numFmtId="0" fontId="1" fillId="0" borderId="1" pivotButton="0" quotePrefix="0" xfId="0"/>
    <xf numFmtId="0" fontId="3" fillId="0" borderId="1" pivotButton="0" quotePrefix="0" xfId="0"/>
    <xf numFmtId="0" fontId="8" fillId="0" borderId="1" pivotButton="0" quotePrefix="0" xfId="0"/>
    <xf numFmtId="0" fontId="4" fillId="2" borderId="1" pivotButton="0" quotePrefix="0" xfId="0"/>
    <xf numFmtId="0" fontId="5" fillId="3" borderId="0" applyAlignment="1" pivotButton="0" quotePrefix="0" xfId="0">
      <alignment horizontal="center"/>
    </xf>
    <xf numFmtId="0" fontId="4" fillId="2" borderId="1" applyAlignment="1" pivotButton="0" quotePrefix="0" xfId="0">
      <alignment horizontal="center" wrapText="1"/>
    </xf>
    <xf numFmtId="0" fontId="3" fillId="0" borderId="1" applyAlignment="1" pivotButton="0" quotePrefix="0" xfId="0">
      <alignment horizontal="center" vertical="center" wrapText="1"/>
    </xf>
    <xf numFmtId="0" fontId="3" fillId="4" borderId="1" applyAlignment="1" pivotButton="0" quotePrefix="0" xfId="0">
      <alignment horizontal="center" vertical="center" wrapText="1"/>
    </xf>
    <xf numFmtId="0" fontId="6" fillId="0" borderId="0" pivotButton="0" quotePrefix="0" xfId="0"/>
    <xf numFmtId="0" fontId="4" fillId="5" borderId="1" pivotButton="0" quotePrefix="0" xfId="0"/>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styles" Target="styles.xml" Id="rId295" /><Relationship Type="http://schemas.openxmlformats.org/officeDocument/2006/relationships/theme" Target="theme/theme1.xml" Id="rId29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47"/>
  <sheetViews>
    <sheetView workbookViewId="0">
      <selection activeCell="A1" sqref="A1"/>
    </sheetView>
  </sheetViews>
  <sheetFormatPr baseColWidth="8" defaultRowHeight="15"/>
  <cols>
    <col width="20" customWidth="1" min="1" max="1"/>
    <col width="65" customWidth="1" min="2" max="2"/>
  </cols>
  <sheetData>
    <row r="2">
      <c r="A2" s="1" t="inlineStr">
        <is>
          <t>게임명</t>
        </is>
      </c>
      <c r="B2" s="1" t="inlineStr">
        <is>
          <t>AutoBattle.io</t>
        </is>
      </c>
    </row>
    <row r="3">
      <c r="A3" s="2" t="inlineStr">
        <is>
          <t>장르</t>
        </is>
      </c>
      <c r="B3" s="3" t="inlineStr">
        <is>
          <t>서바이벌 IO + SLG 용병육성 RPG (거상+리니지+포켓몬+알비온)</t>
        </is>
      </c>
    </row>
    <row r="4">
      <c r="A4" s="2" t="inlineStr">
        <is>
          <t>플랫폼</t>
        </is>
      </c>
      <c r="B4" s="3" t="inlineStr">
        <is>
          <t>웹 브라우저 (Unity WebGL + HTML UI)</t>
        </is>
      </c>
    </row>
    <row r="5">
      <c r="A5" s="2" t="inlineStr">
        <is>
          <t>서버</t>
        </is>
      </c>
      <c r="B5" s="3" t="inlineStr">
        <is>
          <t>Node.js + Socket.IO + MySQL (Railway)</t>
        </is>
      </c>
    </row>
    <row r="6">
      <c r="A6" s="2" t="inlineStr">
        <is>
          <t>현재 버전</t>
        </is>
      </c>
      <c r="B6" s="3" t="inlineStr">
        <is>
          <t>v3.5</t>
        </is>
      </c>
    </row>
    <row r="7">
      <c r="A7" s="2" t="inlineStr">
        <is>
          <t>기획서 규모</t>
        </is>
      </c>
      <c r="B7" s="3" t="inlineStr">
        <is>
          <t>시트 ~185개, 기획 시트 전체 목차는 "마스터 목차" 시트 참조</t>
        </is>
      </c>
    </row>
    <row r="8">
      <c r="A8" s="2" t="inlineStr"/>
      <c r="B8" s="4" t="inlineStr">
        <is>
          <t>v2.58 (판타지 이펙트 + 배틀로얄 + NPC + 전투강화 + 던전 + 스토리 + 레이드 + 하우징 + 드래곤레이스 + 업적 + 318 에셋)</t>
        </is>
      </c>
    </row>
    <row r="9">
      <c r="A9" s="5" t="inlineStr">
        <is>
          <t>═══ 핵심 게임 루프 ═══</t>
        </is>
      </c>
      <c r="B9" s="5" t="inlineStr"/>
    </row>
    <row r="10">
      <c r="A10" s="2" t="inlineStr">
        <is>
          <t>1단계: IO 서바이벌</t>
        </is>
      </c>
      <c r="B10" s="3" t="inlineStr">
        <is>
          <t>10분 단판 매치, WASD 이동 + 오토배틀, 무기 17종(조합 포함), 6종 모드</t>
        </is>
      </c>
    </row>
    <row r="11">
      <c r="A11" s="2" t="inlineStr">
        <is>
          <t>2단계: SLG 용병 육성</t>
        </is>
      </c>
      <c r="B11" s="3" t="inlineStr">
        <is>
          <t>성 건설(5레벨), 용병 60종 수집/진급/진화/각성/초월, 무역, 연구</t>
        </is>
      </c>
    </row>
    <row r="12">
      <c r="A12" s="2" t="inlineStr">
        <is>
          <t>3단계: 공성전</t>
        </is>
      </c>
      <c r="B12" s="3" t="inlineStr">
        <is>
          <t>IO 방식 공격 + 타워디펜스 방어, 맵 에디터, 토너먼트, 혈맹 대전</t>
        </is>
      </c>
    </row>
    <row r="13">
      <c r="A13" s="2" t="inlineStr">
        <is>
          <t>순환</t>
        </is>
      </c>
      <c r="B13" s="3" t="inlineStr">
        <is>
          <t>IO→골드/카드→SLG 용병 강화→공성전 활용→더 강한 IO</t>
        </is>
      </c>
    </row>
    <row r="14">
      <c r="A14" s="2" t="inlineStr"/>
      <c r="B14" s="3" t="inlineStr"/>
    </row>
    <row r="15">
      <c r="A15" s="2" t="inlineStr">
        <is>
          <t>═══ 레퍼런스별 핵심 ═══</t>
        </is>
      </c>
      <c r="B15" s="3" t="inlineStr"/>
    </row>
    <row r="16">
      <c r="A16" s="2" t="inlineStr">
        <is>
          <t>거상</t>
        </is>
      </c>
      <c r="B16" s="3" t="inlineStr">
        <is>
          <t>10개 무역루트 + 동적 수요공급 경제 + 카라반 실시간 + 경매장 + 상인 길드</t>
        </is>
      </c>
    </row>
    <row r="17">
      <c r="A17" s="2" t="inlineStr">
        <is>
          <t>포켓몬</t>
        </is>
      </c>
      <c r="B17" s="3" t="inlineStr">
        <is>
          <t>몬스터 15종 포획/진화/교배 + 성격 + 유대도 + IO 변신 전투</t>
        </is>
      </c>
    </row>
    <row r="18">
      <c r="A18" s="2" t="inlineStr">
        <is>
          <t>리니지</t>
        </is>
      </c>
      <c r="B18" s="3" t="inlineStr">
        <is>
          <t>PK/카르마/현상금 + 외교/동맹/배신 + 혈맹 공성전 + 진영 전쟁</t>
        </is>
      </c>
    </row>
    <row r="19">
      <c r="A19" s="2" t="inlineStr">
        <is>
          <t>알비온</t>
        </is>
      </c>
      <c r="B19" s="3" t="inlineStr">
        <is>
          <t>풀룻 약탈전 + 자유 PvP + 영토 쟁탈 + 샌드박스 경제</t>
        </is>
      </c>
    </row>
    <row r="20">
      <c r="A20" s="2" t="inlineStr"/>
      <c r="B20" s="3" t="inlineStr"/>
    </row>
    <row r="21">
      <c r="A21" s="2" t="inlineStr">
        <is>
          <t>═══ 콘텐츠 총계 ═══</t>
        </is>
      </c>
      <c r="B21" s="3" t="inlineStr"/>
    </row>
    <row r="22">
      <c r="A22" s="2" t="inlineStr">
        <is>
          <t>용병</t>
        </is>
      </c>
      <c r="B22" s="3" t="inlineStr">
        <is>
          <t>60종 + 합체 궁극기 6종 + 특성 35종 + 스킨 15종</t>
        </is>
      </c>
    </row>
    <row r="23">
      <c r="A23" s="2" t="inlineStr">
        <is>
          <t>IO</t>
        </is>
      </c>
      <c r="B23" s="3" t="inlineStr">
        <is>
          <t>무기 17종, 보스 5종(페이즈별), 맵 6종, 날씨 6종, 모드 6종+커스텀</t>
        </is>
      </c>
    </row>
    <row r="24">
      <c r="A24" s="2" t="inlineStr">
        <is>
          <t>포획 몬스터</t>
        </is>
      </c>
      <c r="B24" s="3" t="inlineStr">
        <is>
          <t>15종 (3단 진화 + 교배 5종), IO 변신 가능</t>
        </is>
      </c>
    </row>
    <row r="25">
      <c r="A25" s="2" t="inlineStr">
        <is>
          <t>공성전</t>
        </is>
      </c>
      <c r="B25" s="3" t="inlineStr">
        <is>
          <t>함정 10종 + 공성무기 4종 + 맵 에디터 + 날씨 + 사기 시스템</t>
        </is>
      </c>
    </row>
    <row r="26">
      <c r="A26" s="2" t="inlineStr">
        <is>
          <t>무역</t>
        </is>
      </c>
      <c r="B26" s="3" t="inlineStr">
        <is>
          <t>10루트 + 동적 경제 + 카라반 실시간 + PvP 약탈/호위</t>
        </is>
      </c>
    </row>
    <row r="27">
      <c r="A27" s="2" t="inlineStr">
        <is>
          <t>보스</t>
        </is>
      </c>
      <c r="B27" s="3" t="inlineStr">
        <is>
          <t>IO 5종 + 레이드 4종 + 심연의 탑 100층 + 히든 3종 + 차원 6종</t>
        </is>
      </c>
    </row>
    <row r="28">
      <c r="A28" s="2" t="inlineStr">
        <is>
          <t>PvP</t>
        </is>
      </c>
      <c r="B28" s="3" t="inlineStr">
        <is>
          <t>아레나 6랭크 + 진영 5진영 + 서버간 대전 + 토너먼트</t>
        </is>
      </c>
    </row>
    <row r="29">
      <c r="A29" s="2" t="inlineStr">
        <is>
          <t>생활</t>
        </is>
      </c>
      <c r="B29" s="3" t="inlineStr">
        <is>
          <t>낚시 + 요리 50레시피 + 정원 + 펫 5종 + 하우징 + NPC 호감도 7명</t>
        </is>
      </c>
    </row>
    <row r="30">
      <c r="A30" s="2" t="inlineStr">
        <is>
          <t>경제</t>
        </is>
      </c>
      <c r="B30" s="3" t="inlineStr">
        <is>
          <t>경매장 + 동적 시세 + 무역 랭킹 + 세금/영토</t>
        </is>
      </c>
    </row>
    <row r="31">
      <c r="A31" s="2" t="inlineStr">
        <is>
          <t>세계관</t>
        </is>
      </c>
      <c r="B31" s="3" t="inlineStr">
        <is>
          <t>4시대 역사 + 서버 연대기 + 월드 이벤트 체인 3종 + 비밀 지역 5곳</t>
        </is>
      </c>
    </row>
    <row r="32">
      <c r="A32" s="2" t="inlineStr">
        <is>
          <t>업적</t>
        </is>
      </c>
      <c r="B32" s="3" t="inlineStr">
        <is>
          <t>600+ 개 + 도감 205항목</t>
        </is>
      </c>
    </row>
    <row r="33">
      <c r="A33" s="2" t="inlineStr">
        <is>
          <t>수익화</t>
        </is>
      </c>
      <c r="B33" s="3" t="inlineStr">
        <is>
          <t>가챠(천장) + 배틀패스 + 스킨 + 편의 (P2W 없음)</t>
        </is>
      </c>
    </row>
    <row r="35">
      <c r="A35" s="3" t="inlineStr"/>
      <c r="B35" s="3" t="inlineStr"/>
    </row>
    <row r="36">
      <c r="A36" s="3" t="inlineStr">
        <is>
          <t>v2.58 신규 시스템 (10개)</t>
        </is>
      </c>
      <c r="B36" s="3" t="inlineStr">
        <is>
          <t>설명</t>
        </is>
      </c>
    </row>
    <row r="37">
      <c r="A37" s="3" t="inlineStr">
        <is>
          <t>판타지 이펙트</t>
        </is>
      </c>
      <c r="B37" s="3" t="inlineStr">
        <is>
          <t>속성 데미지 6종, 마법진, 보스 시네마틱, 환경파티클, SFX 8종</t>
        </is>
      </c>
    </row>
    <row r="38">
      <c r="A38" s="3" t="inlineStr">
        <is>
          <t>배틀로얄</t>
        </is>
      </c>
      <c r="B38" s="3" t="inlineStr">
        <is>
          <t>20명 FFA PvP, 안전지대 축소, 보급상자, 상금풀</t>
        </is>
      </c>
    </row>
    <row r="39">
      <c r="A39" s="3" t="inlineStr">
        <is>
          <t>NPC 대화 시스템</t>
        </is>
      </c>
      <c r="B39" s="3" t="inlineStr">
        <is>
          <t>5마을 20+ NPC, 대화 트리, 창고/텔레포트/여관/축복</t>
        </is>
      </c>
    </row>
    <row r="40">
      <c r="A40" s="3" t="inlineStr">
        <is>
          <t>전투 강화</t>
        </is>
      </c>
      <c r="B40" s="3" t="inlineStr">
        <is>
          <t>스킬 콤보 9종, 상태이상 6종, 궁극기 5클래스, 장비 세트 4종</t>
        </is>
      </c>
    </row>
    <row r="41">
      <c r="A41" s="3" t="inlineStr">
        <is>
          <t>심층 던전</t>
        </is>
      </c>
      <c r="B41" s="3" t="inlineStr">
        <is>
          <t>10/5층 다층 던전, 함정 8종, 보스 페이즈 2~3단계</t>
        </is>
      </c>
    </row>
    <row r="42">
      <c r="A42" s="3" t="inlineStr">
        <is>
          <t>메인 스토리</t>
        </is>
      </c>
      <c r="B42" s="3" t="inlineStr">
        <is>
          <t>4막 12퀘스트, 시네마틱 컷신, 분기 선택, NPC 연계</t>
        </is>
      </c>
    </row>
    <row r="43">
      <c r="A43" s="3" t="inlineStr">
        <is>
          <t>월드 레이드</t>
        </is>
      </c>
      <c r="B43" s="3" t="inlineStr">
        <is>
          <t>보스 3종 (50만~80만HP), 시즌 이벤트 5종, 자동 스케줄</t>
        </is>
      </c>
    </row>
    <row r="44">
      <c r="A44" s="3" t="inlineStr">
        <is>
          <t>하우징 &amp; 요새</t>
        </is>
      </c>
      <c r="B44" s="3" t="inlineStr">
        <is>
          <t>주택 5단계, 가구 16종, 수비대 5종, 요새 침공 PvP</t>
        </is>
      </c>
    </row>
    <row r="45">
      <c r="A45" s="3" t="inlineStr">
        <is>
          <t>드래곤 레이스</t>
        </is>
      </c>
      <c r="B45" s="3" t="inlineStr">
        <is>
          <t>10명 레이스, 장애물 5종, 드래곤 관리 UI</t>
        </is>
      </c>
    </row>
    <row r="46">
      <c r="A46" s="3" t="inlineStr">
        <is>
          <t>업적 &amp; 전설변신</t>
        </is>
      </c>
      <c r="B46" s="3" t="inlineStr">
        <is>
          <t>업적 25종, 전설 변신 5종, 칭호 이펙트 7종, 시즌 패스</t>
        </is>
      </c>
    </row>
    <row r="47">
      <c r="A47" s="3" t="inlineStr">
        <is>
          <t>시스템 연동</t>
        </is>
      </c>
      <c r="B47" s="3" t="inlineStr">
        <is>
          <t>스토리/궁극기/콤보/하우징/이벤트 기존 시스템과 통합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22" customWidth="1" min="1" max="1"/>
    <col width="36" customWidth="1" min="2" max="2"/>
    <col width="10" customWidth="1" min="3" max="3"/>
    <col width="8" customWidth="1" min="4" max="4"/>
  </cols>
  <sheetData>
    <row r="1">
      <c r="A1" s="6" t="inlineStr">
        <is>
          <t>마스터 목차 — AutoBattle.io v3.5</t>
        </is>
      </c>
    </row>
    <row r="3">
      <c r="A3" s="7" t="inlineStr">
        <is>
          <t>시트명</t>
        </is>
      </c>
      <c r="B3" s="7" t="inlineStr">
        <is>
          <t>내용</t>
        </is>
      </c>
      <c r="C3" s="7" t="inlineStr">
        <is>
          <t>상태</t>
        </is>
      </c>
      <c r="D3" s="7" t="inlineStr">
        <is>
          <t>중요도</t>
        </is>
      </c>
    </row>
    <row r="4">
      <c r="A4" s="8" t="inlineStr">
        <is>
          <t>═══ IO 서바이벌 (1단계) ═══</t>
        </is>
      </c>
      <c r="B4" s="8" t="inlineStr"/>
      <c r="C4" s="8" t="inlineStr"/>
      <c r="D4" s="8" t="inlineStr"/>
    </row>
    <row r="5">
      <c r="A5" s="9" t="inlineStr">
        <is>
          <t>오토배틀 서바이벌 IO</t>
        </is>
      </c>
      <c r="B5" s="9" t="inlineStr">
        <is>
          <t>무기 8종+패시브 8종, 웨이브, 보스</t>
        </is>
      </c>
      <c r="C5" s="9" t="inlineStr">
        <is>
          <t>현행 v3.5</t>
        </is>
      </c>
      <c r="D5" s="9" t="inlineStr">
        <is>
          <t>핵심</t>
        </is>
      </c>
    </row>
    <row r="6">
      <c r="A6" s="8" t="inlineStr">
        <is>
          <t>IO-RPG 코어</t>
        </is>
      </c>
      <c r="B6" s="8" t="inlineStr">
        <is>
          <t>클래스, 매칭, 리더보드</t>
        </is>
      </c>
      <c r="C6" s="8" t="inlineStr">
        <is>
          <t>현행 v3.5</t>
        </is>
      </c>
      <c r="D6" s="8" t="inlineStr">
        <is>
          <t>핵심</t>
        </is>
      </c>
    </row>
    <row r="7">
      <c r="A7" s="9" t="inlineStr">
        <is>
          <t>IO 무기 진화 조합</t>
        </is>
      </c>
      <c r="B7" s="9" t="inlineStr">
        <is>
          <t>2조합 6종 + 3조합 3종 + 숨겨진 조합</t>
        </is>
      </c>
      <c r="C7" s="9" t="inlineStr">
        <is>
          <t>현행 v3.5</t>
        </is>
      </c>
      <c r="D7" s="9" t="inlineStr">
        <is>
          <t>핵심</t>
        </is>
      </c>
    </row>
    <row r="8">
      <c r="A8" s="8" t="inlineStr">
        <is>
          <t>IO 보스 패턴</t>
        </is>
      </c>
      <c r="B8" s="8" t="inlineStr">
        <is>
          <t>슬라임킹~세계의적 5종, 페이즈별 공략</t>
        </is>
      </c>
      <c r="C8" s="8" t="inlineStr">
        <is>
          <t>현행 v3.5</t>
        </is>
      </c>
      <c r="D8" s="8" t="inlineStr">
        <is>
          <t>핵심</t>
        </is>
      </c>
    </row>
    <row r="9">
      <c r="A9" s="9" t="inlineStr">
        <is>
          <t>IO 특수 매치 모드</t>
        </is>
      </c>
      <c r="B9" s="9" t="inlineStr">
        <is>
          <t>보스러시/팀대전/약탈전/공성연습/무한/커스텀</t>
        </is>
      </c>
      <c r="C9" s="9" t="inlineStr">
        <is>
          <t>현행 v3.5</t>
        </is>
      </c>
      <c r="D9" s="9" t="inlineStr">
        <is>
          <t>핵심</t>
        </is>
      </c>
    </row>
    <row r="10">
      <c r="A10" s="8" t="inlineStr">
        <is>
          <t>IO 환경 변수</t>
        </is>
      </c>
      <c r="B10" s="8" t="inlineStr">
        <is>
          <t>맵 6종 × 날씨 6종 × 매치이벤트 5종</t>
        </is>
      </c>
      <c r="C10" s="8" t="inlineStr">
        <is>
          <t>현행 v3.5</t>
        </is>
      </c>
      <c r="D10" s="8" t="inlineStr">
        <is>
          <t>핵심</t>
        </is>
      </c>
    </row>
    <row r="11">
      <c r="A11" s="9" t="inlineStr">
        <is>
          <t>IO 변신 시스템</t>
        </is>
      </c>
      <c r="B11" s="9" t="inlineStr">
        <is>
          <t>포획 몬스터로 60초 변신 전투</t>
        </is>
      </c>
      <c r="C11" s="9" t="inlineStr">
        <is>
          <t>현행 v3.5</t>
        </is>
      </c>
      <c r="D11" s="9" t="inlineStr">
        <is>
          <t>핵심</t>
        </is>
      </c>
    </row>
    <row r="12">
      <c r="A12" s="8" t="inlineStr">
        <is>
          <t>커스텀 IO 매치</t>
        </is>
      </c>
      <c r="B12" s="8" t="inlineStr">
        <is>
          <t>11가지 설정, 프리셋, 공유</t>
        </is>
      </c>
      <c r="C12" s="8" t="inlineStr">
        <is>
          <t>현행 v3.5</t>
        </is>
      </c>
      <c r="D12" s="8" t="inlineStr">
        <is>
          <t>확장</t>
        </is>
      </c>
    </row>
    <row r="13">
      <c r="A13" s="9" t="inlineStr"/>
      <c r="B13" s="9" t="inlineStr"/>
      <c r="C13" s="9" t="inlineStr"/>
      <c r="D13" s="9" t="inlineStr"/>
    </row>
    <row r="14">
      <c r="A14" s="8" t="inlineStr">
        <is>
          <t>═══ SLG 용병 육성 (2단계) ═══</t>
        </is>
      </c>
      <c r="B14" s="8" t="inlineStr"/>
      <c r="C14" s="8" t="inlineStr"/>
      <c r="D14" s="8" t="inlineStr"/>
    </row>
    <row r="15">
      <c r="A15" s="9" t="inlineStr">
        <is>
          <t>전체 용병 목록 v3</t>
        </is>
      </c>
      <c r="B15" s="9" t="inlineStr">
        <is>
          <t>60종 전체 스탯/스킬</t>
        </is>
      </c>
      <c r="C15" s="9" t="inlineStr">
        <is>
          <t>현행 v3.5</t>
        </is>
      </c>
      <c r="D15" s="9" t="inlineStr">
        <is>
          <t>핵심</t>
        </is>
      </c>
    </row>
    <row r="16">
      <c r="A16" s="8" t="inlineStr">
        <is>
          <t>용병 각성 &amp; 초월</t>
        </is>
      </c>
      <c r="B16" s="8" t="inlineStr">
        <is>
          <t>각성 2단계+초월, 궁극기</t>
        </is>
      </c>
      <c r="C16" s="8" t="inlineStr">
        <is>
          <t>현행 v3.5</t>
        </is>
      </c>
      <c r="D16" s="8" t="inlineStr">
        <is>
          <t>핵심</t>
        </is>
      </c>
    </row>
    <row r="17">
      <c r="A17" s="9" t="inlineStr">
        <is>
          <t>용병 시너지</t>
        </is>
      </c>
      <c r="B17" s="9" t="inlineStr">
        <is>
          <t>13종 팀 시너지</t>
        </is>
      </c>
      <c r="C17" s="9" t="inlineStr">
        <is>
          <t>현행 v3.5</t>
        </is>
      </c>
      <c r="D17" s="9" t="inlineStr">
        <is>
          <t>핵심</t>
        </is>
      </c>
    </row>
    <row r="18">
      <c r="A18" s="8" t="inlineStr">
        <is>
          <t>용병 인연 &amp; 스토리</t>
        </is>
      </c>
      <c r="B18" s="8" t="inlineStr">
        <is>
          <t>14종 인연 조합+스토리</t>
        </is>
      </c>
      <c r="C18" s="8" t="inlineStr">
        <is>
          <t>현행 v3.5</t>
        </is>
      </c>
      <c r="D18" s="8" t="inlineStr">
        <is>
          <t>핵심</t>
        </is>
      </c>
    </row>
    <row r="19">
      <c r="A19" s="9" t="inlineStr">
        <is>
          <t>용병 특성 유전</t>
        </is>
      </c>
      <c r="B19" s="9" t="inlineStr">
        <is>
          <t>30+전설5 특성, 합성 유전</t>
        </is>
      </c>
      <c r="C19" s="9" t="inlineStr">
        <is>
          <t>현행 v3.5</t>
        </is>
      </c>
      <c r="D19" s="9" t="inlineStr">
        <is>
          <t>핵심</t>
        </is>
      </c>
    </row>
    <row r="20">
      <c r="A20" s="8" t="inlineStr">
        <is>
          <t>용병 합체 궁극기</t>
        </is>
      </c>
      <c r="B20" s="8" t="inlineStr">
        <is>
          <t>6종 합�� 연출+초강력 스킬</t>
        </is>
      </c>
      <c r="C20" s="8" t="inlineStr">
        <is>
          <t>현행 v3.5</t>
        </is>
      </c>
      <c r="D20" s="8" t="inlineStr">
        <is>
          <t>핵심</t>
        </is>
      </c>
    </row>
    <row r="21">
      <c r="A21" s="9" t="inlineStr">
        <is>
          <t>용병 전용 장비</t>
        </is>
      </c>
      <c r="B21" s="9" t="inlineStr">
        <is>
          <t>5등급 18종 전용 장비</t>
        </is>
      </c>
      <c r="C21" s="9" t="inlineStr">
        <is>
          <t>현행 v3.5</t>
        </is>
      </c>
      <c r="D21" s="9" t="inlineStr">
        <is>
          <t>핵심</t>
        </is>
      </c>
    </row>
    <row r="22">
      <c r="A22" s="8" t="inlineStr">
        <is>
          <t>용병 스토리 퀘스트</t>
        </is>
      </c>
      <c r="B22" s="8" t="inlineStr">
        <is>
          <t>용병별 4화 개인 서사</t>
        </is>
      </c>
      <c r="C22" s="8" t="inlineStr">
        <is>
          <t>현행 v3.5</t>
        </is>
      </c>
      <c r="D22" s="8" t="inlineStr">
        <is>
          <t>확장</t>
        </is>
      </c>
    </row>
    <row r="23">
      <c r="A23" s="9" t="inlineStr">
        <is>
          <t>용병 대사 시스템</t>
        </is>
      </c>
      <c r="B23" s="9" t="inlineStr">
        <is>
          <t>상황별 16종 대사</t>
        </is>
      </c>
      <c r="C23" s="9" t="inlineStr">
        <is>
          <t>현행 v3.5</t>
        </is>
      </c>
      <c r="D23" s="9" t="inlineStr">
        <is>
          <t>확장</t>
        </is>
      </c>
    </row>
    <row r="24">
      <c r="A24" s="8" t="inlineStr">
        <is>
          <t>용병 스킨 &amp; 코스튬</t>
        </is>
      </c>
      <c r="B24" s="8" t="inlineStr">
        <is>
          <t>시즌/업적/프리미엄 스킨</t>
        </is>
      </c>
      <c r="C24" s="8" t="inlineStr">
        <is>
          <t>현행 v3.5</t>
        </is>
      </c>
      <c r="D24" s="8" t="inlineStr">
        <is>
          <t>확장</t>
        </is>
      </c>
    </row>
    <row r="25">
      <c r="A25" s="9" t="inlineStr">
        <is>
          <t>SLG 뷰 진급 진화</t>
        </is>
      </c>
      <c r="B25" s="9" t="inlineStr">
        <is>
          <t>진급 트리+합성 경로</t>
        </is>
      </c>
      <c r="C25" s="9" t="inlineStr">
        <is>
          <t>현행 v3.5</t>
        </is>
      </c>
      <c r="D25" s="9" t="inlineStr">
        <is>
          <t>핵심</t>
        </is>
      </c>
    </row>
    <row r="26">
      <c r="A26" s="8" t="inlineStr">
        <is>
          <t>진화 트리 다이어그램</t>
        </is>
      </c>
      <c r="B26" s="8" t="inlineStr">
        <is>
          <t>전사/마법/암살 계열 진화도</t>
        </is>
      </c>
      <c r="C26" s="8" t="inlineStr">
        <is>
          <t>현행 v3.5</t>
        </is>
      </c>
      <c r="D26" s="8" t="inlineStr">
        <is>
          <t>핵심</t>
        </is>
      </c>
    </row>
    <row r="27">
      <c r="A27" s="9" t="inlineStr">
        <is>
          <t>비밀 합성 레시피</t>
        </is>
      </c>
      <c r="B27" s="9" t="inlineStr">
        <is>
          <t>9종 숨겨진 레시피</t>
        </is>
      </c>
      <c r="C27" s="9" t="inlineStr">
        <is>
          <t>현행 v3.5</t>
        </is>
      </c>
      <c r="D27" s="9" t="inlineStr">
        <is>
          <t>확장</t>
        </is>
      </c>
    </row>
    <row r="28">
      <c r="A28" s="8" t="inlineStr">
        <is>
          <t>신규 용병 v3.1</t>
        </is>
      </c>
      <c r="B28" s="8" t="inlineStr">
        <is>
          <t>원소의왕/태초의존재 등 10종</t>
        </is>
      </c>
      <c r="C28" s="8" t="inlineStr">
        <is>
          <t>현행 v3.5</t>
        </is>
      </c>
      <c r="D28" s="8" t="inlineStr">
        <is>
          <t>확장</t>
        </is>
      </c>
    </row>
    <row r="29">
      <c r="A29" s="9" t="inlineStr">
        <is>
          <t>용병 소환 가챠</t>
        </is>
      </c>
      <c r="B29" s="9" t="inlineStr">
        <is>
          <t>천장/픽업/포인트 시스템</t>
        </is>
      </c>
      <c r="C29" s="9" t="inlineStr">
        <is>
          <t>현행 v3.5</t>
        </is>
      </c>
      <c r="D29" s="9" t="inlineStr">
        <is>
          <t>핵심</t>
        </is>
      </c>
    </row>
    <row r="30">
      <c r="A30" s="8" t="inlineStr">
        <is>
          <t>용병 원정대</t>
        </is>
      </c>
      <c r="B30" s="8" t="inlineStr">
        <is>
          <t>오프라인 수익 시스템</t>
        </is>
      </c>
      <c r="C30" s="8" t="inlineStr">
        <is>
          <t>현행 v3.5</t>
        </is>
      </c>
      <c r="D30" s="8" t="inlineStr">
        <is>
          <t>확장</t>
        </is>
      </c>
    </row>
    <row r="31">
      <c r="A31" s="9" t="inlineStr">
        <is>
          <t>용병 토너먼트 상세</t>
        </is>
      </c>
      <c r="B31" s="9" t="inlineStr">
        <is>
          <t>일일/주간/시즌, 밴픽, 분석</t>
        </is>
      </c>
      <c r="C31" s="9" t="inlineStr">
        <is>
          <t>현행 v3.5</t>
        </is>
      </c>
      <c r="D31" s="9" t="inlineStr">
        <is>
          <t>확장</t>
        </is>
      </c>
    </row>
    <row r="32">
      <c r="A32" s="8" t="inlineStr">
        <is>
          <t>용병 AI 전술</t>
        </is>
      </c>
      <c r="B32" s="8" t="inlineStr">
        <is>
          <t>6가지 전술 모드+커스텀</t>
        </is>
      </c>
      <c r="C32" s="8" t="inlineStr">
        <is>
          <t>현행 v3.5</t>
        </is>
      </c>
      <c r="D32" s="8" t="inlineStr">
        <is>
          <t>핵심</t>
        </is>
      </c>
    </row>
    <row r="33">
      <c r="A33" s="9" t="inlineStr"/>
      <c r="B33" s="9" t="inlineStr"/>
      <c r="C33" s="9" t="inlineStr"/>
      <c r="D33" s="9" t="inlineStr"/>
    </row>
    <row r="34">
      <c r="A34" s="8" t="inlineStr">
        <is>
          <t>═══ 성 &amp; 공성전 (3단계) ═══</t>
        </is>
      </c>
      <c r="B34" s="8" t="inlineStr"/>
      <c r="C34" s="8" t="inlineStr"/>
      <c r="D34" s="8" t="inlineStr"/>
    </row>
    <row r="35">
      <c r="A35" s="9" t="inlineStr">
        <is>
          <t>성(Castle) 시스템</t>
        </is>
      </c>
      <c r="B35" s="9" t="inlineStr">
        <is>
          <t>5레벨 성 건설</t>
        </is>
      </c>
      <c r="C35" s="9" t="inlineStr">
        <is>
          <t>현행 v3.5</t>
        </is>
      </c>
      <c r="D35" s="9" t="inlineStr">
        <is>
          <t>핵심</t>
        </is>
      </c>
    </row>
    <row r="36">
      <c r="A36" s="8" t="inlineStr">
        <is>
          <t>성 시설</t>
        </is>
      </c>
      <c r="B36" s="8" t="inlineStr">
        <is>
          <t>시설 10종</t>
        </is>
      </c>
      <c r="C36" s="8" t="inlineStr">
        <is>
          <t>현행 v3.5</t>
        </is>
      </c>
      <c r="D36" s="8" t="inlineStr">
        <is>
          <t>핵심</t>
        </is>
      </c>
    </row>
    <row r="37">
      <c r="A37" s="9" t="inlineStr">
        <is>
          <t>공성전 배치 상세</t>
        </is>
      </c>
      <c r="B37" s="9" t="inlineStr">
        <is>
          <t>함정 7종+탑+장벽 배치</t>
        </is>
      </c>
      <c r="C37" s="9" t="inlineStr">
        <is>
          <t>현행 v3.5</t>
        </is>
      </c>
      <c r="D37" s="9" t="inlineStr">
        <is>
          <t>핵심</t>
        </is>
      </c>
    </row>
    <row r="38">
      <c r="A38" s="8" t="inlineStr">
        <is>
          <t>공성전 IO 전투</t>
        </is>
      </c>
      <c r="B38" s="8" t="inlineStr">
        <is>
          <t>도전자 IO+성주 배치, v3.0 맵</t>
        </is>
      </c>
      <c r="C38" s="8" t="inlineStr">
        <is>
          <t>현행 v3.5</t>
        </is>
      </c>
      <c r="D38" s="8" t="inlineStr">
        <is>
          <t>핵심</t>
        </is>
      </c>
    </row>
    <row r="39">
      <c r="A39" s="9" t="inlineStr">
        <is>
          <t>공성전 고급 전략</t>
        </is>
      </c>
      <c r="B39" s="9" t="inlineStr">
        <is>
          <t>공성무기/날씨/사기/성주 액티브</t>
        </is>
      </c>
      <c r="C39" s="9" t="inlineStr">
        <is>
          <t>현행 v3.5</t>
        </is>
      </c>
      <c r="D39" s="9" t="inlineStr">
        <is>
          <t>핵심</t>
        </is>
      </c>
    </row>
    <row r="40">
      <c r="A40" s="8" t="inlineStr">
        <is>
          <t>공성전 맵 에디터</t>
        </is>
      </c>
      <c r="B40" s="8" t="inlineStr">
        <is>
          <t>자유 배치, 4테마, 프리셋</t>
        </is>
      </c>
      <c r="C40" s="8" t="inlineStr">
        <is>
          <t>현행 v3.5</t>
        </is>
      </c>
      <c r="D40" s="8" t="inlineStr">
        <is>
          <t>확장</t>
        </is>
      </c>
    </row>
    <row r="41">
      <c r="A41" s="9" t="inlineStr">
        <is>
          <t>공성전 토너먼트</t>
        </is>
      </c>
      <c r="B41" s="9" t="inlineStr">
        <is>
          <t>16강 브래킷, 관전, 중계</t>
        </is>
      </c>
      <c r="C41" s="9" t="inlineStr">
        <is>
          <t>현행 v3.5</t>
        </is>
      </c>
      <c r="D41" s="9" t="inlineStr">
        <is>
          <t>확장</t>
        </is>
      </c>
    </row>
    <row r="42">
      <c r="A42" s="8" t="inlineStr">
        <is>
          <t>하우징 인테리어</t>
        </is>
      </c>
      <c r="B42" s="8" t="inlineStr">
        <is>
          <t>5개 방 꾸미기, 장식 점수</t>
        </is>
      </c>
      <c r="C42" s="8" t="inlineStr">
        <is>
          <t>현행 v3.5</t>
        </is>
      </c>
      <c r="D42" s="8" t="inlineStr">
        <is>
          <t>확장</t>
        </is>
      </c>
    </row>
    <row r="43">
      <c r="A43" s="9" t="inlineStr"/>
      <c r="B43" s="9" t="inlineStr"/>
      <c r="C43" s="9" t="inlineStr"/>
      <c r="D43" s="9" t="inlineStr"/>
    </row>
    <row r="44">
      <c r="A44" s="8" t="inlineStr">
        <is>
          <t>═══ 무역 &amp; 경제 ═══</t>
        </is>
      </c>
      <c r="B44" s="8" t="inlineStr"/>
      <c r="C44" s="8" t="inlineStr"/>
      <c r="D44" s="8" t="inlineStr"/>
    </row>
    <row r="45">
      <c r="A45" s="9" t="inlineStr">
        <is>
          <t>전체 무역 루트</t>
        </is>
      </c>
      <c r="B45" s="9" t="inlineStr">
        <is>
          <t>10개 루트 상세</t>
        </is>
      </c>
      <c r="C45" s="9" t="inlineStr">
        <is>
          <t>현행 v3.5</t>
        </is>
      </c>
      <c r="D45" s="9" t="inlineStr">
        <is>
          <t>핵심</t>
        </is>
      </c>
    </row>
    <row r="46">
      <c r="A46" s="8" t="inlineStr">
        <is>
          <t>무역 동적 경제</t>
        </is>
      </c>
      <c r="B46" s="8" t="inlineStr">
        <is>
          <t>수요/공급 변동, 투기, 랜덤이벤트</t>
        </is>
      </c>
      <c r="C46" s="8" t="inlineStr">
        <is>
          <t>현행 v3.5</t>
        </is>
      </c>
      <c r="D46" s="8" t="inlineStr">
        <is>
          <t>핵심</t>
        </is>
      </c>
    </row>
    <row r="47">
      <c r="A47" s="9" t="inlineStr">
        <is>
          <t>무역 습격 &amp; 호위</t>
        </is>
      </c>
      <c r="B47" s="9" t="inlineStr">
        <is>
          <t>PvP 약탈, 호위 의뢰, 밀수</t>
        </is>
      </c>
      <c r="C47" s="9" t="inlineStr">
        <is>
          <t>현행 v3.5</t>
        </is>
      </c>
      <c r="D47" s="9" t="inlineStr">
        <is>
          <t>핵심</t>
        </is>
      </c>
    </row>
    <row r="48">
      <c r="A48" s="8" t="inlineStr">
        <is>
          <t>무역 카라반 실시간</t>
        </is>
      </c>
      <c r="B48" s="8" t="inlineStr">
        <is>
          <t>월드맵 실시간 이동, 이벤트 5종</t>
        </is>
      </c>
      <c r="C48" s="8" t="inlineStr">
        <is>
          <t>현행 v3.5</t>
        </is>
      </c>
      <c r="D48" s="8" t="inlineStr">
        <is>
          <t>핵심</t>
        </is>
      </c>
    </row>
    <row r="49">
      <c r="A49" s="9" t="inlineStr">
        <is>
          <t>경매장 &amp; 경제</t>
        </is>
      </c>
      <c r="B49" s="9" t="inlineStr">
        <is>
          <t>플레이어 거래, 시세, 상인 길드</t>
        </is>
      </c>
      <c r="C49" s="9" t="inlineStr">
        <is>
          <t>현행 v3.5</t>
        </is>
      </c>
      <c r="D49" s="9" t="inlineStr">
        <is>
          <t>핵심</t>
        </is>
      </c>
    </row>
    <row r="50">
      <c r="A50" s="8" t="inlineStr"/>
      <c r="B50" s="8" t="inlineStr"/>
      <c r="C50" s="8" t="inlineStr"/>
      <c r="D50" s="8" t="inlineStr"/>
    </row>
    <row r="51">
      <c r="A51" s="9" t="inlineStr">
        <is>
          <t>═══ PvP &amp; 사회 ═══</t>
        </is>
      </c>
      <c r="B51" s="9" t="inlineStr"/>
      <c r="C51" s="9" t="inlineStr"/>
      <c r="D51" s="9" t="inlineStr"/>
    </row>
    <row r="52">
      <c r="A52" s="8" t="inlineStr">
        <is>
          <t>PK 시��템</t>
        </is>
      </c>
      <c r="B52" s="8" t="inlineStr">
        <is>
          <t>리니지 스타일 PK+카르마</t>
        </is>
      </c>
      <c r="C52" s="8" t="inlineStr">
        <is>
          <t>현행 v3.5</t>
        </is>
      </c>
      <c r="D52" s="8" t="inlineStr">
        <is>
          <t>핵심</t>
        </is>
      </c>
    </row>
    <row r="53">
      <c r="A53" s="9" t="inlineStr">
        <is>
          <t>현상금 사냥꾼</t>
        </is>
      </c>
      <c r="B53" s="9" t="inlineStr">
        <is>
          <t>사냥꾼 직업, 4단계 수배</t>
        </is>
      </c>
      <c r="C53" s="9" t="inlineStr">
        <is>
          <t>현행 v3.5</t>
        </is>
      </c>
      <c r="D53" s="9" t="inlineStr">
        <is>
          <t>핵심</t>
        </is>
      </c>
    </row>
    <row r="54">
      <c r="A54" s="8" t="inlineStr">
        <is>
          <t>PvP 아레나 시즌</t>
        </is>
      </c>
      <c r="B54" s="8" t="inlineStr">
        <is>
          <t>6랭크, 밴픽, 관전</t>
        </is>
      </c>
      <c r="C54" s="8" t="inlineStr">
        <is>
          <t>현행 v3.5</t>
        </is>
      </c>
      <c r="D54" s="8" t="inlineStr">
        <is>
          <t>핵심</t>
        </is>
      </c>
    </row>
    <row r="55">
      <c r="A55" s="9" t="inlineStr">
        <is>
          <t>혈맹 대전</t>
        </is>
      </c>
      <c r="B55" s="9" t="inlineStr">
        <is>
          <t>10v10 대규모 공성, 영토제</t>
        </is>
      </c>
      <c r="C55" s="9" t="inlineStr">
        <is>
          <t>현행 v3.5</t>
        </is>
      </c>
      <c r="D55" s="9" t="inlineStr">
        <is>
          <t>핵심</t>
        </is>
      </c>
    </row>
    <row r="56">
      <c r="A56" s="8" t="inlineStr">
        <is>
          <t>혈맹 레이드 보스</t>
        </is>
      </c>
      <c r="B56" s="8" t="inlineStr">
        <is>
          <t>4종 대형 보스, 역할 분담</t>
        </is>
      </c>
      <c r="C56" s="8" t="inlineStr">
        <is>
          <t>현행 v3.5</t>
        </is>
      </c>
      <c r="D56" s="8" t="inlineStr">
        <is>
          <t>핵심</t>
        </is>
      </c>
    </row>
    <row r="57">
      <c r="A57" s="9" t="inlineStr">
        <is>
          <t>외교 &amp; 동맹</t>
        </is>
      </c>
      <c r="B57" s="9" t="inlineStr">
        <is>
          <t>동맹/밀약/배신/영주/민심</t>
        </is>
      </c>
      <c r="C57" s="9" t="inlineStr">
        <is>
          <t>현행 v3.5</t>
        </is>
      </c>
      <c r="D57" s="9" t="inlineStr">
        <is>
          <t>핵심</t>
        </is>
      </c>
    </row>
    <row r="58">
      <c r="A58" s="8" t="inlineStr">
        <is>
          <t>진영 전쟁</t>
        </is>
      </c>
      <c r="B58" s="8" t="inlineStr">
        <is>
          <t>5���영 영토 쟁탈</t>
        </is>
      </c>
      <c r="C58" s="8" t="inlineStr">
        <is>
          <t>현행 v3.5</t>
        </is>
      </c>
      <c r="D58" s="8" t="inlineStr">
        <is>
          <t>확장</t>
        </is>
      </c>
    </row>
    <row r="59">
      <c r="A59" s="9" t="inlineStr">
        <is>
          <t>서버 간 대전</t>
        </is>
      </c>
      <c r="B59" s="9" t="inlineStr">
        <is>
          <t>월 1회, 3종목, 서버 등급</t>
        </is>
      </c>
      <c r="C59" s="9" t="inlineStr">
        <is>
          <t>현행 v3.5</t>
        </is>
      </c>
      <c r="D59" s="9" t="inlineStr">
        <is>
          <t>확장</t>
        </is>
      </c>
    </row>
    <row r="60">
      <c r="A60" s="8" t="inlineStr"/>
      <c r="B60" s="8" t="inlineStr"/>
      <c r="C60" s="8" t="inlineStr"/>
      <c r="D60" s="8" t="inlineStr"/>
    </row>
    <row r="61">
      <c r="A61" s="9" t="inlineStr">
        <is>
          <t>═══ 포획 &amp; 몬스터 ═══</t>
        </is>
      </c>
      <c r="B61" s="9" t="inlineStr"/>
      <c r="C61" s="9" t="inlineStr"/>
      <c r="D61" s="9" t="inlineStr"/>
    </row>
    <row r="62">
      <c r="A62" s="8" t="inlineStr">
        <is>
          <t>몬스터 포획 확장</t>
        </is>
      </c>
      <c r="B62" s="8" t="inlineStr">
        <is>
          <t>성격/교배/합체 변신</t>
        </is>
      </c>
      <c r="C62" s="8" t="inlineStr">
        <is>
          <t>현행 v3.5</t>
        </is>
      </c>
      <c r="D62" s="8" t="inlineStr">
        <is>
          <t>핵심</t>
        </is>
      </c>
    </row>
    <row r="63">
      <c r="A63" s="9" t="inlineStr">
        <is>
          <t>포획 몬스터 진화 트리</t>
        </is>
      </c>
      <c r="B63" s="9" t="inlineStr">
        <is>
          <t>10계열 3단 진화+교배 5종</t>
        </is>
      </c>
      <c r="C63" s="9" t="inlineStr">
        <is>
          <t>현행 v3.5</t>
        </is>
      </c>
      <c r="D63" s="9" t="inlineStr">
        <is>
          <t>핵심</t>
        </is>
      </c>
    </row>
    <row r="64">
      <c r="A64" s="8" t="inlineStr"/>
      <c r="B64" s="8" t="inlineStr"/>
      <c r="C64" s="8" t="inlineStr"/>
      <c r="D64" s="8" t="inlineStr"/>
    </row>
    <row r="65">
      <c r="A65" s="9" t="inlineStr">
        <is>
          <t>═══ 엔드게임 &amp; 세계관 ═══</t>
        </is>
      </c>
      <c r="B65" s="9" t="inlineStr"/>
      <c r="C65" s="9" t="inlineStr"/>
      <c r="D65" s="9" t="inlineStr"/>
    </row>
    <row r="66">
      <c r="A66" s="8" t="inlineStr">
        <is>
          <t>심연의 탑</t>
        </is>
      </c>
      <c r="B66" s="8" t="inlineStr">
        <is>
          <t>100층 엔드게임</t>
        </is>
      </c>
      <c r="C66" s="8" t="inlineStr">
        <is>
          <t>현행 v3.5</t>
        </is>
      </c>
      <c r="D66" s="8" t="inlineStr">
        <is>
          <t>핵심</t>
        </is>
      </c>
    </row>
    <row r="67">
      <c r="A67" s="9" t="inlineStr">
        <is>
          <t>차원 정복</t>
        </is>
      </c>
      <c r="B67" s="9" t="inlineStr">
        <is>
          <t>5차원+최종 보스, 최종 엔드게임</t>
        </is>
      </c>
      <c r="C67" s="9" t="inlineStr">
        <is>
          <t>현행 v3.5</t>
        </is>
      </c>
      <c r="D67" s="9" t="inlineStr">
        <is>
          <t>핵심</t>
        </is>
      </c>
    </row>
    <row r="68">
      <c r="A68" s="8" t="inlineStr">
        <is>
          <t>세계관 &amp; 로어</t>
        </is>
      </c>
      <c r="B68" s="8" t="inlineStr">
        <is>
          <t>4시대+현재, 지역별 배경</t>
        </is>
      </c>
      <c r="C68" s="8" t="inlineStr">
        <is>
          <t>현행 v3.5</t>
        </is>
      </c>
      <c r="D68" s="8" t="inlineStr">
        <is>
          <t>핵심</t>
        </is>
      </c>
    </row>
    <row r="69">
      <c r="A69" s="9" t="inlineStr">
        <is>
          <t>비밀 지역 &amp; 히든</t>
        </is>
      </c>
      <c r="B69" s="9" t="inlineStr">
        <is>
          <t>비밀 지역 5곳+히든 보스 3종</t>
        </is>
      </c>
      <c r="C69" s="9" t="inlineStr">
        <is>
          <t>현행 v3.5</t>
        </is>
      </c>
      <c r="D69" s="9" t="inlineStr">
        <is>
          <t>확장</t>
        </is>
      </c>
    </row>
    <row r="70">
      <c r="A70" s="8" t="inlineStr">
        <is>
          <t>월드 이벤트 체인</t>
        </is>
      </c>
      <c r="B70" s="8" t="inlineStr">
        <is>
          <t>3종 대형 체인, 분기 결과</t>
        </is>
      </c>
      <c r="C70" s="8" t="inlineStr">
        <is>
          <t>현행 v3.5</t>
        </is>
      </c>
      <c r="D70" s="8" t="inlineStr">
        <is>
          <t>확장</t>
        </is>
      </c>
    </row>
    <row r="71">
      <c r="A71" s="9" t="inlineStr">
        <is>
          <t>서버 연대기</t>
        </is>
      </c>
      <c r="B71" s="9" t="inlineStr">
        <is>
          <t>역사 기록+명예의 전당</t>
        </is>
      </c>
      <c r="C71" s="9" t="inlineStr">
        <is>
          <t>현행 v3.5</t>
        </is>
      </c>
      <c r="D71" s="9" t="inlineStr">
        <is>
          <t>확장</t>
        </is>
      </c>
    </row>
    <row r="72">
      <c r="A72" s="8" t="inlineStr"/>
      <c r="B72" s="8" t="inlineStr"/>
      <c r="C72" s="8" t="inlineStr"/>
      <c r="D72" s="8" t="inlineStr"/>
    </row>
    <row r="73">
      <c r="A73" s="9" t="inlineStr">
        <is>
          <t>═══ 생활 &amp; UX ═══</t>
        </is>
      </c>
      <c r="B73" s="9" t="inlineStr"/>
      <c r="C73" s="9" t="inlineStr"/>
      <c r="D73" s="9" t="inlineStr"/>
    </row>
    <row r="74">
      <c r="A74" s="8" t="inlineStr">
        <is>
          <t>SLG 생활 콘텐츠</t>
        </is>
      </c>
      <c r="B74" s="8" t="inlineStr">
        <is>
          <t>낚시/요리/정원/펫</t>
        </is>
      </c>
      <c r="C74" s="8" t="inlineStr">
        <is>
          <t>현행 v3.5</t>
        </is>
      </c>
      <c r="D74" s="8" t="inlineStr">
        <is>
          <t>확장</t>
        </is>
      </c>
    </row>
    <row r="75">
      <c r="A75" s="9" t="inlineStr">
        <is>
          <t>NPC 호감도</t>
        </is>
      </c>
      <c r="B75" s="9" t="inlineStr">
        <is>
          <t>7명 NPC, 5단계, 동행</t>
        </is>
      </c>
      <c r="C75" s="9" t="inlineStr">
        <is>
          <t>현행 v3.5</t>
        </is>
      </c>
      <c r="D75" s="9" t="inlineStr">
        <is>
          <t>확장</t>
        </is>
      </c>
    </row>
    <row r="76">
      <c r="A76" s="8" t="inlineStr">
        <is>
          <t>SLG 메인 화면</t>
        </is>
      </c>
      <c r="B76" s="8" t="inlineStr">
        <is>
          <t>UI 레이아웃</t>
        </is>
      </c>
      <c r="C76" s="8" t="inlineStr">
        <is>
          <t>현행 v3.5</t>
        </is>
      </c>
      <c r="D76" s="8" t="inlineStr">
        <is>
          <t>핵심</t>
        </is>
      </c>
    </row>
    <row r="77">
      <c r="A77" s="9" t="inlineStr">
        <is>
          <t>일일 주간 루틴</t>
        </is>
      </c>
      <c r="B77" s="9" t="inlineStr">
        <is>
          <t>매일/매주 콘텐츠 가이드</t>
        </is>
      </c>
      <c r="C77" s="9" t="inlineStr">
        <is>
          <t>현행 v3.5</t>
        </is>
      </c>
      <c r="D77" s="9" t="inlineStr">
        <is>
          <t>핵심</t>
        </is>
      </c>
    </row>
    <row r="78">
      <c r="A78" s="8" t="inlineStr">
        <is>
          <t>서버 주간 시간표</t>
        </is>
      </c>
      <c r="B78" s="8" t="inlineStr">
        <is>
          <t>요일/시간별 이벤트</t>
        </is>
      </c>
      <c r="C78" s="8" t="inlineStr">
        <is>
          <t>현행 v3.5</t>
        </is>
      </c>
      <c r="D78" s="8" t="inlineStr">
        <is>
          <t>핵심</t>
        </is>
      </c>
    </row>
    <row r="79">
      <c r="A79" s="9" t="inlineStr">
        <is>
          <t>초보자 튜토리얼</t>
        </is>
      </c>
      <c r="B79" s="9" t="inlineStr">
        <is>
          <t>10단계 ��보딩</t>
        </is>
      </c>
      <c r="C79" s="9" t="inlineStr">
        <is>
          <t>현행 v3.5</t>
        </is>
      </c>
      <c r="D79" s="9" t="inlineStr">
        <is>
          <t>핵심</t>
        </is>
      </c>
    </row>
    <row r="80">
      <c r="A80" s="8" t="inlineStr">
        <is>
          <t>업적 대전과</t>
        </is>
      </c>
      <c r="B80" s="8" t="inlineStr">
        <is>
          <t>600+업적, 도감 205항목</t>
        </is>
      </c>
      <c r="C80" s="8" t="inlineStr">
        <is>
          <t>현행 v3.5</t>
        </is>
      </c>
      <c r="D80" s="8" t="inlineStr">
        <is>
          <t>확장</t>
        </is>
      </c>
    </row>
    <row r="81">
      <c r="A81" s="9" t="inlineStr"/>
      <c r="B81" s="9" t="inlineStr"/>
      <c r="C81" s="9" t="inlineStr"/>
      <c r="D81" s="9" t="inlineStr"/>
    </row>
    <row r="82">
      <c r="A82" s="8" t="inlineStr">
        <is>
          <t>═══ 운영 &amp; 수익 ═══</t>
        </is>
      </c>
      <c r="B82" s="8" t="inlineStr"/>
      <c r="C82" s="8" t="inlineStr"/>
      <c r="D82" s="8" t="inlineStr"/>
    </row>
    <row r="83">
      <c r="A83" s="9" t="inlineStr">
        <is>
          <t>배틀패스</t>
        </is>
      </c>
      <c r="B83" s="9" t="inlineStr">
        <is>
          <t>50레벨, 시즌 보상</t>
        </is>
      </c>
      <c r="C83" s="9" t="inlineStr">
        <is>
          <t>현행 v3.5</t>
        </is>
      </c>
      <c r="D83" s="9" t="inlineStr">
        <is>
          <t>핵심</t>
        </is>
      </c>
    </row>
    <row r="84">
      <c r="A84" s="8" t="inlineStr">
        <is>
          <t>수익화 모델</t>
        </is>
      </c>
      <c r="B84" s="8" t="inlineStr">
        <is>
          <t>BM 전략 상세</t>
        </is>
      </c>
      <c r="C84" s="8" t="inlineStr">
        <is>
          <t>현행 v3.5</t>
        </is>
      </c>
      <c r="D84" s="8" t="inlineStr">
        <is>
          <t>핵심</t>
        </is>
      </c>
    </row>
    <row r="85">
      <c r="A85" s="9" t="inlineStr">
        <is>
          <t>개발 로드맵</t>
        </is>
      </c>
      <c r="B85" s="9" t="inlineStr">
        <is>
          <t>4단계 Phase 구현 계획</t>
        </is>
      </c>
      <c r="C85" s="9" t="inlineStr">
        <is>
          <t>현행 v3.5</t>
        </is>
      </c>
      <c r="D85" s="9" t="inlineStr">
        <is>
          <t>핵심</t>
        </is>
      </c>
    </row>
    <row r="86">
      <c r="A86" s="8" t="inlineStr">
        <is>
          <t>밸런스 수치표</t>
        </is>
      </c>
      <c r="B86" s="8" t="inlineStr">
        <is>
          <t>전투/경제/성장 공식</t>
        </is>
      </c>
      <c r="C86" s="8" t="inlineStr">
        <is>
          <t>현행 v3.5</t>
        </is>
      </c>
      <c r="D86" s="8" t="inlineStr">
        <is>
          <t>핵심</t>
        </is>
      </c>
    </row>
    <row r="87">
      <c r="A87" s="9" t="inlineStr">
        <is>
          <t>IO↔SLG 보상 순환</t>
        </is>
      </c>
      <c r="B87" s="9" t="inlineStr">
        <is>
          <t>양���향 보상 연결</t>
        </is>
      </c>
      <c r="C87" s="9" t="inlineStr">
        <is>
          <t>현행 v3.5</t>
        </is>
      </c>
      <c r="D87" s="9" t="inlineStr">
        <is>
          <t>핵심</t>
        </is>
      </c>
    </row>
    <row r="88">
      <c r="A88" s="8" t="inlineStr">
        <is>
          <t>v3.0 게임 구조</t>
        </is>
      </c>
      <c r="B88" s="8" t="inlineStr">
        <is>
          <t>2단계 루프 설계</t>
        </is>
      </c>
      <c r="C88" s="8" t="inlineStr">
        <is>
          <t>현행 v3.5</t>
        </is>
      </c>
      <c r="D88" s="8" t="inlineStr">
        <is>
          <t>핵심</t>
        </is>
      </c>
    </row>
    <row r="89">
      <c r="A89" s="9" t="inlineStr">
        <is>
          <t>SLG 시즌 이벤트</t>
        </is>
      </c>
      <c r="B89" s="9" t="inlineStr">
        <is>
          <t>4종 대형 시즌</t>
        </is>
      </c>
      <c r="C89" s="9" t="inlineStr">
        <is>
          <t>현행 v3.5</t>
        </is>
      </c>
      <c r="D89" s="9" t="inlineStr">
        <is>
          <t>확장</t>
        </is>
      </c>
    </row>
    <row r="90">
      <c r="A90" s="8" t="inlineStr">
        <is>
          <t>전체 이벤트 목록</t>
        </is>
      </c>
      <c r="B90" s="8" t="inlineStr">
        <is>
          <t>11종 이벤트</t>
        </is>
      </c>
      <c r="C90" s="8" t="inlineStr">
        <is>
          <t>현행 v3.5</t>
        </is>
      </c>
      <c r="D90" s="8" t="inlineStr">
        <is>
          <t>확장</t>
        </is>
      </c>
    </row>
    <row r="91">
      <c r="A91" s="9" t="inlineStr">
        <is>
          <t>마법 연구 트리</t>
        </is>
      </c>
      <c r="B91" s="9" t="inlineStr">
        <is>
          <t>4분야 18연구 126레벨</t>
        </is>
      </c>
      <c r="C91" s="9" t="inlineStr">
        <is>
          <t>현행 v3.5</t>
        </is>
      </c>
      <c r="D91" s="9" t="inlineStr">
        <is>
          <t>확장</t>
        </is>
      </c>
    </row>
    <row r="92">
      <c r="A92" s="8" t="inlineStr">
        <is>
          <t>SLG 월드맵 &amp; 영토</t>
        </is>
      </c>
      <c r="B92" s="8" t="inlineStr">
        <is>
          <t>12지역, 특산물, 점령</t>
        </is>
      </c>
      <c r="C92" s="8" t="inlineStr">
        <is>
          <t>현행 v3.5</t>
        </is>
      </c>
      <c r="D92" s="8" t="inlineStr">
        <is>
          <t>핵심</t>
        </is>
      </c>
    </row>
    <row r="93">
      <c r="A93" s="9" t="inlineStr"/>
      <c r="B93" s="9" t="inlineStr"/>
      <c r="C93" s="9" t="inlineStr"/>
      <c r="D93" s="9" t="inlineStr"/>
    </row>
    <row r="94">
      <c r="A94" s="8" t="inlineStr">
        <is>
          <t>═══ 레거시 (v1.0~v2.59) ═══</t>
        </is>
      </c>
      <c r="B94" s="8" t="inlineStr"/>
      <c r="C94" s="8" t="inlineStr"/>
      <c r="D94" s="8" t="inlineStr"/>
    </row>
    <row r="95">
      <c r="A95" s="9" t="inlineStr">
        <is>
          <t>클래스 &amp; 전직 ~ v2.59 신규</t>
        </is>
      </c>
      <c r="B95" s="9" t="inlineStr">
        <is>
          <t>v3 이전 상세 시스템 (약 100시트)</t>
        </is>
      </c>
      <c r="C95" s="9" t="inlineStr">
        <is>
          <t>레거시</t>
        </is>
      </c>
      <c r="D95" s="9" t="inlineStr">
        <is>
          <t>참고용</t>
        </is>
      </c>
    </row>
    <row r="96">
      <c r="A96" s="8" t="inlineStr">
        <is>
          <t>패치 노트 / v1.9~v2.18</t>
        </is>
      </c>
      <c r="B96" s="8" t="inlineStr">
        <is>
          <t>과거 패치 히스토리</t>
        </is>
      </c>
      <c r="C96" s="8" t="inlineStr">
        <is>
          <t>레거시</t>
        </is>
      </c>
      <c r="D96" s="8" t="inlineStr">
        <is>
          <t>참고용</t>
        </is>
      </c>
    </row>
    <row r="97">
      <c r="A97" s="9" t="inlineStr">
        <is>
          <t>(상세 목록 생략)</t>
        </is>
      </c>
      <c r="B97" s="9" t="inlineStr">
        <is>
          <t>기존 v2 시스템은 v3에서 리디자인됨</t>
        </is>
      </c>
      <c r="C97" s="9" t="inlineStr">
        <is>
          <t>레거시</t>
        </is>
      </c>
      <c r="D97" s="9"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15" customWidth="1" min="1" max="1"/>
    <col width="12" customWidth="1" min="2" max="2"/>
    <col width="8" customWidth="1" min="3" max="3"/>
    <col width="8" customWidth="1" min="4" max="4"/>
    <col width="8" customWidth="1" min="5" max="5"/>
    <col width="8" customWidth="1" min="6" max="6"/>
    <col width="8" customWidth="1" min="7" max="7"/>
    <col width="8" customWidth="1" min="8" max="8"/>
    <col width="6" customWidth="1" min="9" max="9"/>
    <col width="30" customWidth="1" min="10" max="10"/>
  </cols>
  <sheetData>
    <row r="1">
      <c r="A1" s="6" t="inlineStr">
        <is>
          <t>클래스 시스템</t>
        </is>
      </c>
    </row>
    <row r="3">
      <c r="A3" s="7" t="inlineStr">
        <is>
          <t>클래스</t>
        </is>
      </c>
      <c r="B3" s="7" t="inlineStr">
        <is>
          <t>표시명</t>
        </is>
      </c>
      <c r="C3" s="7" t="inlineStr">
        <is>
          <t>HP</t>
        </is>
      </c>
      <c r="D3" s="7" t="inlineStr">
        <is>
          <t>ATK</t>
        </is>
      </c>
      <c r="E3" s="7" t="inlineStr">
        <is>
          <t>DEF</t>
        </is>
      </c>
      <c r="F3" s="7" t="inlineStr">
        <is>
          <t>SPD</t>
        </is>
      </c>
      <c r="G3" s="7" t="inlineStr">
        <is>
          <t>CRIT</t>
        </is>
      </c>
      <c r="H3" s="7" t="inlineStr">
        <is>
          <t>회피</t>
        </is>
      </c>
      <c r="I3" s="7" t="inlineStr">
        <is>
          <t>AOE</t>
        </is>
      </c>
      <c r="J3" s="7" t="inlineStr">
        <is>
          <t>설명</t>
        </is>
      </c>
    </row>
    <row r="4">
      <c r="A4" s="8" t="inlineStr">
        <is>
          <t>Assassin</t>
        </is>
      </c>
      <c r="B4" s="8" t="inlineStr">
        <is>
          <t>어쌔신</t>
        </is>
      </c>
      <c r="C4" s="8" t="n">
        <v>120</v>
      </c>
      <c r="D4" s="8" t="n">
        <v>45</v>
      </c>
      <c r="E4" s="8" t="n">
        <v>8</v>
      </c>
      <c r="F4" s="8" t="n">
        <v>22</v>
      </c>
      <c r="G4" s="8" t="inlineStr">
        <is>
          <t>25%</t>
        </is>
      </c>
      <c r="H4" s="8" t="inlineStr">
        <is>
          <t>15%</t>
        </is>
      </c>
      <c r="I4" s="8" t="inlineStr">
        <is>
          <t>X</t>
        </is>
      </c>
      <c r="J4" s="8" t="inlineStr">
        <is>
          <t>빠른 속도, 높은 크리티컬 암살자</t>
        </is>
      </c>
    </row>
    <row r="5">
      <c r="A5" s="9" t="inlineStr">
        <is>
          <t>Warrior</t>
        </is>
      </c>
      <c r="B5" s="9" t="inlineStr">
        <is>
          <t>워리어</t>
        </is>
      </c>
      <c r="C5" s="9" t="n">
        <v>180</v>
      </c>
      <c r="D5" s="9" t="n">
        <v>30</v>
      </c>
      <c r="E5" s="9" t="n">
        <v>15</v>
      </c>
      <c r="F5" s="9" t="n">
        <v>12</v>
      </c>
      <c r="G5" s="9" t="inlineStr">
        <is>
          <t>10%</t>
        </is>
      </c>
      <c r="H5" s="9" t="inlineStr">
        <is>
          <t>5%</t>
        </is>
      </c>
      <c r="I5" s="9" t="inlineStr">
        <is>
          <t>X</t>
        </is>
      </c>
      <c r="J5" s="9" t="inlineStr">
        <is>
          <t>균형 잡힌 공방의 전사</t>
        </is>
      </c>
    </row>
    <row r="6">
      <c r="A6" s="8" t="inlineStr">
        <is>
          <t>Knight</t>
        </is>
      </c>
      <c r="B6" s="8" t="inlineStr">
        <is>
          <t>나이트</t>
        </is>
      </c>
      <c r="C6" s="8" t="n">
        <v>300</v>
      </c>
      <c r="D6" s="8" t="n">
        <v>15</v>
      </c>
      <c r="E6" s="8" t="n">
        <v>30</v>
      </c>
      <c r="F6" s="8" t="n">
        <v>10</v>
      </c>
      <c r="G6" s="8" t="inlineStr">
        <is>
          <t>5%</t>
        </is>
      </c>
      <c r="H6" s="8" t="inlineStr">
        <is>
          <t>2%</t>
        </is>
      </c>
      <c r="I6" s="8" t="inlineStr">
        <is>
          <t>X</t>
        </is>
      </c>
      <c r="J6" s="8" t="inlineStr">
        <is>
          <t>철벽 방어 탱커</t>
        </is>
      </c>
    </row>
    <row r="7">
      <c r="A7" s="9" t="inlineStr">
        <is>
          <t>Mage</t>
        </is>
      </c>
      <c r="B7" s="9" t="inlineStr">
        <is>
          <t>메이지</t>
        </is>
      </c>
      <c r="C7" s="9" t="n">
        <v>90</v>
      </c>
      <c r="D7" s="9" t="n">
        <v>10</v>
      </c>
      <c r="E7" s="9" t="n">
        <v>5</v>
      </c>
      <c r="F7" s="9" t="n">
        <v>9</v>
      </c>
      <c r="G7" s="9" t="inlineStr">
        <is>
          <t>15%</t>
        </is>
      </c>
      <c r="H7" s="9" t="inlineStr">
        <is>
          <t>10%</t>
        </is>
      </c>
      <c r="I7" s="9" t="inlineStr">
        <is>
          <t>O</t>
        </is>
      </c>
      <c r="J7" s="9" t="inlineStr">
        <is>
          <t>강력한 광역 마법사</t>
        </is>
      </c>
    </row>
    <row r="8">
      <c r="A8" s="8" t="inlineStr">
        <is>
          <t>GuardianTower</t>
        </is>
      </c>
      <c r="B8" s="8" t="inlineStr">
        <is>
          <t>가디언 타워</t>
        </is>
      </c>
      <c r="C8" s="8" t="n">
        <v>600</v>
      </c>
      <c r="D8" s="8" t="n">
        <v>35</v>
      </c>
      <c r="E8" s="8" t="n">
        <v>25</v>
      </c>
      <c r="F8" s="8" t="n">
        <v>0</v>
      </c>
      <c r="G8" s="8" t="inlineStr">
        <is>
          <t>5%</t>
        </is>
      </c>
      <c r="H8" s="8" t="inlineStr">
        <is>
          <t>0%</t>
        </is>
      </c>
      <c r="I8" s="8" t="inlineStr">
        <is>
          <t>X</t>
        </is>
      </c>
      <c r="J8" s="8" t="inlineStr">
        <is>
          <t>고정 방어탑 (설치형)</t>
        </is>
      </c>
    </row>
    <row r="10">
      <c r="A10" s="10" t="inlineStr">
        <is>
          <t>전직 시스템 (Lv.20)</t>
        </is>
      </c>
    </row>
    <row r="11">
      <c r="A11" s="11" t="inlineStr">
        <is>
          <t>원래 클래스</t>
        </is>
      </c>
      <c r="B11" s="11" t="inlineStr">
        <is>
          <t>전직 클래스</t>
        </is>
      </c>
      <c r="C11" s="11" t="inlineStr">
        <is>
          <t>표시명</t>
        </is>
      </c>
      <c r="D11" s="11" t="inlineStr">
        <is>
          <t>ATK+</t>
        </is>
      </c>
      <c r="E11" s="11" t="inlineStr">
        <is>
          <t>DEF+</t>
        </is>
      </c>
      <c r="F11" s="11" t="inlineStr">
        <is>
          <t>HP+</t>
        </is>
      </c>
      <c r="G11" s="11" t="inlineStr">
        <is>
          <t>CRIT+</t>
        </is>
      </c>
      <c r="H11" s="11" t="inlineStr">
        <is>
          <t>SPD+</t>
        </is>
      </c>
      <c r="I11" s="11" t="inlineStr">
        <is>
          <t>회피+</t>
        </is>
      </c>
    </row>
    <row r="12">
      <c r="A12" s="3" t="inlineStr">
        <is>
          <t>Assassin</t>
        </is>
      </c>
      <c r="B12" s="3" t="inlineStr">
        <is>
          <t>ShadowLord</t>
        </is>
      </c>
      <c r="C12" s="3" t="inlineStr">
        <is>
          <t>쉐도우로드</t>
        </is>
      </c>
      <c r="D12" s="3" t="inlineStr">
        <is>
          <t>+20</t>
        </is>
      </c>
      <c r="E12" s="3" t="inlineStr">
        <is>
          <t>-</t>
        </is>
      </c>
      <c r="F12" s="3" t="inlineStr">
        <is>
          <t>-</t>
        </is>
      </c>
      <c r="G12" s="3" t="inlineStr">
        <is>
          <t>+10%</t>
        </is>
      </c>
      <c r="H12" s="3" t="inlineStr">
        <is>
          <t>+5</t>
        </is>
      </c>
      <c r="I12" s="3" t="inlineStr">
        <is>
          <t>-</t>
        </is>
      </c>
    </row>
    <row r="13">
      <c r="A13" s="3" t="inlineStr">
        <is>
          <t>Warrior</t>
        </is>
      </c>
      <c r="B13" s="3" t="inlineStr">
        <is>
          <t>Warlord</t>
        </is>
      </c>
      <c r="C13" s="3" t="inlineStr">
        <is>
          <t>워로드</t>
        </is>
      </c>
      <c r="D13" s="3" t="inlineStr">
        <is>
          <t>+15</t>
        </is>
      </c>
      <c r="E13" s="3" t="inlineStr">
        <is>
          <t>+15</t>
        </is>
      </c>
      <c r="F13" s="3" t="inlineStr">
        <is>
          <t>+100</t>
        </is>
      </c>
      <c r="G13" s="3" t="inlineStr">
        <is>
          <t>-</t>
        </is>
      </c>
      <c r="H13" s="3" t="inlineStr">
        <is>
          <t>-</t>
        </is>
      </c>
      <c r="I13" s="3" t="inlineStr">
        <is>
          <t>-</t>
        </is>
      </c>
    </row>
    <row r="14">
      <c r="A14" s="3" t="inlineStr">
        <is>
          <t>Knight</t>
        </is>
      </c>
      <c r="B14" s="3" t="inlineStr">
        <is>
          <t>HolyKnight</t>
        </is>
      </c>
      <c r="C14" s="3" t="inlineStr">
        <is>
          <t>홀리나이트</t>
        </is>
      </c>
      <c r="D14" s="3" t="inlineStr">
        <is>
          <t>-</t>
        </is>
      </c>
      <c r="E14" s="3" t="inlineStr">
        <is>
          <t>+25</t>
        </is>
      </c>
      <c r="F14" s="3" t="inlineStr">
        <is>
          <t>+200</t>
        </is>
      </c>
      <c r="G14" s="3" t="inlineStr">
        <is>
          <t>-</t>
        </is>
      </c>
      <c r="H14" s="3" t="inlineStr">
        <is>
          <t>-</t>
        </is>
      </c>
      <c r="I14" s="3" t="inlineStr">
        <is>
          <t>+5%</t>
        </is>
      </c>
    </row>
    <row r="15">
      <c r="A15" s="3" t="inlineStr">
        <is>
          <t>Mage</t>
        </is>
      </c>
      <c r="B15" s="3" t="inlineStr">
        <is>
          <t>Archmage</t>
        </is>
      </c>
      <c r="C15" s="3" t="inlineStr">
        <is>
          <t>아크메이지</t>
        </is>
      </c>
      <c r="D15" s="3" t="inlineStr">
        <is>
          <t>+30</t>
        </is>
      </c>
      <c r="E15" s="3" t="inlineStr">
        <is>
          <t>-</t>
        </is>
      </c>
      <c r="F15" s="3" t="inlineStr">
        <is>
          <t>-</t>
        </is>
      </c>
      <c r="G15" s="3" t="inlineStr">
        <is>
          <t>+15%</t>
        </is>
      </c>
      <c r="H15" s="3" t="inlineStr">
        <is>
          <t>-</t>
        </is>
      </c>
      <c r="I15" s="3" t="inlineStr">
        <is>
          <t>-</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10" customWidth="1" min="1" max="1"/>
    <col width="16" customWidth="1" min="2" max="2"/>
    <col width="12" customWidth="1" min="3" max="3"/>
    <col width="12" customWidth="1" min="4" max="4"/>
    <col width="8" customWidth="1" min="5" max="5"/>
    <col width="6" customWidth="1" min="6" max="6"/>
    <col width="10" customWidth="1" min="7" max="7"/>
    <col width="32" customWidth="1" min="8" max="8"/>
  </cols>
  <sheetData>
    <row r="1">
      <c r="A1" s="6" t="inlineStr">
        <is>
          <t>클래스 스킬 (5클래스 × 6스킬 = 30종 — v1.15 각성기 5종 추가)</t>
        </is>
      </c>
    </row>
    <row r="3">
      <c r="A3" s="7" t="inlineStr">
        <is>
          <t>클래스</t>
        </is>
      </c>
      <c r="B3" s="7" t="inlineStr">
        <is>
          <t>스킬명</t>
        </is>
      </c>
      <c r="C3" s="7" t="inlineStr">
        <is>
          <t>피해배수</t>
        </is>
      </c>
      <c r="D3" s="7" t="inlineStr">
        <is>
          <t>쿨타임(초)</t>
        </is>
      </c>
      <c r="E3" s="7" t="inlineStr">
        <is>
          <t>사거리</t>
        </is>
      </c>
      <c r="F3" s="7" t="inlineStr">
        <is>
          <t>AOE</t>
        </is>
      </c>
      <c r="G3" s="7" t="inlineStr">
        <is>
          <t>습득레벨</t>
        </is>
      </c>
      <c r="H3" s="7" t="inlineStr">
        <is>
          <t>특수효과</t>
        </is>
      </c>
    </row>
    <row r="4">
      <c r="A4" s="8" t="inlineStr">
        <is>
          <t>어쌔신</t>
        </is>
      </c>
      <c r="B4" s="8" t="inlineStr">
        <is>
          <t>그림자 일격</t>
        </is>
      </c>
      <c r="C4" s="8" t="inlineStr">
        <is>
          <t>3.0배</t>
        </is>
      </c>
      <c r="D4" s="8" t="n">
        <v>5</v>
      </c>
      <c r="E4" s="8" t="inlineStr">
        <is>
          <t>3</t>
        </is>
      </c>
      <c r="F4" s="8" t="inlineStr">
        <is>
          <t>-</t>
        </is>
      </c>
      <c r="G4" s="8" t="inlineStr">
        <is>
          <t>Lv.1</t>
        </is>
      </c>
      <c r="H4" s="8" t="inlineStr">
        <is>
          <t>단일 대상 고데미지 + 크리</t>
        </is>
      </c>
    </row>
    <row r="5">
      <c r="A5" s="9" t="inlineStr">
        <is>
          <t>어쌔신</t>
        </is>
      </c>
      <c r="B5" s="9" t="inlineStr">
        <is>
          <t>독 바르기</t>
        </is>
      </c>
      <c r="C5" s="9" t="inlineStr">
        <is>
          <t>패시브</t>
        </is>
      </c>
      <c r="D5" s="9" t="inlineStr">
        <is>
          <t>-</t>
        </is>
      </c>
      <c r="E5" s="9" t="inlineStr">
        <is>
          <t>-</t>
        </is>
      </c>
      <c r="F5" s="9" t="inlineStr">
        <is>
          <t>-</t>
        </is>
      </c>
      <c r="G5" s="9" t="inlineStr">
        <is>
          <t>Lv.5</t>
        </is>
      </c>
      <c r="H5" s="9" t="inlineStr">
        <is>
          <t>독 DOT 15/3초</t>
        </is>
      </c>
    </row>
    <row r="6">
      <c r="A6" s="8" t="inlineStr">
        <is>
          <t>어쌔신</t>
        </is>
      </c>
      <c r="B6" s="8" t="inlineStr">
        <is>
          <t>은신</t>
        </is>
      </c>
      <c r="C6" s="8" t="inlineStr">
        <is>
          <t>-</t>
        </is>
      </c>
      <c r="D6" s="8" t="n">
        <v>15</v>
      </c>
      <c r="E6" s="8" t="inlineStr">
        <is>
          <t>-</t>
        </is>
      </c>
      <c r="F6" s="8" t="inlineStr">
        <is>
          <t>-</t>
        </is>
      </c>
      <c r="G6" s="8" t="inlineStr">
        <is>
          <t>Lv.10</t>
        </is>
      </c>
      <c r="H6" s="8" t="inlineStr">
        <is>
          <t>5초 은신 + 다음 공격 ×2</t>
        </is>
      </c>
    </row>
    <row r="7">
      <c r="A7" s="9" t="inlineStr">
        <is>
          <t>어쌔신</t>
        </is>
      </c>
      <c r="B7" s="9" t="inlineStr">
        <is>
          <t>연속 베기</t>
        </is>
      </c>
      <c r="C7" s="9" t="inlineStr">
        <is>
          <t>1.5배×4</t>
        </is>
      </c>
      <c r="D7" s="9" t="n">
        <v>8</v>
      </c>
      <c r="E7" s="9" t="inlineStr">
        <is>
          <t>2</t>
        </is>
      </c>
      <c r="F7" s="9" t="inlineStr">
        <is>
          <t>-</t>
        </is>
      </c>
      <c r="G7" s="9" t="inlineStr">
        <is>
          <t>Lv.15</t>
        </is>
      </c>
      <c r="H7" s="9" t="inlineStr">
        <is>
          <t>4회 연속 공격</t>
        </is>
      </c>
    </row>
    <row r="8">
      <c r="A8" s="8" t="inlineStr">
        <is>
          <t>어쌔신</t>
        </is>
      </c>
      <c r="B8" s="8" t="inlineStr">
        <is>
          <t>암살</t>
        </is>
      </c>
      <c r="C8" s="8" t="inlineStr">
        <is>
          <t>8.0배</t>
        </is>
      </c>
      <c r="D8" s="8" t="n">
        <v>60</v>
      </c>
      <c r="E8" s="8" t="inlineStr">
        <is>
          <t>2</t>
        </is>
      </c>
      <c r="F8" s="8" t="inlineStr">
        <is>
          <t>-</t>
        </is>
      </c>
      <c r="G8" s="8" t="inlineStr">
        <is>
          <t>Lv.25</t>
        </is>
      </c>
      <c r="H8" s="8" t="inlineStr">
        <is>
          <t>체력 30% 이하 즉사</t>
        </is>
      </c>
    </row>
    <row r="9">
      <c r="A9" s="9" t="inlineStr">
        <is>
          <t>어쌔신</t>
        </is>
      </c>
      <c r="B9" s="9" t="inlineStr">
        <is>
          <t>천 개의 칼날</t>
        </is>
      </c>
      <c r="C9" s="9" t="inlineStr">
        <is>
          <t>3.5배×7</t>
        </is>
      </c>
      <c r="D9" s="9" t="n">
        <v>150</v>
      </c>
      <c r="E9" s="9" t="inlineStr">
        <is>
          <t>3</t>
        </is>
      </c>
      <c r="F9" s="9" t="inlineStr">
        <is>
          <t>O</t>
        </is>
      </c>
      <c r="G9" s="9" t="inlineStr">
        <is>
          <t>Lv.40</t>
        </is>
      </c>
      <c r="H9" s="9" t="inlineStr">
        <is>
          <t>각성기 — v1.15 신규</t>
        </is>
      </c>
    </row>
    <row r="10">
      <c r="A10" s="8" t="inlineStr">
        <is>
          <t>워리어</t>
        </is>
      </c>
      <c r="B10" s="8" t="inlineStr">
        <is>
          <t>파워 스트라이크</t>
        </is>
      </c>
      <c r="C10" s="8" t="inlineStr">
        <is>
          <t>2.5배</t>
        </is>
      </c>
      <c r="D10" s="8" t="n">
        <v>4</v>
      </c>
      <c r="E10" s="8" t="inlineStr">
        <is>
          <t>4</t>
        </is>
      </c>
      <c r="F10" s="8" t="inlineStr">
        <is>
          <t>-</t>
        </is>
      </c>
      <c r="G10" s="8" t="inlineStr">
        <is>
          <t>Lv.1</t>
        </is>
      </c>
      <c r="H10" s="8" t="inlineStr">
        <is>
          <t>넉백</t>
        </is>
      </c>
    </row>
    <row r="11">
      <c r="A11" s="9" t="inlineStr">
        <is>
          <t>워리어</t>
        </is>
      </c>
      <c r="B11" s="9" t="inlineStr">
        <is>
          <t>전투 함성</t>
        </is>
      </c>
      <c r="C11" s="9" t="inlineStr">
        <is>
          <t>-</t>
        </is>
      </c>
      <c r="D11" s="9" t="n">
        <v>20</v>
      </c>
      <c r="E11" s="9" t="inlineStr">
        <is>
          <t>6</t>
        </is>
      </c>
      <c r="F11" s="9" t="inlineStr">
        <is>
          <t>-</t>
        </is>
      </c>
      <c r="G11" s="9" t="inlineStr">
        <is>
          <t>Lv.5</t>
        </is>
      </c>
      <c r="H11" s="9" t="inlineStr">
        <is>
          <t>아군 ATK +20% / 10초</t>
        </is>
      </c>
    </row>
    <row r="12">
      <c r="A12" s="8" t="inlineStr">
        <is>
          <t>워리어</t>
        </is>
      </c>
      <c r="B12" s="8" t="inlineStr">
        <is>
          <t>분노</t>
        </is>
      </c>
      <c r="C12" s="8" t="inlineStr">
        <is>
          <t>패시브</t>
        </is>
      </c>
      <c r="D12" s="8" t="inlineStr">
        <is>
          <t>-</t>
        </is>
      </c>
      <c r="E12" s="8" t="inlineStr">
        <is>
          <t>-</t>
        </is>
      </c>
      <c r="F12" s="8" t="inlineStr">
        <is>
          <t>-</t>
        </is>
      </c>
      <c r="G12" s="8" t="inlineStr">
        <is>
          <t>Lv.10</t>
        </is>
      </c>
      <c r="H12" s="8" t="inlineStr">
        <is>
          <t>HP 50% 이하 ATK +30%</t>
        </is>
      </c>
    </row>
    <row r="13">
      <c r="A13" s="9" t="inlineStr">
        <is>
          <t>워리어</t>
        </is>
      </c>
      <c r="B13" s="9" t="inlineStr">
        <is>
          <t>회전 베기</t>
        </is>
      </c>
      <c r="C13" s="9" t="inlineStr">
        <is>
          <t>2.0배</t>
        </is>
      </c>
      <c r="D13" s="9" t="n">
        <v>6</v>
      </c>
      <c r="E13" s="9" t="inlineStr">
        <is>
          <t>3</t>
        </is>
      </c>
      <c r="F13" s="9" t="inlineStr">
        <is>
          <t>O</t>
        </is>
      </c>
      <c r="G13" s="9" t="inlineStr">
        <is>
          <t>Lv.15</t>
        </is>
      </c>
      <c r="H13" s="9" t="inlineStr">
        <is>
          <t>광역 공격</t>
        </is>
      </c>
    </row>
    <row r="14">
      <c r="A14" s="8" t="inlineStr">
        <is>
          <t>워리어</t>
        </is>
      </c>
      <c r="B14" s="8" t="inlineStr">
        <is>
          <t>버서커</t>
        </is>
      </c>
      <c r="C14" s="8" t="inlineStr">
        <is>
          <t>2.0배 (15초)</t>
        </is>
      </c>
      <c r="D14" s="8" t="n">
        <v>90</v>
      </c>
      <c r="E14" s="8" t="inlineStr">
        <is>
          <t>-</t>
        </is>
      </c>
      <c r="F14" s="8" t="inlineStr">
        <is>
          <t>-</t>
        </is>
      </c>
      <c r="G14" s="8" t="inlineStr">
        <is>
          <t>Lv.25</t>
        </is>
      </c>
      <c r="H14" s="8" t="inlineStr">
        <is>
          <t>ATK·SPD 1.5배 / DEF 0.5배</t>
        </is>
      </c>
    </row>
    <row r="15">
      <c r="A15" s="9" t="inlineStr">
        <is>
          <t>워리어</t>
        </is>
      </c>
      <c r="B15" s="9" t="inlineStr">
        <is>
          <t>대지 가르기</t>
        </is>
      </c>
      <c r="C15" s="9" t="inlineStr">
        <is>
          <t>6.0배</t>
        </is>
      </c>
      <c r="D15" s="9" t="n">
        <v>150</v>
      </c>
      <c r="E15" s="9" t="inlineStr">
        <is>
          <t>5</t>
        </is>
      </c>
      <c r="F15" s="9" t="inlineStr">
        <is>
          <t>O</t>
        </is>
      </c>
      <c r="G15" s="9" t="inlineStr">
        <is>
          <t>Lv.40</t>
        </is>
      </c>
      <c r="H15" s="9" t="inlineStr">
        <is>
          <t>각성기 — 광역 + 스턴 2초 — v1.15</t>
        </is>
      </c>
    </row>
    <row r="16">
      <c r="A16" s="8" t="inlineStr">
        <is>
          <t>나이트</t>
        </is>
      </c>
      <c r="B16" s="8" t="inlineStr">
        <is>
          <t>방패 강타</t>
        </is>
      </c>
      <c r="C16" s="8" t="inlineStr">
        <is>
          <t>2.0배</t>
        </is>
      </c>
      <c r="D16" s="8" t="n">
        <v>6</v>
      </c>
      <c r="E16" s="8" t="inlineStr">
        <is>
          <t>3</t>
        </is>
      </c>
      <c r="F16" s="8" t="inlineStr">
        <is>
          <t>-</t>
        </is>
      </c>
      <c r="G16" s="8" t="inlineStr">
        <is>
          <t>Lv.1</t>
        </is>
      </c>
      <c r="H16" s="8" t="inlineStr">
        <is>
          <t>스턴 1초</t>
        </is>
      </c>
    </row>
    <row r="17">
      <c r="A17" s="9" t="inlineStr">
        <is>
          <t>나이트</t>
        </is>
      </c>
      <c r="B17" s="9" t="inlineStr">
        <is>
          <t>수호 오라</t>
        </is>
      </c>
      <c r="C17" s="9" t="inlineStr">
        <is>
          <t>패시브</t>
        </is>
      </c>
      <c r="D17" s="9" t="inlineStr">
        <is>
          <t>-</t>
        </is>
      </c>
      <c r="E17" s="9" t="inlineStr">
        <is>
          <t>5</t>
        </is>
      </c>
      <c r="F17" s="9" t="inlineStr">
        <is>
          <t>-</t>
        </is>
      </c>
      <c r="G17" s="9" t="inlineStr">
        <is>
          <t>Lv.5</t>
        </is>
      </c>
      <c r="H17" s="9" t="inlineStr">
        <is>
          <t>아군 DEF +15%</t>
        </is>
      </c>
    </row>
    <row r="18">
      <c r="A18" s="8" t="inlineStr">
        <is>
          <t>나이트</t>
        </is>
      </c>
      <c r="B18" s="8" t="inlineStr">
        <is>
          <t>도발</t>
        </is>
      </c>
      <c r="C18" s="8" t="inlineStr">
        <is>
          <t>-</t>
        </is>
      </c>
      <c r="D18" s="8" t="n">
        <v>10</v>
      </c>
      <c r="E18" s="8" t="inlineStr">
        <is>
          <t>8</t>
        </is>
      </c>
      <c r="F18" s="8" t="inlineStr">
        <is>
          <t>O</t>
        </is>
      </c>
      <c r="G18" s="8" t="inlineStr">
        <is>
          <t>Lv.10</t>
        </is>
      </c>
      <c r="H18" s="8" t="inlineStr">
        <is>
          <t>적 어그로 집중</t>
        </is>
      </c>
    </row>
    <row r="19">
      <c r="A19" s="9" t="inlineStr">
        <is>
          <t>나이트</t>
        </is>
      </c>
      <c r="B19" s="9" t="inlineStr">
        <is>
          <t>철벽 방어</t>
        </is>
      </c>
      <c r="C19" s="9" t="inlineStr">
        <is>
          <t>-</t>
        </is>
      </c>
      <c r="D19" s="9" t="n">
        <v>15</v>
      </c>
      <c r="E19" s="9" t="inlineStr">
        <is>
          <t>-</t>
        </is>
      </c>
      <c r="F19" s="9" t="inlineStr">
        <is>
          <t>-</t>
        </is>
      </c>
      <c r="G19" s="9" t="inlineStr">
        <is>
          <t>Lv.15</t>
        </is>
      </c>
      <c r="H19" s="9" t="inlineStr">
        <is>
          <t>피해 70% 감소 / 5초</t>
        </is>
      </c>
    </row>
    <row r="20">
      <c r="A20" s="8" t="inlineStr">
        <is>
          <t>나이트</t>
        </is>
      </c>
      <c r="B20" s="8" t="inlineStr">
        <is>
          <t>신성한 방벽</t>
        </is>
      </c>
      <c r="C20" s="8" t="inlineStr">
        <is>
          <t>-</t>
        </is>
      </c>
      <c r="D20" s="8" t="n">
        <v>120</v>
      </c>
      <c r="E20" s="8" t="inlineStr">
        <is>
          <t>6</t>
        </is>
      </c>
      <c r="F20" s="8" t="inlineStr">
        <is>
          <t>-</t>
        </is>
      </c>
      <c r="G20" s="8" t="inlineStr">
        <is>
          <t>Lv.25</t>
        </is>
      </c>
      <c r="H20" s="8" t="inlineStr">
        <is>
          <t>아군 무적 3초</t>
        </is>
      </c>
    </row>
    <row r="21">
      <c r="A21" s="9" t="inlineStr">
        <is>
          <t>나이트</t>
        </is>
      </c>
      <c r="B21" s="9" t="inlineStr">
        <is>
          <t>불멸의 수호자</t>
        </is>
      </c>
      <c r="C21" s="9" t="inlineStr">
        <is>
          <t>-</t>
        </is>
      </c>
      <c r="D21" s="9" t="n">
        <v>180</v>
      </c>
      <c r="E21" s="9" t="inlineStr">
        <is>
          <t>8</t>
        </is>
      </c>
      <c r="F21" s="9" t="inlineStr">
        <is>
          <t>-</t>
        </is>
      </c>
      <c r="G21" s="9" t="inlineStr">
        <is>
          <t>Lv.40</t>
        </is>
      </c>
      <c r="H21" s="9" t="inlineStr">
        <is>
          <t>각성기 — 피해 90% 감소 + 도발 — v1.15</t>
        </is>
      </c>
    </row>
    <row r="22">
      <c r="A22" s="8" t="inlineStr">
        <is>
          <t>메이지</t>
        </is>
      </c>
      <c r="B22" s="8" t="inlineStr">
        <is>
          <t>파이어볼</t>
        </is>
      </c>
      <c r="C22" s="8" t="inlineStr">
        <is>
          <t>3.0배</t>
        </is>
      </c>
      <c r="D22" s="8" t="n">
        <v>3</v>
      </c>
      <c r="E22" s="8" t="inlineStr">
        <is>
          <t>6</t>
        </is>
      </c>
      <c r="F22" s="8" t="inlineStr">
        <is>
          <t>O</t>
        </is>
      </c>
      <c r="G22" s="8" t="inlineStr">
        <is>
          <t>Lv.1</t>
        </is>
      </c>
      <c r="H22" s="8" t="inlineStr">
        <is>
          <t>광역 화염</t>
        </is>
      </c>
    </row>
    <row r="23">
      <c r="A23" s="9" t="inlineStr">
        <is>
          <t>메이지</t>
        </is>
      </c>
      <c r="B23" s="9" t="inlineStr">
        <is>
          <t>아이스 볼트</t>
        </is>
      </c>
      <c r="C23" s="9" t="inlineStr">
        <is>
          <t>2.0배</t>
        </is>
      </c>
      <c r="D23" s="9" t="n">
        <v>5</v>
      </c>
      <c r="E23" s="9" t="inlineStr">
        <is>
          <t>5</t>
        </is>
      </c>
      <c r="F23" s="9" t="inlineStr">
        <is>
          <t>-</t>
        </is>
      </c>
      <c r="G23" s="9" t="inlineStr">
        <is>
          <t>Lv.5</t>
        </is>
      </c>
      <c r="H23" s="9" t="inlineStr">
        <is>
          <t>슬로우 50% / 3초</t>
        </is>
      </c>
    </row>
    <row r="24">
      <c r="A24" s="8" t="inlineStr">
        <is>
          <t>메이지</t>
        </is>
      </c>
      <c r="B24" s="8" t="inlineStr">
        <is>
          <t>마나 재생</t>
        </is>
      </c>
      <c r="C24" s="8" t="inlineStr">
        <is>
          <t>패시브</t>
        </is>
      </c>
      <c r="D24" s="8" t="inlineStr">
        <is>
          <t>-</t>
        </is>
      </c>
      <c r="E24" s="8" t="inlineStr">
        <is>
          <t>-</t>
        </is>
      </c>
      <c r="F24" s="8" t="inlineStr">
        <is>
          <t>-</t>
        </is>
      </c>
      <c r="G24" s="8" t="inlineStr">
        <is>
          <t>Lv.10</t>
        </is>
      </c>
      <c r="H24" s="8" t="inlineStr">
        <is>
          <t>MP 재생 +50%</t>
        </is>
      </c>
    </row>
    <row r="25">
      <c r="A25" s="9" t="inlineStr">
        <is>
          <t>메이지</t>
        </is>
      </c>
      <c r="B25" s="9" t="inlineStr">
        <is>
          <t>체인 라이트닝</t>
        </is>
      </c>
      <c r="C25" s="9" t="inlineStr">
        <is>
          <t>2.5배</t>
        </is>
      </c>
      <c r="D25" s="9" t="n">
        <v>8</v>
      </c>
      <c r="E25" s="9" t="inlineStr">
        <is>
          <t>6</t>
        </is>
      </c>
      <c r="F25" s="9" t="inlineStr">
        <is>
          <t>-</t>
        </is>
      </c>
      <c r="G25" s="9" t="inlineStr">
        <is>
          <t>Lv.15</t>
        </is>
      </c>
      <c r="H25" s="9" t="inlineStr">
        <is>
          <t>3회 연쇄</t>
        </is>
      </c>
    </row>
    <row r="26">
      <c r="A26" s="8" t="inlineStr">
        <is>
          <t>메이지</t>
        </is>
      </c>
      <c r="B26" s="8" t="inlineStr">
        <is>
          <t>메테오</t>
        </is>
      </c>
      <c r="C26" s="8" t="inlineStr">
        <is>
          <t>10.0배</t>
        </is>
      </c>
      <c r="D26" s="8" t="n">
        <v>90</v>
      </c>
      <c r="E26" s="8" t="inlineStr">
        <is>
          <t>8</t>
        </is>
      </c>
      <c r="F26" s="8" t="inlineStr">
        <is>
          <t>O</t>
        </is>
      </c>
      <c r="G26" s="8" t="inlineStr">
        <is>
          <t>Lv.25</t>
        </is>
      </c>
      <c r="H26" s="8" t="inlineStr">
        <is>
          <t>초광역 궁극기</t>
        </is>
      </c>
    </row>
    <row r="27">
      <c r="A27" s="9" t="inlineStr">
        <is>
          <t>메이지</t>
        </is>
      </c>
      <c r="B27" s="9" t="inlineStr">
        <is>
          <t>시간 정지</t>
        </is>
      </c>
      <c r="C27" s="9" t="inlineStr">
        <is>
          <t>12.0배</t>
        </is>
      </c>
      <c r="D27" s="9" t="n">
        <v>180</v>
      </c>
      <c r="E27" s="9" t="inlineStr">
        <is>
          <t>10</t>
        </is>
      </c>
      <c r="F27" s="9" t="inlineStr">
        <is>
          <t>O</t>
        </is>
      </c>
      <c r="G27" s="9" t="inlineStr">
        <is>
          <t>Lv.40</t>
        </is>
      </c>
      <c r="H27" s="9" t="inlineStr">
        <is>
          <t>각성기 — 광역 슬로우 90% — v1.15</t>
        </is>
      </c>
    </row>
    <row r="28">
      <c r="A28" s="8" t="inlineStr">
        <is>
          <t>클레릭</t>
        </is>
      </c>
      <c r="B28" s="8" t="inlineStr">
        <is>
          <t>홀리 라이트</t>
        </is>
      </c>
      <c r="C28" s="8" t="inlineStr">
        <is>
          <t>2.0배</t>
        </is>
      </c>
      <c r="D28" s="8" t="n">
        <v>4</v>
      </c>
      <c r="E28" s="8" t="inlineStr">
        <is>
          <t>5</t>
        </is>
      </c>
      <c r="F28" s="8" t="inlineStr">
        <is>
          <t>-</t>
        </is>
      </c>
      <c r="G28" s="8" t="inlineStr">
        <is>
          <t>Lv.1</t>
        </is>
      </c>
      <c r="H28" s="8" t="inlineStr">
        <is>
          <t>신성 데미지</t>
        </is>
      </c>
    </row>
    <row r="29">
      <c r="A29" s="9" t="inlineStr">
        <is>
          <t>클레릭</t>
        </is>
      </c>
      <c r="B29" s="9" t="inlineStr">
        <is>
          <t>치유의 손길</t>
        </is>
      </c>
      <c r="C29" s="9" t="inlineStr">
        <is>
          <t>패시브</t>
        </is>
      </c>
      <c r="D29" s="9" t="inlineStr">
        <is>
          <t>-</t>
        </is>
      </c>
      <c r="E29" s="9" t="inlineStr">
        <is>
          <t>5</t>
        </is>
      </c>
      <c r="F29" s="9" t="inlineStr">
        <is>
          <t>-</t>
        </is>
      </c>
      <c r="G29" s="9" t="inlineStr">
        <is>
          <t>Lv.1</t>
        </is>
      </c>
      <c r="H29" s="9" t="inlineStr">
        <is>
          <t>주변 아군 +8 HP/4초</t>
        </is>
      </c>
    </row>
    <row r="30">
      <c r="A30" s="8" t="inlineStr">
        <is>
          <t>클레릭</t>
        </is>
      </c>
      <c r="B30" s="8" t="inlineStr">
        <is>
          <t>축복</t>
        </is>
      </c>
      <c r="C30" s="8" t="inlineStr">
        <is>
          <t>-</t>
        </is>
      </c>
      <c r="D30" s="8" t="n">
        <v>25</v>
      </c>
      <c r="E30" s="8" t="inlineStr">
        <is>
          <t>6</t>
        </is>
      </c>
      <c r="F30" s="8" t="inlineStr">
        <is>
          <t>-</t>
        </is>
      </c>
      <c r="G30" s="8" t="inlineStr">
        <is>
          <t>Lv.5</t>
        </is>
      </c>
      <c r="H30" s="8" t="inlineStr">
        <is>
          <t>아군 ATK +20% / 15초</t>
        </is>
      </c>
    </row>
    <row r="31">
      <c r="A31" s="9" t="inlineStr">
        <is>
          <t>클레릭</t>
        </is>
      </c>
      <c r="B31" s="9" t="inlineStr">
        <is>
          <t>정화</t>
        </is>
      </c>
      <c r="C31" s="9" t="inlineStr">
        <is>
          <t>-</t>
        </is>
      </c>
      <c r="D31" s="9" t="n">
        <v>15</v>
      </c>
      <c r="E31" s="9" t="inlineStr">
        <is>
          <t>5</t>
        </is>
      </c>
      <c r="F31" s="9" t="inlineStr">
        <is>
          <t>-</t>
        </is>
      </c>
      <c r="G31" s="9" t="inlineStr">
        <is>
          <t>Lv.10</t>
        </is>
      </c>
      <c r="H31" s="9" t="inlineStr">
        <is>
          <t>디버프 제거</t>
        </is>
      </c>
    </row>
    <row r="32">
      <c r="A32" s="8" t="inlineStr">
        <is>
          <t>클레릭</t>
        </is>
      </c>
      <c r="B32" s="8" t="inlineStr">
        <is>
          <t>대천사의 강림</t>
        </is>
      </c>
      <c r="C32" s="8" t="inlineStr">
        <is>
          <t>-</t>
        </is>
      </c>
      <c r="D32" s="8" t="n">
        <v>120</v>
      </c>
      <c r="E32" s="8" t="inlineStr">
        <is>
          <t>8</t>
        </is>
      </c>
      <c r="F32" s="8" t="inlineStr">
        <is>
          <t>-</t>
        </is>
      </c>
      <c r="G32" s="8" t="inlineStr">
        <is>
          <t>Lv.25</t>
        </is>
      </c>
      <c r="H32" s="8" t="inlineStr">
        <is>
          <t>아군 50% HP 회복</t>
        </is>
      </c>
    </row>
    <row r="33">
      <c r="A33" s="9" t="inlineStr">
        <is>
          <t>클레릭</t>
        </is>
      </c>
      <c r="B33" s="9" t="inlineStr">
        <is>
          <t>신의 은총</t>
        </is>
      </c>
      <c r="C33" s="9" t="inlineStr">
        <is>
          <t>-</t>
        </is>
      </c>
      <c r="D33" s="9" t="n">
        <v>200</v>
      </c>
      <c r="E33" s="9" t="inlineStr">
        <is>
          <t>10</t>
        </is>
      </c>
      <c r="F33" s="9" t="inlineStr">
        <is>
          <t>-</t>
        </is>
      </c>
      <c r="G33" s="9" t="inlineStr">
        <is>
          <t>Lv.40</t>
        </is>
      </c>
      <c r="H33" s="9" t="inlineStr">
        <is>
          <t>각성기 — 100% 회복 + 전스탯 +50% — v1.15</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10" customWidth="1" min="1" max="1"/>
    <col width="14" customWidth="1" min="2" max="2"/>
    <col width="8" customWidth="1" min="3" max="3"/>
    <col width="8" customWidth="1" min="4" max="4"/>
    <col width="8" customWidth="1" min="5" max="5"/>
    <col width="10" customWidth="1" min="6" max="6"/>
    <col width="10" customWidth="1" min="7" max="7"/>
    <col width="10" customWidth="1" min="8" max="8"/>
    <col width="10" customWidth="1" min="9" max="9"/>
    <col width="12" customWidth="1" min="10" max="10"/>
    <col width="10" customWidth="1" min="11" max="11"/>
  </cols>
  <sheetData>
    <row r="1">
      <c r="A1" s="6" t="inlineStr">
        <is>
          <t>몬스터 &amp; 테이밍</t>
        </is>
      </c>
    </row>
    <row r="3">
      <c r="A3" s="7" t="inlineStr">
        <is>
          <t>등급</t>
        </is>
      </c>
      <c r="B3" s="7" t="inlineStr">
        <is>
          <t>이름</t>
        </is>
      </c>
      <c r="C3" s="7" t="inlineStr">
        <is>
          <t>HP</t>
        </is>
      </c>
      <c r="D3" s="7" t="inlineStr">
        <is>
          <t>ATK</t>
        </is>
      </c>
      <c r="E3" s="7" t="inlineStr">
        <is>
          <t>DEF</t>
        </is>
      </c>
      <c r="F3" s="7" t="inlineStr">
        <is>
          <t>경험치</t>
        </is>
      </c>
      <c r="G3" s="7" t="inlineStr">
        <is>
          <t>골드</t>
        </is>
      </c>
      <c r="H3" s="7" t="inlineStr">
        <is>
          <t>스폰비중</t>
        </is>
      </c>
      <c r="I3" s="7" t="inlineStr">
        <is>
          <t>색상</t>
        </is>
      </c>
      <c r="J3" s="7" t="inlineStr">
        <is>
          <t>테이밍확률</t>
        </is>
      </c>
      <c r="K3" s="7" t="inlineStr">
        <is>
          <t>테이밍비용</t>
        </is>
      </c>
    </row>
    <row r="4">
      <c r="A4" s="8" t="inlineStr">
        <is>
          <t>Normal</t>
        </is>
      </c>
      <c r="B4" s="8" t="inlineStr">
        <is>
          <t>슬라임</t>
        </is>
      </c>
      <c r="C4" s="8" t="n">
        <v>60</v>
      </c>
      <c r="D4" s="8" t="n">
        <v>5</v>
      </c>
      <c r="E4" s="8" t="n">
        <v>2</v>
      </c>
      <c r="F4" s="8" t="n">
        <v>15</v>
      </c>
      <c r="G4" s="8" t="n">
        <v>8</v>
      </c>
      <c r="H4" s="8" t="inlineStr">
        <is>
          <t>60%</t>
        </is>
      </c>
      <c r="I4" s="8" t="inlineStr">
        <is>
          <t>#88cc88</t>
        </is>
      </c>
      <c r="J4" s="8" t="inlineStr">
        <is>
          <t>30%</t>
        </is>
      </c>
      <c r="K4" s="8" t="inlineStr">
        <is>
          <t>50G</t>
        </is>
      </c>
    </row>
    <row r="5">
      <c r="A5" s="9" t="inlineStr">
        <is>
          <t>Elite</t>
        </is>
      </c>
      <c r="B5" s="9" t="inlineStr">
        <is>
          <t>오크 전사</t>
        </is>
      </c>
      <c r="C5" s="9" t="n">
        <v>200</v>
      </c>
      <c r="D5" s="9" t="n">
        <v>15</v>
      </c>
      <c r="E5" s="9" t="n">
        <v>8</v>
      </c>
      <c r="F5" s="9" t="n">
        <v>50</v>
      </c>
      <c r="G5" s="9" t="n">
        <v>30</v>
      </c>
      <c r="H5" s="9" t="inlineStr">
        <is>
          <t>25%</t>
        </is>
      </c>
      <c r="I5" s="9" t="inlineStr">
        <is>
          <t>#ccaa44</t>
        </is>
      </c>
      <c r="J5" s="9" t="inlineStr">
        <is>
          <t>15%</t>
        </is>
      </c>
      <c r="K5" s="9" t="inlineStr">
        <is>
          <t>50G</t>
        </is>
      </c>
    </row>
    <row r="6">
      <c r="A6" s="8" t="inlineStr">
        <is>
          <t>Rare</t>
        </is>
      </c>
      <c r="B6" s="8" t="inlineStr">
        <is>
          <t>다크 나이트</t>
        </is>
      </c>
      <c r="C6" s="8" t="n">
        <v>500</v>
      </c>
      <c r="D6" s="8" t="n">
        <v>30</v>
      </c>
      <c r="E6" s="8" t="n">
        <v>15</v>
      </c>
      <c r="F6" s="8" t="n">
        <v>120</v>
      </c>
      <c r="G6" s="8" t="n">
        <v>80</v>
      </c>
      <c r="H6" s="8" t="inlineStr">
        <is>
          <t>10%</t>
        </is>
      </c>
      <c r="I6" s="8" t="inlineStr">
        <is>
          <t>#aa44cc</t>
        </is>
      </c>
      <c r="J6" s="8" t="inlineStr">
        <is>
          <t>8%</t>
        </is>
      </c>
      <c r="K6" s="8" t="inlineStr">
        <is>
          <t>50G</t>
        </is>
      </c>
    </row>
    <row r="7">
      <c r="A7" s="9" t="inlineStr">
        <is>
          <t>Boss</t>
        </is>
      </c>
      <c r="B7" s="9" t="inlineStr">
        <is>
          <t>드래곤</t>
        </is>
      </c>
      <c r="C7" s="9" t="n">
        <v>2000</v>
      </c>
      <c r="D7" s="9" t="n">
        <v>60</v>
      </c>
      <c r="E7" s="9" t="n">
        <v>30</v>
      </c>
      <c r="F7" s="9" t="n">
        <v>500</v>
      </c>
      <c r="G7" s="9" t="n">
        <v>300</v>
      </c>
      <c r="H7" s="9" t="inlineStr">
        <is>
          <t>5%</t>
        </is>
      </c>
      <c r="I7" s="9" t="inlineStr">
        <is>
          <t>#ff4444</t>
        </is>
      </c>
      <c r="J7" s="9" t="inlineStr">
        <is>
          <t>3%</t>
        </is>
      </c>
      <c r="K7" s="9" t="inlineStr">
        <is>
          <t>50G</t>
        </is>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8" customWidth="1" min="1" max="1"/>
    <col width="18" customWidth="1" min="2" max="2"/>
    <col width="14" customWidth="1" min="3" max="3"/>
    <col width="10" customWidth="1" min="4" max="4"/>
    <col width="10" customWidth="1" min="5" max="5"/>
    <col width="6" customWidth="1" min="6" max="6"/>
    <col width="30" customWidth="1" min="7" max="7"/>
  </cols>
  <sheetData>
    <row r="1">
      <c r="A1" s="6" t="inlineStr">
        <is>
          <t>맵 구성 (51개 지역 — 중앙/동부/서부 확장)</t>
        </is>
      </c>
    </row>
    <row r="3">
      <c r="A3" s="7" t="inlineStr">
        <is>
          <t>구분</t>
        </is>
      </c>
      <c r="B3" s="7" t="inlineStr">
        <is>
          <t>지역명</t>
        </is>
      </c>
      <c r="C3" s="7" t="inlineStr">
        <is>
          <t>좌표</t>
        </is>
      </c>
      <c r="D3" s="7" t="inlineStr">
        <is>
          <t>크기</t>
        </is>
      </c>
      <c r="E3" s="7" t="inlineStr">
        <is>
          <t>추천Lv</t>
        </is>
      </c>
      <c r="F3" s="7" t="inlineStr">
        <is>
          <t>안전</t>
        </is>
      </c>
      <c r="G3" s="7" t="inlineStr">
        <is>
          <t>특징/NPC</t>
        </is>
      </c>
    </row>
    <row r="4">
      <c r="A4" s="8" t="inlineStr">
        <is>
          <t>마을</t>
        </is>
      </c>
      <c r="B4" s="8" t="inlineStr">
        <is>
          <t>바람개비 마을</t>
        </is>
      </c>
      <c r="C4" s="8" t="inlineStr">
        <is>
          <t>(-500,-500)</t>
        </is>
      </c>
      <c r="D4" s="8" t="inlineStr">
        <is>
          <t>60×60</t>
        </is>
      </c>
      <c r="E4" s="8" t="inlineStr">
        <is>
          <t>1-99</t>
        </is>
      </c>
      <c r="F4" s="8" t="inlineStr">
        <is>
          <t>O</t>
        </is>
      </c>
      <c r="G4" s="8" t="inlineStr">
        <is>
          <t>상점/대장장이/힐러/제작소</t>
        </is>
      </c>
    </row>
    <row r="5">
      <c r="A5" s="9" t="inlineStr">
        <is>
          <t>마을</t>
        </is>
      </c>
      <c r="B5" s="9" t="inlineStr">
        <is>
          <t>별빛 항구</t>
        </is>
      </c>
      <c r="C5" s="9" t="inlineStr">
        <is>
          <t>(350,-450)</t>
        </is>
      </c>
      <c r="D5" s="9" t="inlineStr">
        <is>
          <t>50×50</t>
        </is>
      </c>
      <c r="E5" s="9" t="inlineStr">
        <is>
          <t>1-99</t>
        </is>
      </c>
      <c r="F5" s="9" t="inlineStr">
        <is>
          <t>O</t>
        </is>
      </c>
      <c r="G5" s="9" t="inlineStr">
        <is>
          <t>상점/펫 상인/항해사</t>
        </is>
      </c>
    </row>
    <row r="6">
      <c r="A6" s="8" t="inlineStr">
        <is>
          <t>마을</t>
        </is>
      </c>
      <c r="B6" s="8" t="inlineStr">
        <is>
          <t>달빛 오아시스</t>
        </is>
      </c>
      <c r="C6" s="8" t="inlineStr">
        <is>
          <t>(-100,0)</t>
        </is>
      </c>
      <c r="D6" s="8" t="inlineStr">
        <is>
          <t>50×50</t>
        </is>
      </c>
      <c r="E6" s="8" t="inlineStr">
        <is>
          <t>1-99</t>
        </is>
      </c>
      <c r="F6" s="8" t="inlineStr">
        <is>
          <t>O</t>
        </is>
      </c>
      <c r="G6" s="8" t="inlineStr">
        <is>
          <t>상점/제작소</t>
        </is>
      </c>
    </row>
    <row r="7">
      <c r="A7" s="9" t="inlineStr">
        <is>
          <t>마을</t>
        </is>
      </c>
      <c r="B7" s="9" t="inlineStr">
        <is>
          <t>구름마루 산장</t>
        </is>
      </c>
      <c r="C7" s="9" t="inlineStr">
        <is>
          <t>(300,100)</t>
        </is>
      </c>
      <c r="D7" s="9" t="inlineStr">
        <is>
          <t>50×50</t>
        </is>
      </c>
      <c r="E7" s="9" t="inlineStr">
        <is>
          <t>1-99</t>
        </is>
      </c>
      <c r="F7" s="9" t="inlineStr">
        <is>
          <t>O</t>
        </is>
      </c>
      <c r="G7" s="9" t="inlineStr">
        <is>
          <t>상점/대장장이</t>
        </is>
      </c>
    </row>
    <row r="8">
      <c r="A8" s="8" t="inlineStr">
        <is>
          <t>마을</t>
        </is>
      </c>
      <c r="B8" s="8" t="inlineStr">
        <is>
          <t>끝자락 전초기지</t>
        </is>
      </c>
      <c r="C8" s="8" t="inlineStr">
        <is>
          <t>(-300,350)</t>
        </is>
      </c>
      <c r="D8" s="8" t="inlineStr">
        <is>
          <t>50×50</t>
        </is>
      </c>
      <c r="E8" s="8" t="inlineStr">
        <is>
          <t>1-99</t>
        </is>
      </c>
      <c r="F8" s="8" t="inlineStr">
        <is>
          <t>O</t>
        </is>
      </c>
      <c r="G8" s="8" t="inlineStr">
        <is>
          <t>상점/힐러</t>
        </is>
      </c>
    </row>
    <row r="9">
      <c r="A9" s="9" t="inlineStr">
        <is>
          <t>초보</t>
        </is>
      </c>
      <c r="B9" s="9" t="inlineStr">
        <is>
          <t>이슬숲</t>
        </is>
      </c>
      <c r="C9" s="9" t="inlineStr">
        <is>
          <t>(-420,-400)</t>
        </is>
      </c>
      <c r="D9" s="9" t="inlineStr">
        <is>
          <t>80×70</t>
        </is>
      </c>
      <c r="E9" s="9" t="inlineStr">
        <is>
          <t>1-10</t>
        </is>
      </c>
      <c r="F9" s="9" t="inlineStr">
        <is>
          <t>X</t>
        </is>
      </c>
      <c r="G9" s="9" t="inlineStr">
        <is>
          <t>숲 지형, 슬라임 다수</t>
        </is>
      </c>
    </row>
    <row r="10">
      <c r="A10" s="8" t="inlineStr">
        <is>
          <t>초보</t>
        </is>
      </c>
      <c r="B10" s="8" t="inlineStr">
        <is>
          <t>해바라기 들판</t>
        </is>
      </c>
      <c r="C10" s="8" t="inlineStr">
        <is>
          <t>(-300,-450)</t>
        </is>
      </c>
      <c r="D10" s="8" t="inlineStr">
        <is>
          <t>80×60</t>
        </is>
      </c>
      <c r="E10" s="8" t="inlineStr">
        <is>
          <t>3-12</t>
        </is>
      </c>
      <c r="F10" s="8" t="inlineStr">
        <is>
          <t>X</t>
        </is>
      </c>
      <c r="G10" s="8" t="inlineStr">
        <is>
          <t>평원 지형</t>
        </is>
      </c>
    </row>
    <row r="11">
      <c r="A11" s="9" t="inlineStr">
        <is>
          <t>초보</t>
        </is>
      </c>
      <c r="B11" s="9" t="inlineStr">
        <is>
          <t>꽃잎 초원</t>
        </is>
      </c>
      <c r="C11" s="9" t="inlineStr">
        <is>
          <t>(-150,-400)</t>
        </is>
      </c>
      <c r="D11" s="9" t="inlineStr">
        <is>
          <t>70×60</t>
        </is>
      </c>
      <c r="E11" s="9" t="inlineStr">
        <is>
          <t>5-15</t>
        </is>
      </c>
      <c r="F11" s="9" t="inlineStr">
        <is>
          <t>X</t>
        </is>
      </c>
      <c r="G11" s="9" t="inlineStr">
        <is>
          <t>초원 지형</t>
        </is>
      </c>
    </row>
    <row r="12">
      <c r="A12" s="8" t="inlineStr">
        <is>
          <t>중급</t>
        </is>
      </c>
      <c r="B12" s="8" t="inlineStr">
        <is>
          <t>안개골 늪지</t>
        </is>
      </c>
      <c r="C12" s="8" t="inlineStr">
        <is>
          <t>(50,-350)</t>
        </is>
      </c>
      <c r="D12" s="8" t="inlineStr">
        <is>
          <t>70×70</t>
        </is>
      </c>
      <c r="E12" s="8" t="inlineStr">
        <is>
          <t>10-20</t>
        </is>
      </c>
      <c r="F12" s="8" t="inlineStr">
        <is>
          <t>X</t>
        </is>
      </c>
      <c r="G12" s="8" t="inlineStr">
        <is>
          <t>늪 지형, 독 데미지</t>
        </is>
      </c>
    </row>
    <row r="13">
      <c r="A13" s="9" t="inlineStr">
        <is>
          <t>중급</t>
        </is>
      </c>
      <c r="B13" s="9" t="inlineStr">
        <is>
          <t>붉은모래 사막</t>
        </is>
      </c>
      <c r="C13" s="9" t="inlineStr">
        <is>
          <t>(200,-350)</t>
        </is>
      </c>
      <c r="D13" s="9" t="inlineStr">
        <is>
          <t>80×70</t>
        </is>
      </c>
      <c r="E13" s="9" t="inlineStr">
        <is>
          <t>12-22</t>
        </is>
      </c>
      <c r="F13" s="9" t="inlineStr">
        <is>
          <t>X</t>
        </is>
      </c>
      <c r="G13" s="9" t="inlineStr">
        <is>
          <t>사막 지형</t>
        </is>
      </c>
    </row>
    <row r="14">
      <c r="A14" s="8" t="inlineStr">
        <is>
          <t>중급</t>
        </is>
      </c>
      <c r="B14" s="8" t="inlineStr">
        <is>
          <t>수정 동굴</t>
        </is>
      </c>
      <c r="C14" s="8" t="inlineStr">
        <is>
          <t>(-400,-200)</t>
        </is>
      </c>
      <c r="D14" s="8" t="inlineStr">
        <is>
          <t>70×70</t>
        </is>
      </c>
      <c r="E14" s="8" t="inlineStr">
        <is>
          <t>15-25</t>
        </is>
      </c>
      <c r="F14" s="8" t="inlineStr">
        <is>
          <t>X</t>
        </is>
      </c>
      <c r="G14" s="8" t="inlineStr">
        <is>
          <t>던전 지형, 레어 출현</t>
        </is>
      </c>
    </row>
    <row r="15">
      <c r="A15" s="9" t="inlineStr">
        <is>
          <t>중급</t>
        </is>
      </c>
      <c r="B15" s="9" t="inlineStr">
        <is>
          <t>달그림자 유적</t>
        </is>
      </c>
      <c r="C15" s="9" t="inlineStr">
        <is>
          <t>(-250,-200)</t>
        </is>
      </c>
      <c r="D15" s="9" t="inlineStr">
        <is>
          <t>70×60</t>
        </is>
      </c>
      <c r="E15" s="9" t="inlineStr">
        <is>
          <t>18-28</t>
        </is>
      </c>
      <c r="F15" s="9" t="inlineStr">
        <is>
          <t>X</t>
        </is>
      </c>
      <c r="G15" s="9" t="inlineStr">
        <is>
          <t>유적 지형</t>
        </is>
      </c>
    </row>
    <row r="16">
      <c r="A16" s="8" t="inlineStr">
        <is>
          <t>중급</t>
        </is>
      </c>
      <c r="B16" s="8" t="inlineStr">
        <is>
          <t>산호초 해안</t>
        </is>
      </c>
      <c r="C16" s="8" t="inlineStr">
        <is>
          <t>(400,-250)</t>
        </is>
      </c>
      <c r="D16" s="8" t="inlineStr">
        <is>
          <t>60×60</t>
        </is>
      </c>
      <c r="E16" s="8" t="inlineStr">
        <is>
          <t>10-18</t>
        </is>
      </c>
      <c r="F16" s="8" t="inlineStr">
        <is>
          <t>X</t>
        </is>
      </c>
      <c r="G16" s="8" t="inlineStr">
        <is>
          <t>해안 지형</t>
        </is>
      </c>
    </row>
    <row r="17">
      <c r="A17" s="9" t="inlineStr">
        <is>
          <t>고급</t>
        </is>
      </c>
      <c r="B17" s="9" t="inlineStr">
        <is>
          <t>불꽃산</t>
        </is>
      </c>
      <c r="C17" s="9" t="inlineStr">
        <is>
          <t>(150,-150)</t>
        </is>
      </c>
      <c r="D17" s="9" t="inlineStr">
        <is>
          <t>80×70</t>
        </is>
      </c>
      <c r="E17" s="9" t="inlineStr">
        <is>
          <t>25-40</t>
        </is>
      </c>
      <c r="F17" s="9" t="inlineStr">
        <is>
          <t>X</t>
        </is>
      </c>
      <c r="G17" s="9" t="inlineStr">
        <is>
          <t>용암 지형, 화상 데미지</t>
        </is>
      </c>
    </row>
    <row r="18">
      <c r="A18" s="8" t="inlineStr">
        <is>
          <t>고급</t>
        </is>
      </c>
      <c r="B18" s="8" t="inlineStr">
        <is>
          <t>고요한 무덤</t>
        </is>
      </c>
      <c r="C18" s="8" t="inlineStr">
        <is>
          <t>(-400,-50)</t>
        </is>
      </c>
      <c r="D18" s="8" t="inlineStr">
        <is>
          <t>70×60</t>
        </is>
      </c>
      <c r="E18" s="8" t="inlineStr">
        <is>
          <t>28-38</t>
        </is>
      </c>
      <c r="F18" s="8" t="inlineStr">
        <is>
          <t>X</t>
        </is>
      </c>
      <c r="G18" s="8" t="inlineStr">
        <is>
          <t>언데드 출현</t>
        </is>
      </c>
    </row>
    <row r="19">
      <c r="A19" s="9" t="inlineStr">
        <is>
          <t>고급</t>
        </is>
      </c>
      <c r="B19" s="9" t="inlineStr">
        <is>
          <t>그림자숲</t>
        </is>
      </c>
      <c r="C19" s="9" t="inlineStr">
        <is>
          <t>(200,-50)</t>
        </is>
      </c>
      <c r="D19" s="9" t="inlineStr">
        <is>
          <t>70×70</t>
        </is>
      </c>
      <c r="E19" s="9" t="inlineStr">
        <is>
          <t>30-45</t>
        </is>
      </c>
      <c r="F19" s="9" t="inlineStr">
        <is>
          <t>X</t>
        </is>
      </c>
      <c r="G19" s="9" t="inlineStr">
        <is>
          <t>암흑 지형, 시야 감소</t>
        </is>
      </c>
    </row>
    <row r="20">
      <c r="A20" s="8" t="inlineStr">
        <is>
          <t>고급</t>
        </is>
      </c>
      <c r="B20" s="8" t="inlineStr">
        <is>
          <t>얼음 협곡</t>
        </is>
      </c>
      <c r="C20" s="8" t="inlineStr">
        <is>
          <t>(-350,100)</t>
        </is>
      </c>
      <c r="D20" s="8" t="inlineStr">
        <is>
          <t>70×60</t>
        </is>
      </c>
      <c r="E20" s="8" t="inlineStr">
        <is>
          <t>25-35</t>
        </is>
      </c>
      <c r="F20" s="8" t="inlineStr">
        <is>
          <t>X</t>
        </is>
      </c>
      <c r="G20" s="8" t="inlineStr">
        <is>
          <t>빙결 지형, 슬로우</t>
        </is>
      </c>
    </row>
    <row r="21">
      <c r="A21" s="9" t="inlineStr">
        <is>
          <t>최상급</t>
        </is>
      </c>
      <c r="B21" s="9" t="inlineStr">
        <is>
          <t>용의 요람</t>
        </is>
      </c>
      <c r="C21" s="9" t="inlineStr">
        <is>
          <t>(350,150)</t>
        </is>
      </c>
      <c r="D21" s="9" t="inlineStr">
        <is>
          <t>70×70</t>
        </is>
      </c>
      <c r="E21" s="9" t="inlineStr">
        <is>
          <t>35-99</t>
        </is>
      </c>
      <c r="F21" s="9" t="inlineStr">
        <is>
          <t>X</t>
        </is>
      </c>
      <c r="G21" s="9" t="inlineStr">
        <is>
          <t>드래곤 보스 출현</t>
        </is>
      </c>
    </row>
    <row r="22">
      <c r="A22" s="8" t="inlineStr">
        <is>
          <t>최상급</t>
        </is>
      </c>
      <c r="B22" s="8" t="inlineStr">
        <is>
          <t>어둠의 심연</t>
        </is>
      </c>
      <c r="C22" s="8" t="inlineStr">
        <is>
          <t>(-400,200)</t>
        </is>
      </c>
      <c r="D22" s="8" t="inlineStr">
        <is>
          <t>80×70</t>
        </is>
      </c>
      <c r="E22" s="8" t="inlineStr">
        <is>
          <t>40-99</t>
        </is>
      </c>
      <c r="F22" s="8" t="inlineStr">
        <is>
          <t>X</t>
        </is>
      </c>
      <c r="G22" s="8" t="inlineStr">
        <is>
          <t>최강 몬스터</t>
        </is>
      </c>
    </row>
    <row r="23">
      <c r="A23" s="9" t="inlineStr">
        <is>
          <t>최상급</t>
        </is>
      </c>
      <c r="B23" s="9" t="inlineStr">
        <is>
          <t>혼돈의 문</t>
        </is>
      </c>
      <c r="C23" s="9" t="inlineStr">
        <is>
          <t>(-200,250)</t>
        </is>
      </c>
      <c r="D23" s="9" t="inlineStr">
        <is>
          <t>70×70</t>
        </is>
      </c>
      <c r="E23" s="9" t="inlineStr">
        <is>
          <t>45-99</t>
        </is>
      </c>
      <c r="F23" s="9" t="inlineStr">
        <is>
          <t>X</t>
        </is>
      </c>
      <c r="G23" s="9" t="inlineStr">
        <is>
          <t>카오스 지형</t>
        </is>
      </c>
    </row>
    <row r="24">
      <c r="A24" s="8" t="inlineStr">
        <is>
          <t>최상급</t>
        </is>
      </c>
      <c r="B24" s="8" t="inlineStr">
        <is>
          <t>태고의 숲</t>
        </is>
      </c>
      <c r="C24" s="8" t="inlineStr">
        <is>
          <t>(100,300)</t>
        </is>
      </c>
      <c r="D24" s="8" t="inlineStr">
        <is>
          <t>80×70</t>
        </is>
      </c>
      <c r="E24" s="8" t="inlineStr">
        <is>
          <t>35-50</t>
        </is>
      </c>
      <c r="F24" s="8" t="inlineStr">
        <is>
          <t>X</t>
        </is>
      </c>
      <c r="G24" s="8" t="inlineStr">
        <is>
          <t>고대 몬스터</t>
        </is>
      </c>
    </row>
    <row r="25">
      <c r="A25" s="9" t="inlineStr">
        <is>
          <t>PK존</t>
        </is>
      </c>
      <c r="B25" s="9" t="inlineStr">
        <is>
          <t>피의 골짜기</t>
        </is>
      </c>
      <c r="C25" s="9" t="inlineStr">
        <is>
          <t>(100,200)</t>
        </is>
      </c>
      <c r="D25" s="9" t="inlineStr">
        <is>
          <t>80×70</t>
        </is>
      </c>
      <c r="E25" s="9" t="inlineStr">
        <is>
          <t>20-99</t>
        </is>
      </c>
      <c r="F25" s="9" t="inlineStr">
        <is>
          <t>X</t>
        </is>
      </c>
      <c r="G25" s="9" t="inlineStr">
        <is>
          <t>PK 페널티 없음</t>
        </is>
      </c>
    </row>
    <row r="26">
      <c r="A26" s="8" t="inlineStr">
        <is>
          <t>PK존</t>
        </is>
      </c>
      <c r="B26" s="8" t="inlineStr">
        <is>
          <t>전쟁의 벌판</t>
        </is>
      </c>
      <c r="C26" s="8" t="inlineStr">
        <is>
          <t>(-100,350)</t>
        </is>
      </c>
      <c r="D26" s="8" t="inlineStr">
        <is>
          <t>90×70</t>
        </is>
      </c>
      <c r="E26" s="8" t="inlineStr">
        <is>
          <t>15-99</t>
        </is>
      </c>
      <c r="F26" s="8" t="inlineStr">
        <is>
          <t>X</t>
        </is>
      </c>
      <c r="G26" s="8" t="inlineStr">
        <is>
          <t>PK 페널티 없음</t>
        </is>
      </c>
    </row>
    <row r="27">
      <c r="A27" s="9" t="inlineStr">
        <is>
          <t>특수</t>
        </is>
      </c>
      <c r="B27" s="9" t="inlineStr">
        <is>
          <t>하늘의 성채</t>
        </is>
      </c>
      <c r="C27" s="9" t="inlineStr">
        <is>
          <t>(0,400)</t>
        </is>
      </c>
      <c r="D27" s="9" t="inlineStr">
        <is>
          <t>80×70</t>
        </is>
      </c>
      <c r="E27" s="9" t="inlineStr">
        <is>
          <t>20-99</t>
        </is>
      </c>
      <c r="F27" s="9" t="inlineStr">
        <is>
          <t>X</t>
        </is>
      </c>
      <c r="G27" s="9" t="inlineStr">
        <is>
          <t>길드 성 점령전</t>
        </is>
      </c>
    </row>
    <row r="28">
      <c r="A28" s="8" t="inlineStr">
        <is>
          <t>특수</t>
        </is>
      </c>
      <c r="B28" s="8" t="inlineStr">
        <is>
          <t>투기장</t>
        </is>
      </c>
      <c r="C28" s="8" t="inlineStr">
        <is>
          <t>(350,350)</t>
        </is>
      </c>
      <c r="D28" s="8" t="inlineStr">
        <is>
          <t>50×50</t>
        </is>
      </c>
      <c r="E28" s="8" t="inlineStr">
        <is>
          <t>10-99</t>
        </is>
      </c>
      <c r="F28" s="8" t="inlineStr">
        <is>
          <t>O</t>
        </is>
      </c>
      <c r="G28" s="8" t="inlineStr">
        <is>
          <t>PvP 매칭존</t>
        </is>
      </c>
    </row>
    <row r="29">
      <c r="A29" s="9" t="inlineStr">
        <is>
          <t>마을</t>
        </is>
      </c>
      <c r="B29" s="9" t="inlineStr">
        <is>
          <t>동쪽 항구</t>
        </is>
      </c>
      <c r="C29" s="9" t="inlineStr">
        <is>
          <t>(700,-700)</t>
        </is>
      </c>
      <c r="D29" s="9" t="inlineStr">
        <is>
          <t>50×50</t>
        </is>
      </c>
      <c r="E29" s="9" t="inlineStr">
        <is>
          <t>1-99</t>
        </is>
      </c>
      <c r="F29" s="9" t="inlineStr">
        <is>
          <t>O</t>
        </is>
      </c>
      <c r="G29" s="9" t="inlineStr">
        <is>
          <t>상점/항해사/힐러</t>
        </is>
      </c>
    </row>
    <row r="30">
      <c r="A30" s="8" t="inlineStr">
        <is>
          <t>초보</t>
        </is>
      </c>
      <c r="B30" s="8" t="inlineStr">
        <is>
          <t>버섯 골짜기</t>
        </is>
      </c>
      <c r="C30" s="8" t="inlineStr">
        <is>
          <t>(600,-500)</t>
        </is>
      </c>
      <c r="D30" s="8" t="inlineStr">
        <is>
          <t>80×70</t>
        </is>
      </c>
      <c r="E30" s="8" t="inlineStr">
        <is>
          <t>5-12</t>
        </is>
      </c>
      <c r="F30" s="8" t="inlineStr">
        <is>
          <t>X</t>
        </is>
      </c>
      <c r="G30" s="8" t="inlineStr">
        <is>
          <t>버섯 몬스터 군락</t>
        </is>
      </c>
    </row>
    <row r="31">
      <c r="A31" s="9" t="inlineStr">
        <is>
          <t>중급</t>
        </is>
      </c>
      <c r="B31" s="9" t="inlineStr">
        <is>
          <t>강변 평야</t>
        </is>
      </c>
      <c r="C31" s="9" t="inlineStr">
        <is>
          <t>(800,-300)</t>
        </is>
      </c>
      <c r="D31" s="9" t="inlineStr">
        <is>
          <t>80×60</t>
        </is>
      </c>
      <c r="E31" s="9" t="inlineStr">
        <is>
          <t>8-18</t>
        </is>
      </c>
      <c r="F31" s="9" t="inlineStr">
        <is>
          <t>X</t>
        </is>
      </c>
      <c r="G31" s="9" t="inlineStr">
        <is>
          <t>강변 지형</t>
        </is>
      </c>
    </row>
    <row r="32">
      <c r="A32" s="8" t="inlineStr">
        <is>
          <t>중급</t>
        </is>
      </c>
      <c r="B32" s="8" t="inlineStr">
        <is>
          <t>모래폭풍 협곡</t>
        </is>
      </c>
      <c r="C32" s="8" t="inlineStr">
        <is>
          <t>(600,-100)</t>
        </is>
      </c>
      <c r="D32" s="8" t="inlineStr">
        <is>
          <t>80×70</t>
        </is>
      </c>
      <c r="E32" s="8" t="inlineStr">
        <is>
          <t>15-25</t>
        </is>
      </c>
      <c r="F32" s="8" t="inlineStr">
        <is>
          <t>X</t>
        </is>
      </c>
      <c r="G32" s="8" t="inlineStr">
        <is>
          <t>모래 폭풍 시야 감소</t>
        </is>
      </c>
    </row>
    <row r="33">
      <c r="A33" s="9" t="inlineStr">
        <is>
          <t>중급</t>
        </is>
      </c>
      <c r="B33" s="9" t="inlineStr">
        <is>
          <t>수몰 신전</t>
        </is>
      </c>
      <c r="C33" s="9" t="inlineStr">
        <is>
          <t>(700,100)</t>
        </is>
      </c>
      <c r="D33" s="9" t="inlineStr">
        <is>
          <t>70×70</t>
        </is>
      </c>
      <c r="E33" s="9" t="inlineStr">
        <is>
          <t>20-30</t>
        </is>
      </c>
      <c r="F33" s="9" t="inlineStr">
        <is>
          <t>X</t>
        </is>
      </c>
      <c r="G33" s="9" t="inlineStr">
        <is>
          <t>수중 던전</t>
        </is>
      </c>
    </row>
    <row r="34">
      <c r="A34" s="8" t="inlineStr">
        <is>
          <t>고급</t>
        </is>
      </c>
      <c r="B34" s="8" t="inlineStr">
        <is>
          <t>그림자 영역</t>
        </is>
      </c>
      <c r="C34" s="8" t="inlineStr">
        <is>
          <t>(800,400)</t>
        </is>
      </c>
      <c r="D34" s="8" t="inlineStr">
        <is>
          <t>70×70</t>
        </is>
      </c>
      <c r="E34" s="8" t="inlineStr">
        <is>
          <t>32-45</t>
        </is>
      </c>
      <c r="F34" s="8" t="inlineStr">
        <is>
          <t>X</t>
        </is>
      </c>
      <c r="G34" s="8" t="inlineStr">
        <is>
          <t>암흑 지대</t>
        </is>
      </c>
    </row>
    <row r="35">
      <c r="A35" s="9" t="inlineStr">
        <is>
          <t>최상급</t>
        </is>
      </c>
      <c r="B35" s="9" t="inlineStr">
        <is>
          <t>천공의 정상</t>
        </is>
      </c>
      <c r="C35" s="9" t="inlineStr">
        <is>
          <t>(700,700)</t>
        </is>
      </c>
      <c r="D35" s="9" t="inlineStr">
        <is>
          <t>80×80</t>
        </is>
      </c>
      <c r="E35" s="9" t="inlineStr">
        <is>
          <t>40-60</t>
        </is>
      </c>
      <c r="F35" s="9" t="inlineStr">
        <is>
          <t>X</t>
        </is>
      </c>
      <c r="G35" s="9" t="inlineStr">
        <is>
          <t>천공 드래곤 출현</t>
        </is>
      </c>
    </row>
    <row r="36">
      <c r="A36" s="8" t="inlineStr">
        <is>
          <t>최상급</t>
        </is>
      </c>
      <c r="B36" s="8" t="inlineStr">
        <is>
          <t>공허의 균열</t>
        </is>
      </c>
      <c r="C36" s="8" t="inlineStr">
        <is>
          <t>(900,900)</t>
        </is>
      </c>
      <c r="D36" s="8" t="inlineStr">
        <is>
          <t>70×70</t>
        </is>
      </c>
      <c r="E36" s="8" t="inlineStr">
        <is>
          <t>50-99</t>
        </is>
      </c>
      <c r="F36" s="8" t="inlineStr">
        <is>
          <t>X</t>
        </is>
      </c>
      <c r="G36" s="8" t="inlineStr">
        <is>
          <t>공허 몬스터</t>
        </is>
      </c>
    </row>
    <row r="37">
      <c r="A37" s="9" t="inlineStr">
        <is>
          <t>특수</t>
        </is>
      </c>
      <c r="B37" s="9" t="inlineStr">
        <is>
          <t>낚시 만</t>
        </is>
      </c>
      <c r="C37" s="9" t="inlineStr">
        <is>
          <t>(900,0)</t>
        </is>
      </c>
      <c r="D37" s="9" t="inlineStr">
        <is>
          <t>50×50</t>
        </is>
      </c>
      <c r="E37" s="9" t="inlineStr">
        <is>
          <t>1-99</t>
        </is>
      </c>
      <c r="F37" s="9" t="inlineStr">
        <is>
          <t>O</t>
        </is>
      </c>
      <c r="G37" s="9" t="inlineStr">
        <is>
          <t>낚시꾼/상점</t>
        </is>
      </c>
    </row>
    <row r="38">
      <c r="A38" s="8" t="inlineStr">
        <is>
          <t>PK존</t>
        </is>
      </c>
      <c r="B38" s="8" t="inlineStr">
        <is>
          <t>피의 투기장</t>
        </is>
      </c>
      <c r="C38" s="8" t="inlineStr">
        <is>
          <t>(500,-800)</t>
        </is>
      </c>
      <c r="D38" s="8" t="inlineStr">
        <is>
          <t>70×70</t>
        </is>
      </c>
      <c r="E38" s="8" t="inlineStr">
        <is>
          <t>20-99</t>
        </is>
      </c>
      <c r="F38" s="8" t="inlineStr">
        <is>
          <t>X</t>
        </is>
      </c>
      <c r="G38" s="8" t="inlineStr">
        <is>
          <t>PK 페널티 없음</t>
        </is>
      </c>
    </row>
    <row r="39">
      <c r="A39" s="9" t="inlineStr">
        <is>
          <t>특수</t>
        </is>
      </c>
      <c r="B39" s="9" t="inlineStr">
        <is>
          <t>대투기장</t>
        </is>
      </c>
      <c r="C39" s="9" t="inlineStr">
        <is>
          <t>(900,-900)</t>
        </is>
      </c>
      <c r="D39" s="9" t="inlineStr">
        <is>
          <t>60×60</t>
        </is>
      </c>
      <c r="E39" s="9" t="inlineStr">
        <is>
          <t>15-99</t>
        </is>
      </c>
      <c r="F39" s="9" t="inlineStr">
        <is>
          <t>O</t>
        </is>
      </c>
      <c r="G39" s="9" t="inlineStr">
        <is>
          <t>대규모 PvP</t>
        </is>
      </c>
    </row>
    <row r="40">
      <c r="A40" s="8" t="inlineStr">
        <is>
          <t>마을</t>
        </is>
      </c>
      <c r="B40" s="8" t="inlineStr">
        <is>
          <t>신전 마을</t>
        </is>
      </c>
      <c r="C40" s="8" t="inlineStr">
        <is>
          <t>(-800,200)</t>
        </is>
      </c>
      <c r="D40" s="8" t="inlineStr">
        <is>
          <t>50×50</t>
        </is>
      </c>
      <c r="E40" s="8" t="inlineStr">
        <is>
          <t>1-99</t>
        </is>
      </c>
      <c r="F40" s="8" t="inlineStr">
        <is>
          <t>O</t>
        </is>
      </c>
      <c r="G40" s="8" t="inlineStr">
        <is>
          <t>상점/대장장이/힐러/제작소</t>
        </is>
      </c>
    </row>
    <row r="41">
      <c r="A41" s="9" t="inlineStr">
        <is>
          <t>초보</t>
        </is>
      </c>
      <c r="B41" s="9" t="inlineStr">
        <is>
          <t>얼어붙은 평원</t>
        </is>
      </c>
      <c r="C41" s="9" t="inlineStr">
        <is>
          <t>(-700,-700)</t>
        </is>
      </c>
      <c r="D41" s="9" t="inlineStr">
        <is>
          <t>80×70</t>
        </is>
      </c>
      <c r="E41" s="9" t="inlineStr">
        <is>
          <t>1-8</t>
        </is>
      </c>
      <c r="F41" s="9" t="inlineStr">
        <is>
          <t>X</t>
        </is>
      </c>
      <c r="G41" s="9" t="inlineStr">
        <is>
          <t>빙결 지형</t>
        </is>
      </c>
    </row>
    <row r="42">
      <c r="A42" s="8" t="inlineStr">
        <is>
          <t>중급</t>
        </is>
      </c>
      <c r="B42" s="8" t="inlineStr">
        <is>
          <t>수정 광산</t>
        </is>
      </c>
      <c r="C42" s="8" t="inlineStr">
        <is>
          <t>(-800,-200)</t>
        </is>
      </c>
      <c r="D42" s="8" t="inlineStr">
        <is>
          <t>70×70</t>
        </is>
      </c>
      <c r="E42" s="8" t="inlineStr">
        <is>
          <t>18-28</t>
        </is>
      </c>
      <c r="F42" s="8" t="inlineStr">
        <is>
          <t>X</t>
        </is>
      </c>
      <c r="G42" s="8" t="inlineStr">
        <is>
          <t>광물 채집</t>
        </is>
      </c>
    </row>
    <row r="43">
      <c r="A43" s="9" t="inlineStr">
        <is>
          <t>중급</t>
        </is>
      </c>
      <c r="B43" s="9" t="inlineStr">
        <is>
          <t>독안개 습지</t>
        </is>
      </c>
      <c r="C43" s="9" t="inlineStr">
        <is>
          <t>(-700,400)</t>
        </is>
      </c>
      <c r="D43" s="9" t="inlineStr">
        <is>
          <t>80×70</t>
        </is>
      </c>
      <c r="E43" s="9" t="inlineStr">
        <is>
          <t>12-22</t>
        </is>
      </c>
      <c r="F43" s="9" t="inlineStr">
        <is>
          <t>X</t>
        </is>
      </c>
      <c r="G43" s="9" t="inlineStr">
        <is>
          <t>독 데미지</t>
        </is>
      </c>
    </row>
    <row r="44">
      <c r="A44" s="8" t="inlineStr">
        <is>
          <t>고급</t>
        </is>
      </c>
      <c r="B44" s="8" t="inlineStr">
        <is>
          <t>유령의 저택</t>
        </is>
      </c>
      <c r="C44" s="8" t="inlineStr">
        <is>
          <t>(-600,600)</t>
        </is>
      </c>
      <c r="D44" s="8" t="inlineStr">
        <is>
          <t>70×70</t>
        </is>
      </c>
      <c r="E44" s="8" t="inlineStr">
        <is>
          <t>22-35</t>
        </is>
      </c>
      <c r="F44" s="8" t="inlineStr">
        <is>
          <t>X</t>
        </is>
      </c>
      <c r="G44" s="8" t="inlineStr">
        <is>
          <t>유령 출현</t>
        </is>
      </c>
    </row>
    <row r="45">
      <c r="A45" s="9" t="inlineStr">
        <is>
          <t>고급</t>
        </is>
      </c>
      <c r="B45" s="9" t="inlineStr">
        <is>
          <t>하늘 유적</t>
        </is>
      </c>
      <c r="C45" s="9" t="inlineStr">
        <is>
          <t>(-800,700)</t>
        </is>
      </c>
      <c r="D45" s="9" t="inlineStr">
        <is>
          <t>80×70</t>
        </is>
      </c>
      <c r="E45" s="9" t="inlineStr">
        <is>
          <t>30-45</t>
        </is>
      </c>
      <c r="F45" s="9" t="inlineStr">
        <is>
          <t>X</t>
        </is>
      </c>
      <c r="G45" s="9" t="inlineStr">
        <is>
          <t>부유 유적</t>
        </is>
      </c>
    </row>
    <row r="46">
      <c r="A46" s="8" t="inlineStr">
        <is>
          <t>최상급</t>
        </is>
      </c>
      <c r="B46" s="8" t="inlineStr">
        <is>
          <t>빙결 심연</t>
        </is>
      </c>
      <c r="C46" s="8" t="inlineStr">
        <is>
          <t>(-600,-800)</t>
        </is>
      </c>
      <c r="D46" s="8" t="inlineStr">
        <is>
          <t>70×70</t>
        </is>
      </c>
      <c r="E46" s="8" t="inlineStr">
        <is>
          <t>35-50</t>
        </is>
      </c>
      <c r="F46" s="8" t="inlineStr">
        <is>
          <t>X</t>
        </is>
      </c>
      <c r="G46" s="8" t="inlineStr">
        <is>
          <t>얼음 보스</t>
        </is>
      </c>
    </row>
    <row r="47">
      <c r="A47" s="9" t="inlineStr">
        <is>
          <t>최상급</t>
        </is>
      </c>
      <c r="B47" s="9" t="inlineStr">
        <is>
          <t>마왕성</t>
        </is>
      </c>
      <c r="C47" s="9" t="inlineStr">
        <is>
          <t>(-800,900)</t>
        </is>
      </c>
      <c r="D47" s="9" t="inlineStr">
        <is>
          <t>80×80</t>
        </is>
      </c>
      <c r="E47" s="9" t="inlineStr">
        <is>
          <t>45-60</t>
        </is>
      </c>
      <c r="F47" s="9" t="inlineStr">
        <is>
          <t>X</t>
        </is>
      </c>
      <c r="G47" s="9" t="inlineStr">
        <is>
          <t>마왕 보스</t>
        </is>
      </c>
    </row>
    <row r="48">
      <c r="A48" s="8" t="inlineStr">
        <is>
          <t>PK존</t>
        </is>
      </c>
      <c r="B48" s="8" t="inlineStr">
        <is>
          <t>무법 황야</t>
        </is>
      </c>
      <c r="C48" s="8" t="inlineStr">
        <is>
          <t>(-500,800)</t>
        </is>
      </c>
      <c r="D48" s="8" t="inlineStr">
        <is>
          <t>80×70</t>
        </is>
      </c>
      <c r="E48" s="8" t="inlineStr">
        <is>
          <t>25-99</t>
        </is>
      </c>
      <c r="F48" s="8" t="inlineStr">
        <is>
          <t>X</t>
        </is>
      </c>
      <c r="G48" s="8" t="inlineStr">
        <is>
          <t>PK 페널티 없음</t>
        </is>
      </c>
    </row>
    <row r="49">
      <c r="A49" s="9" t="inlineStr">
        <is>
          <t>마을</t>
        </is>
      </c>
      <c r="B49" s="9" t="inlineStr">
        <is>
          <t>사막 시장</t>
        </is>
      </c>
      <c r="C49" s="9" t="inlineStr">
        <is>
          <t>(500,500)</t>
        </is>
      </c>
      <c r="D49" s="9" t="inlineStr">
        <is>
          <t>50×50</t>
        </is>
      </c>
      <c r="E49" s="9" t="inlineStr">
        <is>
          <t>1-99</t>
        </is>
      </c>
      <c r="F49" s="9" t="inlineStr">
        <is>
          <t>O</t>
        </is>
      </c>
      <c r="G49" s="9" t="inlineStr">
        <is>
          <t>상점/요리사/제작소</t>
        </is>
      </c>
    </row>
    <row r="50">
      <c r="A50" s="8" t="inlineStr">
        <is>
          <t>최상급</t>
        </is>
      </c>
      <c r="B50" s="8" t="inlineStr">
        <is>
          <t>세계수</t>
        </is>
      </c>
      <c r="C50" s="8" t="inlineStr">
        <is>
          <t>(0,800)</t>
        </is>
      </c>
      <c r="D50" s="8" t="inlineStr">
        <is>
          <t>80×80</t>
        </is>
      </c>
      <c r="E50" s="8" t="inlineStr">
        <is>
          <t>50-99</t>
        </is>
      </c>
      <c r="F50" s="8" t="inlineStr">
        <is>
          <t>X</t>
        </is>
      </c>
      <c r="G50" s="8" t="inlineStr">
        <is>
          <t>엔드게임 보스</t>
        </is>
      </c>
    </row>
    <row r="51">
      <c r="A51" s="9" t="inlineStr">
        <is>
          <t>특수</t>
        </is>
      </c>
      <c r="B51" s="9" t="inlineStr">
        <is>
          <t>북부 요새</t>
        </is>
      </c>
      <c r="C51" s="9" t="inlineStr">
        <is>
          <t>(0,-900)</t>
        </is>
      </c>
      <c r="D51" s="9" t="inlineStr">
        <is>
          <t>70×70</t>
        </is>
      </c>
      <c r="E51" s="9" t="inlineStr">
        <is>
          <t>25-99</t>
        </is>
      </c>
      <c r="F51" s="9" t="inlineStr">
        <is>
          <t>X</t>
        </is>
      </c>
      <c r="G51" s="9" t="inlineStr">
        <is>
          <t>요새 점령전</t>
        </is>
      </c>
    </row>
    <row r="52">
      <c r="A52" s="8" t="inlineStr">
        <is>
          <t>초보</t>
        </is>
      </c>
      <c r="B52" s="8" t="inlineStr">
        <is>
          <t>훈련장</t>
        </is>
      </c>
      <c r="C52" s="8" t="inlineStr">
        <is>
          <t>(-900,0)</t>
        </is>
      </c>
      <c r="D52" s="8" t="inlineStr">
        <is>
          <t>60×60</t>
        </is>
      </c>
      <c r="E52" s="8" t="inlineStr">
        <is>
          <t>1-15</t>
        </is>
      </c>
      <c r="F52" s="8" t="inlineStr">
        <is>
          <t>X</t>
        </is>
      </c>
      <c r="G52" s="8" t="inlineStr">
        <is>
          <t>PvE 연습</t>
        </is>
      </c>
    </row>
    <row r="53">
      <c r="A53" s="9" t="inlineStr">
        <is>
          <t>고급</t>
        </is>
      </c>
      <c r="B53" s="9" t="inlineStr">
        <is>
          <t>용암 핵심부</t>
        </is>
      </c>
      <c r="C53" s="9" t="inlineStr">
        <is>
          <t>(500,300)</t>
        </is>
      </c>
      <c r="D53" s="9" t="inlineStr">
        <is>
          <t>70×70</t>
        </is>
      </c>
      <c r="E53" s="9" t="inlineStr">
        <is>
          <t>28-42</t>
        </is>
      </c>
      <c r="F53" s="9" t="inlineStr">
        <is>
          <t>X</t>
        </is>
      </c>
      <c r="G53" s="9" t="inlineStr">
        <is>
          <t>용암 몬스터</t>
        </is>
      </c>
    </row>
    <row r="54">
      <c r="A54" s="8" t="inlineStr">
        <is>
          <t>중급</t>
        </is>
      </c>
      <c r="B54" s="8" t="inlineStr">
        <is>
          <t>안개의 골짜기</t>
        </is>
      </c>
      <c r="C54" s="8" t="inlineStr">
        <is>
          <t>(-700,300)</t>
        </is>
      </c>
      <c r="D54" s="8" t="inlineStr">
        <is>
          <t>60×60</t>
        </is>
      </c>
      <c r="E54" s="8" t="inlineStr">
        <is>
          <t>12-22</t>
        </is>
      </c>
      <c r="F54" s="8" t="inlineStr">
        <is>
          <t>X</t>
        </is>
      </c>
      <c r="G54" s="8" t="inlineStr">
        <is>
          <t>시야 감소</t>
        </is>
      </c>
    </row>
    <row r="55">
      <c r="A55" s="9" t="inlineStr">
        <is>
          <t>고급</t>
        </is>
      </c>
      <c r="B55" s="9" t="inlineStr">
        <is>
          <t>흑요석 광산</t>
        </is>
      </c>
      <c r="C55" s="9" t="inlineStr">
        <is>
          <t>(700,-300)</t>
        </is>
      </c>
      <c r="D55" s="9" t="inlineStr">
        <is>
          <t>60×60</t>
        </is>
      </c>
      <c r="E55" s="9" t="inlineStr">
        <is>
          <t>22-35</t>
        </is>
      </c>
      <c r="F55" s="9" t="inlineStr">
        <is>
          <t>X</t>
        </is>
      </c>
      <c r="G55" s="9" t="inlineStr">
        <is>
          <t>흑요석 광물</t>
        </is>
      </c>
    </row>
    <row r="56">
      <c r="A56" s="8" t="inlineStr">
        <is>
          <t>고급</t>
        </is>
      </c>
      <c r="B56" s="8" t="inlineStr">
        <is>
          <t>뇌전 고원</t>
        </is>
      </c>
      <c r="C56" s="8" t="inlineStr">
        <is>
          <t>(-200,-900)</t>
        </is>
      </c>
      <c r="D56" s="8" t="inlineStr">
        <is>
          <t>70×60</t>
        </is>
      </c>
      <c r="E56" s="8" t="inlineStr">
        <is>
          <t>30-45</t>
        </is>
      </c>
      <c r="F56" s="8" t="inlineStr">
        <is>
          <t>X</t>
        </is>
      </c>
      <c r="G56" s="8" t="inlineStr">
        <is>
          <t>전기 데미지</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0" customWidth="1" min="1" max="1"/>
    <col width="16" customWidth="1" min="2" max="2"/>
    <col width="12" customWidth="1" min="3" max="3"/>
    <col width="25" customWidth="1" min="4" max="4"/>
    <col width="12" customWidth="1" min="5" max="5"/>
    <col width="10" customWidth="1" min="6" max="6"/>
  </cols>
  <sheetData>
    <row r="1">
      <c r="A1" s="6" t="inlineStr">
        <is>
          <t>장비 목록</t>
        </is>
      </c>
    </row>
    <row r="3">
      <c r="A3" s="7" t="inlineStr">
        <is>
          <t>슬롯</t>
        </is>
      </c>
      <c r="B3" s="7" t="inlineStr">
        <is>
          <t>장비명</t>
        </is>
      </c>
      <c r="C3" s="7" t="inlineStr">
        <is>
          <t>등급</t>
        </is>
      </c>
      <c r="D3" s="7" t="inlineStr">
        <is>
          <t>스탯</t>
        </is>
      </c>
      <c r="E3" s="7" t="inlineStr">
        <is>
          <t>가격</t>
        </is>
      </c>
      <c r="F3" s="7" t="inlineStr">
        <is>
          <t>제작가능</t>
        </is>
      </c>
    </row>
    <row r="4">
      <c r="A4" s="8" t="inlineStr">
        <is>
          <t>weapon</t>
        </is>
      </c>
      <c r="B4" s="8" t="inlineStr">
        <is>
          <t>철제 검</t>
        </is>
      </c>
      <c r="C4" s="8" t="inlineStr">
        <is>
          <t>Normal</t>
        </is>
      </c>
      <c r="D4" s="8" t="inlineStr">
        <is>
          <t>+10 ATK</t>
        </is>
      </c>
      <c r="E4" s="8" t="inlineStr">
        <is>
          <t>100G</t>
        </is>
      </c>
      <c r="F4" s="8" t="inlineStr">
        <is>
          <t>O</t>
        </is>
      </c>
    </row>
    <row r="5">
      <c r="A5" s="9" t="inlineStr">
        <is>
          <t>weapon</t>
        </is>
      </c>
      <c r="B5" s="9" t="inlineStr">
        <is>
          <t>강철 검</t>
        </is>
      </c>
      <c r="C5" s="9" t="inlineStr">
        <is>
          <t>Uncommon</t>
        </is>
      </c>
      <c r="D5" s="9" t="inlineStr">
        <is>
          <t>+25 ATK</t>
        </is>
      </c>
      <c r="E5" s="9" t="inlineStr">
        <is>
          <t>500G</t>
        </is>
      </c>
      <c r="F5" s="9" t="inlineStr">
        <is>
          <t>O</t>
        </is>
      </c>
    </row>
    <row r="6">
      <c r="A6" s="8" t="inlineStr">
        <is>
          <t>weapon</t>
        </is>
      </c>
      <c r="B6" s="8" t="inlineStr">
        <is>
          <t>미스릴 검</t>
        </is>
      </c>
      <c r="C6" s="8" t="inlineStr">
        <is>
          <t>Rare</t>
        </is>
      </c>
      <c r="D6" s="8" t="inlineStr">
        <is>
          <t>+45 ATK, +5% CRIT</t>
        </is>
      </c>
      <c r="E6" s="8" t="inlineStr">
        <is>
          <t>3000G</t>
        </is>
      </c>
      <c r="F6" s="8" t="inlineStr">
        <is>
          <t>O</t>
        </is>
      </c>
    </row>
    <row r="7">
      <c r="A7" s="9" t="inlineStr">
        <is>
          <t>weapon</t>
        </is>
      </c>
      <c r="B7" s="9" t="inlineStr">
        <is>
          <t>용의 검</t>
        </is>
      </c>
      <c r="C7" s="9" t="inlineStr">
        <is>
          <t>Epic</t>
        </is>
      </c>
      <c r="D7" s="9" t="inlineStr">
        <is>
          <t>+70 ATK, +10% CRIT</t>
        </is>
      </c>
      <c r="E7" s="9" t="inlineStr">
        <is>
          <t>드롭전용</t>
        </is>
      </c>
      <c r="F7" s="9" t="inlineStr">
        <is>
          <t>X</t>
        </is>
      </c>
    </row>
    <row r="8">
      <c r="A8" s="8" t="inlineStr">
        <is>
          <t>armor</t>
        </is>
      </c>
      <c r="B8" s="8" t="inlineStr">
        <is>
          <t>가죽 갑옷</t>
        </is>
      </c>
      <c r="C8" s="8" t="inlineStr">
        <is>
          <t>Normal</t>
        </is>
      </c>
      <c r="D8" s="8" t="inlineStr">
        <is>
          <t>+10 DEF</t>
        </is>
      </c>
      <c r="E8" s="8" t="inlineStr">
        <is>
          <t>80G</t>
        </is>
      </c>
      <c r="F8" s="8" t="inlineStr">
        <is>
          <t>O</t>
        </is>
      </c>
    </row>
    <row r="9">
      <c r="A9" s="9" t="inlineStr">
        <is>
          <t>armor</t>
        </is>
      </c>
      <c r="B9" s="9" t="inlineStr">
        <is>
          <t>철판 갑옷</t>
        </is>
      </c>
      <c r="C9" s="9" t="inlineStr">
        <is>
          <t>Uncommon</t>
        </is>
      </c>
      <c r="D9" s="9" t="inlineStr">
        <is>
          <t>+25 DEF</t>
        </is>
      </c>
      <c r="E9" s="9" t="inlineStr">
        <is>
          <t>500G</t>
        </is>
      </c>
      <c r="F9" s="9" t="inlineStr">
        <is>
          <t>O</t>
        </is>
      </c>
    </row>
    <row r="10">
      <c r="A10" s="8" t="inlineStr">
        <is>
          <t>armor</t>
        </is>
      </c>
      <c r="B10" s="8" t="inlineStr">
        <is>
          <t>미스릴 갑옷</t>
        </is>
      </c>
      <c r="C10" s="8" t="inlineStr">
        <is>
          <t>Rare</t>
        </is>
      </c>
      <c r="D10" s="8" t="inlineStr">
        <is>
          <t>+45 DEF, +50 HP</t>
        </is>
      </c>
      <c r="E10" s="8" t="inlineStr">
        <is>
          <t>3000G</t>
        </is>
      </c>
      <c r="F10" s="8" t="inlineStr">
        <is>
          <t>O</t>
        </is>
      </c>
    </row>
    <row r="11">
      <c r="A11" s="9" t="inlineStr">
        <is>
          <t>armor</t>
        </is>
      </c>
      <c r="B11" s="9" t="inlineStr">
        <is>
          <t>용의 갑옷</t>
        </is>
      </c>
      <c r="C11" s="9" t="inlineStr">
        <is>
          <t>Epic</t>
        </is>
      </c>
      <c r="D11" s="9" t="inlineStr">
        <is>
          <t>+70 DEF, +150 HP</t>
        </is>
      </c>
      <c r="E11" s="9" t="inlineStr">
        <is>
          <t>드롭전용</t>
        </is>
      </c>
      <c r="F11" s="9" t="inlineStr">
        <is>
          <t>X</t>
        </is>
      </c>
    </row>
    <row r="12">
      <c r="A12" s="8" t="inlineStr">
        <is>
          <t>helmet</t>
        </is>
      </c>
      <c r="B12" s="8" t="inlineStr">
        <is>
          <t>철투구</t>
        </is>
      </c>
      <c r="C12" s="8" t="inlineStr">
        <is>
          <t>Normal</t>
        </is>
      </c>
      <c r="D12" s="8" t="inlineStr">
        <is>
          <t>+8 DEF, +3 ATK</t>
        </is>
      </c>
      <c r="E12" s="8" t="inlineStr">
        <is>
          <t>400G</t>
        </is>
      </c>
      <c r="F12" s="8" t="inlineStr">
        <is>
          <t>O</t>
        </is>
      </c>
    </row>
    <row r="13">
      <c r="A13" s="9" t="inlineStr">
        <is>
          <t>gloves</t>
        </is>
      </c>
      <c r="B13" s="9" t="inlineStr">
        <is>
          <t>전투 장갑</t>
        </is>
      </c>
      <c r="C13" s="9" t="inlineStr">
        <is>
          <t>Normal</t>
        </is>
      </c>
      <c r="D13" s="9" t="inlineStr">
        <is>
          <t>+5 ATK, +5 DEF</t>
        </is>
      </c>
      <c r="E13" s="9" t="inlineStr">
        <is>
          <t>300G</t>
        </is>
      </c>
      <c r="F13" s="9" t="inlineStr">
        <is>
          <t>O</t>
        </is>
      </c>
    </row>
    <row r="14">
      <c r="A14" s="8" t="inlineStr">
        <is>
          <t>boots</t>
        </is>
      </c>
      <c r="B14" s="8" t="inlineStr">
        <is>
          <t>질풍 부츠</t>
        </is>
      </c>
      <c r="C14" s="8" t="inlineStr">
        <is>
          <t>Uncommon</t>
        </is>
      </c>
      <c r="D14" s="8" t="inlineStr">
        <is>
          <t>+5 SPD, +5 DEF</t>
        </is>
      </c>
      <c r="E14" s="8" t="inlineStr">
        <is>
          <t>600G</t>
        </is>
      </c>
      <c r="F14" s="8" t="inlineStr">
        <is>
          <t>O</t>
        </is>
      </c>
    </row>
    <row r="15">
      <c r="A15" s="9" t="inlineStr">
        <is>
          <t>ring</t>
        </is>
      </c>
      <c r="B15" s="9" t="inlineStr">
        <is>
          <t>힘의 반지</t>
        </is>
      </c>
      <c r="C15" s="9" t="inlineStr">
        <is>
          <t>Uncommon</t>
        </is>
      </c>
      <c r="D15" s="9" t="inlineStr">
        <is>
          <t>+8 ATK, +3 DEF</t>
        </is>
      </c>
      <c r="E15" s="9" t="inlineStr">
        <is>
          <t>800G</t>
        </is>
      </c>
      <c r="F15" s="9" t="inlineStr">
        <is>
          <t>O</t>
        </is>
      </c>
    </row>
    <row r="16">
      <c r="A16" s="8" t="inlineStr">
        <is>
          <t>ring</t>
        </is>
      </c>
      <c r="B16" s="8" t="inlineStr">
        <is>
          <t>용의 반지</t>
        </is>
      </c>
      <c r="C16" s="8" t="inlineStr">
        <is>
          <t>Epic</t>
        </is>
      </c>
      <c r="D16" s="8" t="inlineStr">
        <is>
          <t>+20 ATK, +10 DEF, +5% CRIT</t>
        </is>
      </c>
      <c r="E16" s="8" t="inlineStr">
        <is>
          <t>5000G</t>
        </is>
      </c>
      <c r="F16" s="8" t="inlineStr">
        <is>
          <t>O</t>
        </is>
      </c>
    </row>
    <row r="17">
      <c r="A17" s="9" t="inlineStr">
        <is>
          <t>necklace</t>
        </is>
      </c>
      <c r="B17" s="9" t="inlineStr">
        <is>
          <t>보호의 목걸이</t>
        </is>
      </c>
      <c r="C17" s="9" t="inlineStr">
        <is>
          <t>Normal</t>
        </is>
      </c>
      <c r="D17" s="9" t="inlineStr">
        <is>
          <t>+5 DEF, +30 HP</t>
        </is>
      </c>
      <c r="E17" s="9" t="inlineStr">
        <is>
          <t>500G</t>
        </is>
      </c>
      <c r="F17" s="9" t="inlineStr">
        <is>
          <t>O</t>
        </is>
      </c>
    </row>
    <row r="20">
      <c r="A20" s="10" t="inlineStr">
        <is>
          <t>강화 시스템</t>
        </is>
      </c>
    </row>
    <row r="21">
      <c r="A21" s="11" t="inlineStr">
        <is>
          <t>강화단계</t>
        </is>
      </c>
      <c r="B21" s="11" t="inlineStr">
        <is>
          <t>성공확률</t>
        </is>
      </c>
      <c r="C21" s="11" t="inlineStr">
        <is>
          <t>비용(G)</t>
        </is>
      </c>
      <c r="D21" s="11" t="inlineStr">
        <is>
          <t>실패시</t>
        </is>
      </c>
      <c r="E21" s="11" t="inlineStr">
        <is>
          <t>비고</t>
        </is>
      </c>
    </row>
    <row r="22">
      <c r="A22" s="3" t="inlineStr">
        <is>
          <t>+1</t>
        </is>
      </c>
      <c r="B22" s="3" t="inlineStr">
        <is>
          <t>100%</t>
        </is>
      </c>
      <c r="C22" s="3" t="inlineStr">
        <is>
          <t>200</t>
        </is>
      </c>
      <c r="D22" s="3" t="inlineStr">
        <is>
          <t>변화없음</t>
        </is>
      </c>
      <c r="E22" s="3" t="inlineStr">
        <is>
          <t>안전 구간</t>
        </is>
      </c>
    </row>
    <row r="23">
      <c r="A23" s="3" t="inlineStr">
        <is>
          <t>+2</t>
        </is>
      </c>
      <c r="B23" s="3" t="inlineStr">
        <is>
          <t>100%</t>
        </is>
      </c>
      <c r="C23" s="3" t="inlineStr">
        <is>
          <t>400</t>
        </is>
      </c>
      <c r="D23" s="3" t="inlineStr">
        <is>
          <t>변화없음</t>
        </is>
      </c>
      <c r="E23" s="3" t="inlineStr">
        <is>
          <t>안전 구간</t>
        </is>
      </c>
    </row>
    <row r="24">
      <c r="A24" s="3" t="inlineStr">
        <is>
          <t>+3</t>
        </is>
      </c>
      <c r="B24" s="3" t="inlineStr">
        <is>
          <t>100%</t>
        </is>
      </c>
      <c r="C24" s="3" t="inlineStr">
        <is>
          <t>600</t>
        </is>
      </c>
      <c r="D24" s="3" t="inlineStr">
        <is>
          <t>변화없음</t>
        </is>
      </c>
      <c r="E24" s="3" t="inlineStr">
        <is>
          <t>안전 구간</t>
        </is>
      </c>
    </row>
    <row r="25">
      <c r="A25" s="3" t="inlineStr">
        <is>
          <t>+4</t>
        </is>
      </c>
      <c r="B25" s="3" t="inlineStr">
        <is>
          <t>90%</t>
        </is>
      </c>
      <c r="C25" s="3" t="inlineStr">
        <is>
          <t>800</t>
        </is>
      </c>
      <c r="D25" s="3" t="inlineStr">
        <is>
          <t>단계 유지</t>
        </is>
      </c>
      <c r="E25" s="3" t="inlineStr"/>
    </row>
    <row r="26">
      <c r="A26" s="3" t="inlineStr">
        <is>
          <t>+5</t>
        </is>
      </c>
      <c r="B26" s="3" t="inlineStr">
        <is>
          <t>80%</t>
        </is>
      </c>
      <c r="C26" s="3" t="inlineStr">
        <is>
          <t>1000</t>
        </is>
      </c>
      <c r="D26" s="3" t="inlineStr">
        <is>
          <t>단계 유지</t>
        </is>
      </c>
      <c r="E26" s="3" t="inlineStr"/>
    </row>
    <row r="27">
      <c r="A27" s="3" t="inlineStr">
        <is>
          <t>+6</t>
        </is>
      </c>
      <c r="B27" s="3" t="inlineStr">
        <is>
          <t>70%</t>
        </is>
      </c>
      <c r="C27" s="3" t="inlineStr">
        <is>
          <t>1200</t>
        </is>
      </c>
      <c r="D27" s="3" t="inlineStr">
        <is>
          <t>단계 유지</t>
        </is>
      </c>
      <c r="E27" s="3" t="inlineStr"/>
    </row>
    <row r="28">
      <c r="A28" s="3" t="inlineStr">
        <is>
          <t>+7</t>
        </is>
      </c>
      <c r="B28" s="3" t="inlineStr">
        <is>
          <t>60%</t>
        </is>
      </c>
      <c r="C28" s="3" t="inlineStr">
        <is>
          <t>1400</t>
        </is>
      </c>
      <c r="D28" s="3" t="inlineStr">
        <is>
          <t>단계 하락(-1)</t>
        </is>
      </c>
      <c r="E28" s="3" t="inlineStr">
        <is>
          <t>위험 구간</t>
        </is>
      </c>
    </row>
    <row r="29">
      <c r="A29" s="3" t="inlineStr">
        <is>
          <t>+8</t>
        </is>
      </c>
      <c r="B29" s="3" t="inlineStr">
        <is>
          <t>50%</t>
        </is>
      </c>
      <c r="C29" s="3" t="inlineStr">
        <is>
          <t>1600</t>
        </is>
      </c>
      <c r="D29" s="12" t="inlineStr">
        <is>
          <t>장비 파괴 가능</t>
        </is>
      </c>
      <c r="E29" s="3" t="inlineStr">
        <is>
          <t>보호주문서 사용 권장</t>
        </is>
      </c>
    </row>
    <row r="30">
      <c r="A30" s="3" t="inlineStr">
        <is>
          <t>+9</t>
        </is>
      </c>
      <c r="B30" s="3" t="inlineStr">
        <is>
          <t>40%</t>
        </is>
      </c>
      <c r="C30" s="3" t="inlineStr">
        <is>
          <t>1800</t>
        </is>
      </c>
      <c r="D30" s="12" t="inlineStr">
        <is>
          <t>장비 파괴 가능</t>
        </is>
      </c>
      <c r="E30" s="3" t="inlineStr"/>
    </row>
    <row r="31">
      <c r="A31" s="3" t="inlineStr">
        <is>
          <t>+10</t>
        </is>
      </c>
      <c r="B31" s="3" t="inlineStr">
        <is>
          <t>30%</t>
        </is>
      </c>
      <c r="C31" s="3" t="inlineStr">
        <is>
          <t>2000</t>
        </is>
      </c>
      <c r="D31" s="12" t="inlineStr">
        <is>
          <t>장비 파괴 가능</t>
        </is>
      </c>
      <c r="E31" s="3" t="inlineStr">
        <is>
          <t>최종 단계</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18" customWidth="1" min="2" max="2"/>
    <col width="30" customWidth="1" min="3" max="3"/>
    <col width="16" customWidth="1" min="4" max="4"/>
    <col width="10" customWidth="1" min="5" max="5"/>
    <col width="10" customWidth="1" min="6" max="6"/>
  </cols>
  <sheetData>
    <row r="1">
      <c r="A1" s="6" t="inlineStr">
        <is>
          <t>제작 레시피 (14종)</t>
        </is>
      </c>
    </row>
    <row r="3">
      <c r="A3" s="7" t="inlineStr">
        <is>
          <t>분류</t>
        </is>
      </c>
      <c r="B3" s="7" t="inlineStr">
        <is>
          <t>레시피명</t>
        </is>
      </c>
      <c r="C3" s="7" t="inlineStr">
        <is>
          <t>필요재료</t>
        </is>
      </c>
      <c r="D3" s="7" t="inlineStr">
        <is>
          <t>결과물</t>
        </is>
      </c>
      <c r="E3" s="7" t="inlineStr">
        <is>
          <t>비용</t>
        </is>
      </c>
      <c r="F3" s="7" t="inlineStr">
        <is>
          <t>성공률</t>
        </is>
      </c>
    </row>
    <row r="4">
      <c r="A4" s="8" t="inlineStr">
        <is>
          <t>무기</t>
        </is>
      </c>
      <c r="B4" s="8" t="inlineStr">
        <is>
          <t>철제 검 제작</t>
        </is>
      </c>
      <c r="C4" s="8" t="inlineStr">
        <is>
          <t>철광석×5, 목재×3</t>
        </is>
      </c>
      <c r="D4" s="8" t="inlineStr">
        <is>
          <t>철제 검</t>
        </is>
      </c>
      <c r="E4" s="8" t="inlineStr">
        <is>
          <t>100G</t>
        </is>
      </c>
      <c r="F4" s="8" t="inlineStr">
        <is>
          <t>100%</t>
        </is>
      </c>
    </row>
    <row r="5">
      <c r="A5" s="9" t="inlineStr">
        <is>
          <t>무기</t>
        </is>
      </c>
      <c r="B5" s="9" t="inlineStr">
        <is>
          <t>강철 검 제작</t>
        </is>
      </c>
      <c r="C5" s="9" t="inlineStr">
        <is>
          <t>철광석×15, 마법재료×5</t>
        </is>
      </c>
      <c r="D5" s="9" t="inlineStr">
        <is>
          <t>강철 검</t>
        </is>
      </c>
      <c r="E5" s="9" t="inlineStr">
        <is>
          <t>500G</t>
        </is>
      </c>
      <c r="F5" s="9" t="inlineStr">
        <is>
          <t>80%</t>
        </is>
      </c>
    </row>
    <row r="6">
      <c r="A6" s="8" t="inlineStr">
        <is>
          <t>무기</t>
        </is>
      </c>
      <c r="B6" s="8" t="inlineStr">
        <is>
          <t>미스릴 검 제작</t>
        </is>
      </c>
      <c r="C6" s="8" t="inlineStr">
        <is>
          <t>철광석×30, 영혼재료×10, 용재료×3</t>
        </is>
      </c>
      <c r="D6" s="8" t="inlineStr">
        <is>
          <t>미스릴 검</t>
        </is>
      </c>
      <c r="E6" s="8" t="inlineStr">
        <is>
          <t>3000G</t>
        </is>
      </c>
      <c r="F6" s="8" t="inlineStr">
        <is>
          <t>50%</t>
        </is>
      </c>
    </row>
    <row r="7">
      <c r="A7" s="9" t="inlineStr">
        <is>
          <t>방어구</t>
        </is>
      </c>
      <c r="B7" s="9" t="inlineStr">
        <is>
          <t>가죽 갑옷 제작</t>
        </is>
      </c>
      <c r="C7" s="9" t="inlineStr">
        <is>
          <t>가죽×5, 목재×2</t>
        </is>
      </c>
      <c r="D7" s="9" t="inlineStr">
        <is>
          <t>가죽 갑옷</t>
        </is>
      </c>
      <c r="E7" s="9" t="inlineStr">
        <is>
          <t>80G</t>
        </is>
      </c>
      <c r="F7" s="9" t="inlineStr">
        <is>
          <t>100%</t>
        </is>
      </c>
    </row>
    <row r="8">
      <c r="A8" s="8" t="inlineStr">
        <is>
          <t>방어구</t>
        </is>
      </c>
      <c r="B8" s="8" t="inlineStr">
        <is>
          <t>철판 갑옷 제작</t>
        </is>
      </c>
      <c r="C8" s="8" t="inlineStr">
        <is>
          <t>철광석×20, 가죽×10</t>
        </is>
      </c>
      <c r="D8" s="8" t="inlineStr">
        <is>
          <t>철판 갑옷</t>
        </is>
      </c>
      <c r="E8" s="8" t="inlineStr">
        <is>
          <t>500G</t>
        </is>
      </c>
      <c r="F8" s="8" t="inlineStr">
        <is>
          <t>80%</t>
        </is>
      </c>
    </row>
    <row r="9">
      <c r="A9" s="9" t="inlineStr">
        <is>
          <t>방어구</t>
        </is>
      </c>
      <c r="B9" s="9" t="inlineStr">
        <is>
          <t>미스릴 갑옷 제작</t>
        </is>
      </c>
      <c r="C9" s="9" t="inlineStr">
        <is>
          <t>철광석×30, 영혼재료×10, 용재료×3</t>
        </is>
      </c>
      <c r="D9" s="9" t="inlineStr">
        <is>
          <t>미스릴 갑옷</t>
        </is>
      </c>
      <c r="E9" s="9" t="inlineStr">
        <is>
          <t>3000G</t>
        </is>
      </c>
      <c r="F9" s="9" t="inlineStr">
        <is>
          <t>50%</t>
        </is>
      </c>
    </row>
    <row r="10">
      <c r="A10" s="8" t="inlineStr">
        <is>
          <t>장신구</t>
        </is>
      </c>
      <c r="B10" s="8" t="inlineStr">
        <is>
          <t>힘의 반지 제작</t>
        </is>
      </c>
      <c r="C10" s="8" t="inlineStr">
        <is>
          <t>보석×5, 마법재료×3</t>
        </is>
      </c>
      <c r="D10" s="8" t="inlineStr">
        <is>
          <t>힘의 반지</t>
        </is>
      </c>
      <c r="E10" s="8" t="inlineStr">
        <is>
          <t>800G</t>
        </is>
      </c>
      <c r="F10" s="8" t="inlineStr">
        <is>
          <t>70%</t>
        </is>
      </c>
    </row>
    <row r="11">
      <c r="A11" s="9" t="inlineStr">
        <is>
          <t>장신구</t>
        </is>
      </c>
      <c r="B11" s="9" t="inlineStr">
        <is>
          <t>용의 반지 제작</t>
        </is>
      </c>
      <c r="C11" s="9" t="inlineStr">
        <is>
          <t>보석×15, 용재료×5</t>
        </is>
      </c>
      <c r="D11" s="9" t="inlineStr">
        <is>
          <t>용의 반지</t>
        </is>
      </c>
      <c r="E11" s="9" t="inlineStr">
        <is>
          <t>5000G</t>
        </is>
      </c>
      <c r="F11" s="9" t="inlineStr">
        <is>
          <t>30%</t>
        </is>
      </c>
    </row>
    <row r="12">
      <c r="A12" s="8" t="inlineStr">
        <is>
          <t>장신구</t>
        </is>
      </c>
      <c r="B12" s="8" t="inlineStr">
        <is>
          <t>보호의 목걸이</t>
        </is>
      </c>
      <c r="C12" s="8" t="inlineStr">
        <is>
          <t>보석×3, 향신료×2</t>
        </is>
      </c>
      <c r="D12" s="8" t="inlineStr">
        <is>
          <t>보호의 목걸이</t>
        </is>
      </c>
      <c r="E12" s="8" t="inlineStr">
        <is>
          <t>500G</t>
        </is>
      </c>
      <c r="F12" s="8" t="inlineStr">
        <is>
          <t>80%</t>
        </is>
      </c>
    </row>
    <row r="13">
      <c r="A13" s="9" t="inlineStr">
        <is>
          <t>장신구</t>
        </is>
      </c>
      <c r="B13" s="9" t="inlineStr">
        <is>
          <t>질풍 부츠 제작</t>
        </is>
      </c>
      <c r="C13" s="9" t="inlineStr">
        <is>
          <t>가죽×10, 마법재료×3</t>
        </is>
      </c>
      <c r="D13" s="9" t="inlineStr">
        <is>
          <t>질풍 부츠</t>
        </is>
      </c>
      <c r="E13" s="9" t="inlineStr">
        <is>
          <t>600G</t>
        </is>
      </c>
      <c r="F13" s="9" t="inlineStr">
        <is>
          <t>70%</t>
        </is>
      </c>
    </row>
    <row r="14">
      <c r="A14" s="8" t="inlineStr">
        <is>
          <t>장신구</t>
        </is>
      </c>
      <c r="B14" s="8" t="inlineStr">
        <is>
          <t>철투구 제작</t>
        </is>
      </c>
      <c r="C14" s="8" t="inlineStr">
        <is>
          <t>철광석×10, 가죽×5</t>
        </is>
      </c>
      <c r="D14" s="8" t="inlineStr">
        <is>
          <t>철투구</t>
        </is>
      </c>
      <c r="E14" s="8" t="inlineStr">
        <is>
          <t>400G</t>
        </is>
      </c>
      <c r="F14" s="8" t="inlineStr">
        <is>
          <t>80%</t>
        </is>
      </c>
    </row>
    <row r="15">
      <c r="A15" s="9" t="inlineStr">
        <is>
          <t>소비품</t>
        </is>
      </c>
      <c r="B15" s="9" t="inlineStr">
        <is>
          <t>HP 물약 제작</t>
        </is>
      </c>
      <c r="C15" s="9" t="inlineStr">
        <is>
          <t>약초×3, 물약 원료×1</t>
        </is>
      </c>
      <c r="D15" s="9" t="inlineStr">
        <is>
          <t>중급 HP 물약</t>
        </is>
      </c>
      <c r="E15" s="9" t="inlineStr">
        <is>
          <t>30G</t>
        </is>
      </c>
      <c r="F15" s="9" t="inlineStr">
        <is>
          <t>100%</t>
        </is>
      </c>
    </row>
    <row r="16">
      <c r="A16" s="8" t="inlineStr">
        <is>
          <t>소비품</t>
        </is>
      </c>
      <c r="B16" s="8" t="inlineStr">
        <is>
          <t>공격 물약 제작</t>
        </is>
      </c>
      <c r="C16" s="8" t="inlineStr">
        <is>
          <t>약초×5, 향신료×2</t>
        </is>
      </c>
      <c r="D16" s="8" t="inlineStr">
        <is>
          <t>공격 부스터</t>
        </is>
      </c>
      <c r="E16" s="8" t="inlineStr">
        <is>
          <t>80G</t>
        </is>
      </c>
      <c r="F16" s="8" t="inlineStr">
        <is>
          <t>90%</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18" customWidth="1" min="1" max="1"/>
    <col width="14" customWidth="1" min="2" max="2"/>
    <col width="14" customWidth="1" min="3" max="3"/>
    <col width="14" customWidth="1" min="4" max="4"/>
    <col width="20" customWidth="1" min="5" max="5"/>
  </cols>
  <sheetData>
    <row r="1">
      <c r="A1" s="6" t="inlineStr">
        <is>
          <t>교역품 (20종)</t>
        </is>
      </c>
    </row>
    <row r="3">
      <c r="A3" s="7" t="inlineStr">
        <is>
          <t>상품ID</t>
        </is>
      </c>
      <c r="B3" s="7" t="inlineStr">
        <is>
          <t>상품명</t>
        </is>
      </c>
      <c r="C3" s="7" t="inlineStr">
        <is>
          <t>기본가격(G)</t>
        </is>
      </c>
      <c r="D3" s="7" t="inlineStr">
        <is>
          <t>분류</t>
        </is>
      </c>
      <c r="E3" s="7" t="inlineStr">
        <is>
          <t>비고</t>
        </is>
      </c>
    </row>
    <row r="4">
      <c r="A4" s="8" t="inlineStr">
        <is>
          <t>goods_silk</t>
        </is>
      </c>
      <c r="B4" s="8" t="inlineStr">
        <is>
          <t>비단</t>
        </is>
      </c>
      <c r="C4" s="8" t="n">
        <v>100</v>
      </c>
      <c r="D4" s="8" t="inlineStr">
        <is>
          <t>의류/직물</t>
        </is>
      </c>
      <c r="E4" s="8" t="inlineStr">
        <is>
          <t>높은 가격 변동폭</t>
        </is>
      </c>
    </row>
    <row r="5">
      <c r="A5" s="9" t="inlineStr">
        <is>
          <t>goods_iron</t>
        </is>
      </c>
      <c r="B5" s="9" t="inlineStr">
        <is>
          <t>철광석</t>
        </is>
      </c>
      <c r="C5" s="9" t="n">
        <v>50</v>
      </c>
      <c r="D5" s="9" t="inlineStr">
        <is>
          <t>광물/금속</t>
        </is>
      </c>
      <c r="E5" s="9" t="inlineStr">
        <is>
          <t>제작 재료로도 사용</t>
        </is>
      </c>
    </row>
    <row r="6">
      <c r="A6" s="8" t="inlineStr">
        <is>
          <t>goods_herb</t>
        </is>
      </c>
      <c r="B6" s="8" t="inlineStr">
        <is>
          <t>약초</t>
        </is>
      </c>
      <c r="C6" s="8" t="n">
        <v>30</v>
      </c>
      <c r="D6" s="8" t="inlineStr">
        <is>
          <t>식물/약재</t>
        </is>
      </c>
      <c r="E6" s="8" t="inlineStr">
        <is>
          <t>물약 제작 재료</t>
        </is>
      </c>
    </row>
    <row r="7">
      <c r="A7" s="9" t="inlineStr">
        <is>
          <t>goods_gem</t>
        </is>
      </c>
      <c r="B7" s="9" t="inlineStr">
        <is>
          <t>보석</t>
        </is>
      </c>
      <c r="C7" s="9" t="n">
        <v>200</v>
      </c>
      <c r="D7" s="9" t="inlineStr">
        <is>
          <t>귀금속</t>
        </is>
      </c>
      <c r="E7" s="9" t="inlineStr">
        <is>
          <t>장신구 제작 재료</t>
        </is>
      </c>
    </row>
    <row r="8">
      <c r="A8" s="8" t="inlineStr">
        <is>
          <t>goods_wood</t>
        </is>
      </c>
      <c r="B8" s="8" t="inlineStr">
        <is>
          <t>목재</t>
        </is>
      </c>
      <c r="C8" s="8" t="n">
        <v>40</v>
      </c>
      <c r="D8" s="8" t="inlineStr">
        <is>
          <t>건축/재료</t>
        </is>
      </c>
      <c r="E8" s="8" t="inlineStr">
        <is>
          <t>기본 제작 재료</t>
        </is>
      </c>
    </row>
    <row r="9">
      <c r="A9" s="9" t="inlineStr">
        <is>
          <t>goods_leather</t>
        </is>
      </c>
      <c r="B9" s="9" t="inlineStr">
        <is>
          <t>가죽</t>
        </is>
      </c>
      <c r="C9" s="9" t="n">
        <v>60</v>
      </c>
      <c r="D9" s="9" t="inlineStr">
        <is>
          <t>가공품</t>
        </is>
      </c>
      <c r="E9" s="9" t="inlineStr">
        <is>
          <t>방어구 제작 재료</t>
        </is>
      </c>
    </row>
    <row r="10">
      <c r="A10" s="8" t="inlineStr">
        <is>
          <t>goods_spice</t>
        </is>
      </c>
      <c r="B10" s="8" t="inlineStr">
        <is>
          <t>향신료</t>
        </is>
      </c>
      <c r="C10" s="8" t="n">
        <v>150</v>
      </c>
      <c r="D10" s="8" t="inlineStr">
        <is>
          <t>식품/향료</t>
        </is>
      </c>
      <c r="E10" s="8" t="inlineStr">
        <is>
          <t>고급 요리 재료</t>
        </is>
      </c>
    </row>
    <row r="11">
      <c r="A11" s="9" t="inlineStr">
        <is>
          <t>goods_potion</t>
        </is>
      </c>
      <c r="B11" s="9" t="inlineStr">
        <is>
          <t>물약 원료</t>
        </is>
      </c>
      <c r="C11" s="9" t="n">
        <v>80</v>
      </c>
      <c r="D11" s="9" t="inlineStr">
        <is>
          <t>연금술</t>
        </is>
      </c>
      <c r="E11" s="9" t="inlineStr">
        <is>
          <t>물약 제작 필수</t>
        </is>
      </c>
    </row>
    <row r="12">
      <c r="A12" s="8" t="inlineStr">
        <is>
          <t>goods_pearl</t>
        </is>
      </c>
      <c r="B12" s="8" t="inlineStr">
        <is>
          <t>진주</t>
        </is>
      </c>
      <c r="C12" s="8" t="n">
        <v>300</v>
      </c>
      <c r="D12" s="8" t="inlineStr">
        <is>
          <t>귀금속</t>
        </is>
      </c>
      <c r="E12" s="8" t="inlineStr">
        <is>
          <t>희귀 교역품</t>
        </is>
      </c>
    </row>
    <row r="13">
      <c r="A13" s="9" t="inlineStr">
        <is>
          <t>goods_crystal</t>
        </is>
      </c>
      <c r="B13" s="9" t="inlineStr">
        <is>
          <t>마법 수정</t>
        </is>
      </c>
      <c r="C13" s="9" t="n">
        <v>250</v>
      </c>
      <c r="D13" s="9" t="inlineStr">
        <is>
          <t>마법재료</t>
        </is>
      </c>
      <c r="E13" s="9" t="inlineStr">
        <is>
          <t>강화 재료</t>
        </is>
      </c>
    </row>
    <row r="14">
      <c r="A14" s="8" t="inlineStr">
        <is>
          <t>goods_wine</t>
        </is>
      </c>
      <c r="B14" s="8" t="inlineStr">
        <is>
          <t>고급 와인</t>
        </is>
      </c>
      <c r="C14" s="8" t="n">
        <v>180</v>
      </c>
      <c r="D14" s="8" t="inlineStr">
        <is>
          <t>식품/음료</t>
        </is>
      </c>
      <c r="E14" s="8" t="inlineStr">
        <is>
          <t>사치품</t>
        </is>
      </c>
    </row>
    <row r="15">
      <c r="A15" s="9" t="inlineStr">
        <is>
          <t>goods_fur</t>
        </is>
      </c>
      <c r="B15" s="9" t="inlineStr">
        <is>
          <t>고급 모피</t>
        </is>
      </c>
      <c r="C15" s="9" t="n">
        <v>120</v>
      </c>
      <c r="D15" s="9" t="inlineStr">
        <is>
          <t>가공품</t>
        </is>
      </c>
      <c r="E15" s="9" t="inlineStr">
        <is>
          <t>방한 재료</t>
        </is>
      </c>
    </row>
    <row r="16">
      <c r="A16" s="8" t="inlineStr">
        <is>
          <t>goods_incense</t>
        </is>
      </c>
      <c r="B16" s="8" t="inlineStr">
        <is>
          <t>향</t>
        </is>
      </c>
      <c r="C16" s="8" t="n">
        <v>90</v>
      </c>
      <c r="D16" s="8" t="inlineStr">
        <is>
          <t>기호품</t>
        </is>
      </c>
      <c r="E16" s="8" t="inlineStr">
        <is>
          <t>버프 재료</t>
        </is>
      </c>
    </row>
    <row r="17">
      <c r="A17" s="9" t="inlineStr">
        <is>
          <t>goods_dye</t>
        </is>
      </c>
      <c r="B17" s="9" t="inlineStr">
        <is>
          <t>염료</t>
        </is>
      </c>
      <c r="C17" s="9" t="n">
        <v>70</v>
      </c>
      <c r="D17" s="9" t="inlineStr">
        <is>
          <t>가공품</t>
        </is>
      </c>
      <c r="E17" s="9" t="inlineStr">
        <is>
          <t>스킨 재료</t>
        </is>
      </c>
    </row>
    <row r="18">
      <c r="A18" s="8" t="inlineStr">
        <is>
          <t>goods_phoenix_feather</t>
        </is>
      </c>
      <c r="B18" s="8" t="inlineStr">
        <is>
          <t>불사조 깃털</t>
        </is>
      </c>
      <c r="C18" s="8" t="n">
        <v>600</v>
      </c>
      <c r="D18" s="8" t="inlineStr">
        <is>
          <t>희귀재료</t>
        </is>
      </c>
      <c r="E18" s="8" t="inlineStr">
        <is>
          <t>v1.13 신규 — 이국의 사치품</t>
        </is>
      </c>
    </row>
    <row r="19">
      <c r="A19" s="9" t="inlineStr">
        <is>
          <t>goods_void_essence</t>
        </is>
      </c>
      <c r="B19" s="9" t="inlineStr">
        <is>
          <t>공허의 정수</t>
        </is>
      </c>
      <c r="C19" s="9" t="n">
        <v>750</v>
      </c>
      <c r="D19" s="9" t="inlineStr">
        <is>
          <t>마법재료</t>
        </is>
      </c>
      <c r="E19" s="9" t="inlineStr">
        <is>
          <t>v1.13 신규 — 이국의 사치품</t>
        </is>
      </c>
    </row>
    <row r="20">
      <c r="A20" s="8" t="inlineStr">
        <is>
          <t>goods_celestial_silk</t>
        </is>
      </c>
      <c r="B20" s="8" t="inlineStr">
        <is>
          <t>천공의 비단</t>
        </is>
      </c>
      <c r="C20" s="8" t="n">
        <v>900</v>
      </c>
      <c r="D20" s="8" t="inlineStr">
        <is>
          <t>고급직물</t>
        </is>
      </c>
      <c r="E20" s="8" t="inlineStr">
        <is>
          <t>v1.13 신규 — 최고급 사치품</t>
        </is>
      </c>
    </row>
    <row r="21">
      <c r="A21" s="9" t="inlineStr">
        <is>
          <t>goods_salt</t>
        </is>
      </c>
      <c r="B21" s="9" t="inlineStr">
        <is>
          <t>소금</t>
        </is>
      </c>
      <c r="C21" s="9" t="n">
        <v>35</v>
      </c>
      <c r="D21" s="9" t="inlineStr">
        <is>
          <t>식품/조미</t>
        </is>
      </c>
      <c r="E21" s="9" t="inlineStr">
        <is>
          <t>기본 교역품</t>
        </is>
      </c>
    </row>
    <row r="22">
      <c r="A22" s="8" t="inlineStr">
        <is>
          <t>goods_fish</t>
        </is>
      </c>
      <c r="B22" s="8" t="inlineStr">
        <is>
          <t>건어물</t>
        </is>
      </c>
      <c r="C22" s="8" t="n">
        <v>55</v>
      </c>
      <c r="D22" s="8" t="inlineStr">
        <is>
          <t>식품</t>
        </is>
      </c>
      <c r="E22" s="8" t="inlineStr">
        <is>
          <t>기본 교역품</t>
        </is>
      </c>
    </row>
    <row r="23">
      <c r="A23" s="9" t="inlineStr">
        <is>
          <t>goods_gold_bar</t>
        </is>
      </c>
      <c r="B23" s="9" t="inlineStr">
        <is>
          <t>금괴</t>
        </is>
      </c>
      <c r="C23" s="9" t="n">
        <v>500</v>
      </c>
      <c r="D23" s="9" t="inlineStr">
        <is>
          <t>귀금속</t>
        </is>
      </c>
      <c r="E23" s="9" t="inlineStr">
        <is>
          <t>최고가 교역품</t>
        </is>
      </c>
    </row>
    <row r="24">
      <c r="A24" s="8" t="inlineStr">
        <is>
          <t>goods_dragon_eye</t>
        </is>
      </c>
      <c r="B24" s="8" t="inlineStr">
        <is>
          <t>용의 눈</t>
        </is>
      </c>
      <c r="C24" s="8" t="n">
        <v>800</v>
      </c>
      <c r="D24" s="8" t="inlineStr">
        <is>
          <t>희귀재료</t>
        </is>
      </c>
      <c r="E24" s="8" t="inlineStr">
        <is>
          <t>전설 제작 재료</t>
        </is>
      </c>
    </row>
    <row r="25">
      <c r="A25" s="9" t="inlineStr">
        <is>
          <t>goods_star_dust</t>
        </is>
      </c>
      <c r="B25" s="9" t="inlineStr">
        <is>
          <t>별의 가루</t>
        </is>
      </c>
      <c r="C25" s="9" t="n">
        <v>400</v>
      </c>
      <c r="D25" s="9" t="inlineStr">
        <is>
          <t>마법재료</t>
        </is>
      </c>
      <c r="E25" s="9" t="inlineStr">
        <is>
          <t>강화 촉매</t>
        </is>
      </c>
    </row>
    <row r="26">
      <c r="A26" s="8" t="inlineStr">
        <is>
          <t>goods_moonstone</t>
        </is>
      </c>
      <c r="B26" s="8" t="inlineStr">
        <is>
          <t>월석</t>
        </is>
      </c>
      <c r="C26" s="8" t="n">
        <v>350</v>
      </c>
      <c r="D26" s="8" t="inlineStr">
        <is>
          <t>마법재료</t>
        </is>
      </c>
      <c r="E26" s="8" t="inlineStr">
        <is>
          <t>장신구 재료</t>
        </is>
      </c>
    </row>
    <row r="29">
      <c r="A29" s="10" t="inlineStr">
        <is>
          <t>교역 규칙</t>
        </is>
      </c>
    </row>
    <row r="30">
      <c r="A30" s="3" t="inlineStr">
        <is>
          <t>가격 변동</t>
        </is>
      </c>
      <c r="B30" s="3" t="inlineStr">
        <is>
          <t>마을별 0.5~1.5배 가격 랜덤 (10분 주기 변동)</t>
        </is>
      </c>
    </row>
    <row r="31">
      <c r="A31" s="3" t="inlineStr">
        <is>
          <t>구매 조건</t>
        </is>
      </c>
      <c r="B31" s="3" t="inlineStr">
        <is>
          <t>해당 마을 존에 위치해야 구매 가능</t>
        </is>
      </c>
    </row>
    <row r="32">
      <c r="A32" s="3" t="inlineStr">
        <is>
          <t>판매 조건</t>
        </is>
      </c>
      <c r="B32" s="3" t="inlineStr">
        <is>
          <t>다른 마을로 이동 후 판매 (차익 실현)</t>
        </is>
      </c>
    </row>
    <row r="33">
      <c r="A33" s="3" t="inlineStr">
        <is>
          <t>판매 수수료</t>
        </is>
      </c>
      <c r="B33" s="3" t="inlineStr">
        <is>
          <t>판매가의 10% 수수료</t>
        </is>
      </c>
    </row>
    <row r="34">
      <c r="A34" s="3" t="inlineStr">
        <is>
          <t>마켓 수수료</t>
        </is>
      </c>
      <c r="B34" s="3" t="inlineStr">
        <is>
          <t>플레이어간 거래 5% 수수료</t>
        </is>
      </c>
    </row>
    <row r="35">
      <c r="A35" s="3" t="inlineStr">
        <is>
          <t>위험 요소</t>
        </is>
      </c>
      <c r="B35" s="3" t="inlineStr">
        <is>
          <t>PK 사망시 교역품 30% 드롭</t>
        </is>
      </c>
    </row>
    <row r="36">
      <c r="A36" s="3" t="inlineStr">
        <is>
          <t>이익 극대화</t>
        </is>
      </c>
      <c r="B36" s="3" t="inlineStr">
        <is>
          <t>가격이 낮은 마을에서 매입 → 높은 마을에서 매도</t>
        </is>
      </c>
    </row>
  </sheetData>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8" customWidth="1" min="1" max="1"/>
    <col width="14" customWidth="1" min="2" max="2"/>
    <col width="16" customWidth="1" min="3" max="3"/>
    <col width="22" customWidth="1" min="4" max="4"/>
    <col width="10" customWidth="1" min="5" max="5"/>
    <col width="28" customWidth="1" min="6" max="6"/>
  </cols>
  <sheetData>
    <row r="1">
      <c r="A1" s="6" t="inlineStr">
        <is>
          <t>펫 (7종 — v1.11 불사조/유니콘 신규)</t>
        </is>
      </c>
    </row>
    <row r="3">
      <c r="A3" s="7" t="inlineStr">
        <is>
          <t>펫ID</t>
        </is>
      </c>
      <c r="B3" s="7" t="inlineStr">
        <is>
          <t>이름</t>
        </is>
      </c>
      <c r="C3" s="7" t="inlineStr">
        <is>
          <t>효과</t>
        </is>
      </c>
      <c r="D3" s="7" t="inlineStr">
        <is>
          <t>획득조건</t>
        </is>
      </c>
      <c r="E3" s="7" t="inlineStr">
        <is>
          <t>등급</t>
        </is>
      </c>
      <c r="F3" s="7" t="inlineStr">
        <is>
          <t>진화형</t>
        </is>
      </c>
    </row>
    <row r="4">
      <c r="A4" s="8" t="inlineStr">
        <is>
          <t>pet_slime</t>
        </is>
      </c>
      <c r="B4" s="8" t="inlineStr">
        <is>
          <t>미니 슬라임</t>
        </is>
      </c>
      <c r="C4" s="8" t="inlineStr">
        <is>
          <t>HP 재생 3%</t>
        </is>
      </c>
      <c r="D4" s="8" t="inlineStr">
        <is>
          <t>슬라임 100마리 처치</t>
        </is>
      </c>
      <c r="E4" s="8" t="inlineStr">
        <is>
          <t>일반</t>
        </is>
      </c>
      <c r="F4" s="8" t="inlineStr">
        <is>
          <t>슬라임 킹 (HP재생 8%)</t>
        </is>
      </c>
    </row>
    <row r="5">
      <c r="A5" s="9" t="inlineStr">
        <is>
          <t>pet_wolf</t>
        </is>
      </c>
      <c r="B5" s="9" t="inlineStr">
        <is>
          <t>아기 늑대</t>
        </is>
      </c>
      <c r="C5" s="9" t="inlineStr">
        <is>
          <t>공격 +8%</t>
        </is>
      </c>
      <c r="D5" s="9" t="inlineStr">
        <is>
          <t>오크 50마리 처치</t>
        </is>
      </c>
      <c r="E5" s="9" t="inlineStr">
        <is>
          <t>일반</t>
        </is>
      </c>
      <c r="F5" s="9" t="inlineStr">
        <is>
          <t>다이어 울프 (공격 +18%)</t>
        </is>
      </c>
    </row>
    <row r="6">
      <c r="A6" s="8" t="inlineStr">
        <is>
          <t>pet_fairy</t>
        </is>
      </c>
      <c r="B6" s="8" t="inlineStr">
        <is>
          <t>요정</t>
        </is>
      </c>
      <c r="C6" s="8" t="inlineStr">
        <is>
          <t>경험치 +15%</t>
        </is>
      </c>
      <c r="D6" s="8" t="inlineStr">
        <is>
          <t>다이아 300개</t>
        </is>
      </c>
      <c r="E6" s="8" t="inlineStr">
        <is>
          <t>희귀</t>
        </is>
      </c>
      <c r="F6" s="8" t="inlineStr">
        <is>
          <t>대요정 (경험치 +30%)</t>
        </is>
      </c>
    </row>
    <row r="7">
      <c r="A7" s="9" t="inlineStr">
        <is>
          <t>pet_dragon</t>
        </is>
      </c>
      <c r="B7" s="9" t="inlineStr">
        <is>
          <t>미니 드래곤</t>
        </is>
      </c>
      <c r="C7" s="9" t="inlineStr">
        <is>
          <t>공격 +15%</t>
        </is>
      </c>
      <c r="D7" s="9" t="inlineStr">
        <is>
          <t>드래곤 20마리 처치</t>
        </is>
      </c>
      <c r="E7" s="9" t="inlineStr">
        <is>
          <t>전설</t>
        </is>
      </c>
      <c r="F7" s="9" t="inlineStr">
        <is>
          <t>고대 드래곤 (공격 +30%)</t>
        </is>
      </c>
    </row>
    <row r="8">
      <c r="A8" s="8" t="inlineStr">
        <is>
          <t>pet_angel</t>
        </is>
      </c>
      <c r="B8" s="8" t="inlineStr">
        <is>
          <t>천사</t>
        </is>
      </c>
      <c r="C8" s="8" t="inlineStr">
        <is>
          <t>자동 부활 1회</t>
        </is>
      </c>
      <c r="D8" s="8" t="inlineStr">
        <is>
          <t>다이아 1000개</t>
        </is>
      </c>
      <c r="E8" s="8" t="inlineStr">
        <is>
          <t>전설</t>
        </is>
      </c>
      <c r="F8" s="8" t="inlineStr">
        <is>
          <t>세라핌 (부활 + HP30%)</t>
        </is>
      </c>
    </row>
    <row r="9">
      <c r="A9" s="9" t="inlineStr">
        <is>
          <t>pet_phoenix</t>
        </is>
      </c>
      <c r="B9" s="9" t="inlineStr">
        <is>
          <t>불사조</t>
        </is>
      </c>
      <c r="C9" s="9" t="inlineStr">
        <is>
          <t>화염 데미지 +20%</t>
        </is>
      </c>
      <c r="D9" s="9" t="inlineStr">
        <is>
          <t>불꽃산 보스 50처치</t>
        </is>
      </c>
      <c r="E9" s="9" t="inlineStr">
        <is>
          <t>전설</t>
        </is>
      </c>
      <c r="F9" s="9" t="inlineStr">
        <is>
          <t>불사조 군주 (화염 +40%) — v1.11</t>
        </is>
      </c>
    </row>
    <row r="10">
      <c r="A10" s="8" t="inlineStr">
        <is>
          <t>pet_unicorn</t>
        </is>
      </c>
      <c r="B10" s="8" t="inlineStr">
        <is>
          <t>유니콘</t>
        </is>
      </c>
      <c r="C10" s="8" t="inlineStr">
        <is>
          <t>회피 +10%</t>
        </is>
      </c>
      <c r="D10" s="8" t="inlineStr">
        <is>
          <t>다이아 800개</t>
        </is>
      </c>
      <c r="E10" s="8" t="inlineStr">
        <is>
          <t>희귀</t>
        </is>
      </c>
      <c r="F10" s="8" t="inlineStr">
        <is>
          <t>천상의 유니콘 (회피 +20%) — v1.11</t>
        </is>
      </c>
    </row>
    <row r="13">
      <c r="A13" s="10" t="inlineStr">
        <is>
          <t>탈것 (4종)</t>
        </is>
      </c>
    </row>
    <row r="14">
      <c r="A14" s="11" t="inlineStr">
        <is>
          <t>탈것ID</t>
        </is>
      </c>
      <c r="B14" s="11" t="inlineStr">
        <is>
          <t>이름</t>
        </is>
      </c>
      <c r="C14" s="11" t="inlineStr">
        <is>
          <t>속도보너스</t>
        </is>
      </c>
      <c r="D14" s="11" t="inlineStr">
        <is>
          <t>획득조건</t>
        </is>
      </c>
      <c r="E14" s="11" t="inlineStr">
        <is>
          <t>등급</t>
        </is>
      </c>
    </row>
    <row r="15">
      <c r="A15" s="3" t="inlineStr">
        <is>
          <t>mount_horse</t>
        </is>
      </c>
      <c r="B15" s="3" t="inlineStr">
        <is>
          <t>말</t>
        </is>
      </c>
      <c r="C15" s="3" t="inlineStr">
        <is>
          <t>+30%</t>
        </is>
      </c>
      <c r="D15" s="3" t="inlineStr">
        <is>
          <t>1000G</t>
        </is>
      </c>
      <c r="E15" s="3" t="inlineStr">
        <is>
          <t>일반</t>
        </is>
      </c>
    </row>
    <row r="16">
      <c r="A16" s="3" t="inlineStr">
        <is>
          <t>mount_warhorse</t>
        </is>
      </c>
      <c r="B16" s="3" t="inlineStr">
        <is>
          <t>전투마</t>
        </is>
      </c>
      <c r="C16" s="3" t="inlineStr">
        <is>
          <t>+50%</t>
        </is>
      </c>
      <c r="D16" s="3" t="inlineStr">
        <is>
          <t>5000G</t>
        </is>
      </c>
      <c r="E16" s="3" t="inlineStr">
        <is>
          <t>희귀</t>
        </is>
      </c>
    </row>
    <row r="17">
      <c r="A17" s="3" t="inlineStr">
        <is>
          <t>mount_griffin</t>
        </is>
      </c>
      <c r="B17" s="3" t="inlineStr">
        <is>
          <t>그리폰</t>
        </is>
      </c>
      <c r="C17" s="3" t="inlineStr">
        <is>
          <t>+70%</t>
        </is>
      </c>
      <c r="D17" s="3" t="inlineStr">
        <is>
          <t>다이아 500개</t>
        </is>
      </c>
      <c r="E17" s="3" t="inlineStr">
        <is>
          <t>전설</t>
        </is>
      </c>
    </row>
    <row r="18">
      <c r="A18" s="3" t="inlineStr">
        <is>
          <t>mount_dragon</t>
        </is>
      </c>
      <c r="B18" s="3" t="inlineStr">
        <is>
          <t>흑룡</t>
        </is>
      </c>
      <c r="C18" s="3" t="inlineStr">
        <is>
          <t>+100%</t>
        </is>
      </c>
      <c r="D18" s="3" t="inlineStr">
        <is>
          <t>드래곤 보스 드롭</t>
        </is>
      </c>
      <c r="E18" s="3" t="inlineStr">
        <is>
          <t>신화</t>
        </is>
      </c>
    </row>
    <row r="19">
      <c r="A19" s="3" t="inlineStr">
        <is>
          <t>mount_pegasus</t>
        </is>
      </c>
      <c r="B19" s="3" t="inlineStr">
        <is>
          <t>페가수스</t>
        </is>
      </c>
      <c r="C19" s="3" t="inlineStr">
        <is>
          <t>+85% (비행)</t>
        </is>
      </c>
      <c r="D19" s="3" t="inlineStr">
        <is>
          <t>다이아 1200개</t>
        </is>
      </c>
      <c r="E19" s="3" t="inlineStr">
        <is>
          <t>전설 — v1.11</t>
        </is>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10" customWidth="1" min="1" max="1"/>
    <col width="14" customWidth="1" min="2" max="2"/>
    <col width="18" customWidth="1" min="3" max="3"/>
    <col width="12" customWidth="1" min="4" max="4"/>
    <col width="18" customWidth="1" min="5" max="5"/>
  </cols>
  <sheetData>
    <row r="1">
      <c r="A1" s="6" t="inlineStr">
        <is>
          <t>버프/디버프 (14종)</t>
        </is>
      </c>
    </row>
    <row r="3">
      <c r="A3" s="7" t="inlineStr">
        <is>
          <t>분류</t>
        </is>
      </c>
      <c r="B3" s="7" t="inlineStr">
        <is>
          <t>이름</t>
        </is>
      </c>
      <c r="C3" s="7" t="inlineStr">
        <is>
          <t>효과</t>
        </is>
      </c>
      <c r="D3" s="7" t="inlineStr">
        <is>
          <t>지속시간</t>
        </is>
      </c>
      <c r="E3" s="7" t="inlineStr">
        <is>
          <t>발동조건</t>
        </is>
      </c>
    </row>
    <row r="4">
      <c r="A4" s="8" t="inlineStr">
        <is>
          <t>버프</t>
        </is>
      </c>
      <c r="B4" s="8" t="inlineStr">
        <is>
          <t>공격 증가</t>
        </is>
      </c>
      <c r="C4" s="8" t="inlineStr">
        <is>
          <t>ATK ×1.3</t>
        </is>
      </c>
      <c r="D4" s="8" t="inlineStr">
        <is>
          <t>60초</t>
        </is>
      </c>
      <c r="E4" s="8" t="inlineStr">
        <is>
          <t>물약/스킬</t>
        </is>
      </c>
    </row>
    <row r="5">
      <c r="A5" s="9" t="inlineStr">
        <is>
          <t>버프</t>
        </is>
      </c>
      <c r="B5" s="9" t="inlineStr">
        <is>
          <t>방어 증가</t>
        </is>
      </c>
      <c r="C5" s="9" t="inlineStr">
        <is>
          <t>DEF ×1.3</t>
        </is>
      </c>
      <c r="D5" s="9" t="inlineStr">
        <is>
          <t>60초</t>
        </is>
      </c>
      <c r="E5" s="9" t="inlineStr">
        <is>
          <t>물약/스킬</t>
        </is>
      </c>
    </row>
    <row r="6">
      <c r="A6" s="8" t="inlineStr">
        <is>
          <t>버프</t>
        </is>
      </c>
      <c r="B6" s="8" t="inlineStr">
        <is>
          <t>속도 증가</t>
        </is>
      </c>
      <c r="C6" s="8" t="inlineStr">
        <is>
          <t>SPD ×1.5</t>
        </is>
      </c>
      <c r="D6" s="8" t="inlineStr">
        <is>
          <t>30초</t>
        </is>
      </c>
      <c r="E6" s="8" t="inlineStr">
        <is>
          <t>스킬</t>
        </is>
      </c>
    </row>
    <row r="7">
      <c r="A7" s="9" t="inlineStr">
        <is>
          <t>버프</t>
        </is>
      </c>
      <c r="B7" s="9" t="inlineStr">
        <is>
          <t>경험치 부스트</t>
        </is>
      </c>
      <c r="C7" s="9" t="inlineStr">
        <is>
          <t>EXP ×2.0</t>
        </is>
      </c>
      <c r="D7" s="9" t="inlineStr">
        <is>
          <t>300초</t>
        </is>
      </c>
      <c r="E7" s="9" t="inlineStr">
        <is>
          <t>상점 구매</t>
        </is>
      </c>
    </row>
    <row r="8">
      <c r="A8" s="8" t="inlineStr">
        <is>
          <t>버프</t>
        </is>
      </c>
      <c r="B8" s="8" t="inlineStr">
        <is>
          <t>생선 스튜</t>
        </is>
      </c>
      <c r="C8" s="8" t="inlineStr">
        <is>
          <t>maxHP +200</t>
        </is>
      </c>
      <c r="D8" s="8" t="inlineStr">
        <is>
          <t>180초</t>
        </is>
      </c>
      <c r="E8" s="8" t="inlineStr">
        <is>
          <t>NPC 요리</t>
        </is>
      </c>
    </row>
    <row r="9">
      <c r="A9" s="9" t="inlineStr">
        <is>
          <t>버프</t>
        </is>
      </c>
      <c r="B9" s="9" t="inlineStr">
        <is>
          <t>황금 수프</t>
        </is>
      </c>
      <c r="C9" s="9" t="inlineStr">
        <is>
          <t>ATK +15</t>
        </is>
      </c>
      <c r="D9" s="9" t="inlineStr">
        <is>
          <t>180초</t>
        </is>
      </c>
      <c r="E9" s="9" t="inlineStr">
        <is>
          <t>NPC 요리</t>
        </is>
      </c>
    </row>
    <row r="10">
      <c r="A10" s="8" t="inlineStr">
        <is>
          <t>버프</t>
        </is>
      </c>
      <c r="B10" s="8" t="inlineStr">
        <is>
          <t>용의 만찬</t>
        </is>
      </c>
      <c r="C10" s="8" t="inlineStr">
        <is>
          <t>전스탯 +10</t>
        </is>
      </c>
      <c r="D10" s="8" t="inlineStr">
        <is>
          <t>300초</t>
        </is>
      </c>
      <c r="E10" s="8" t="inlineStr">
        <is>
          <t>NPC 요리</t>
        </is>
      </c>
    </row>
    <row r="11">
      <c r="A11" s="9" t="inlineStr">
        <is>
          <t>버프</t>
        </is>
      </c>
      <c r="B11" s="9" t="inlineStr">
        <is>
          <t>버서커</t>
        </is>
      </c>
      <c r="C11" s="9" t="inlineStr">
        <is>
          <t>ATK ×2.0</t>
        </is>
      </c>
      <c r="D11" s="9" t="inlineStr">
        <is>
          <t>15초</t>
        </is>
      </c>
      <c r="E11" s="9" t="inlineStr">
        <is>
          <t>워리어 궁극기</t>
        </is>
      </c>
    </row>
    <row r="12">
      <c r="A12" s="8" t="inlineStr">
        <is>
          <t>버프</t>
        </is>
      </c>
      <c r="B12" s="8" t="inlineStr">
        <is>
          <t>철벽 방어</t>
        </is>
      </c>
      <c r="C12" s="8" t="inlineStr">
        <is>
          <t>DEF ×3.0</t>
        </is>
      </c>
      <c r="D12" s="8" t="inlineStr">
        <is>
          <t>5초</t>
        </is>
      </c>
      <c r="E12" s="8" t="inlineStr">
        <is>
          <t>나이트 궁극기</t>
        </is>
      </c>
    </row>
    <row r="13">
      <c r="A13" s="9" t="inlineStr">
        <is>
          <t>디버프</t>
        </is>
      </c>
      <c r="B13" s="9" t="inlineStr">
        <is>
          <t>독</t>
        </is>
      </c>
      <c r="C13" s="9" t="inlineStr">
        <is>
          <t>HP -15/초</t>
        </is>
      </c>
      <c r="D13" s="9" t="inlineStr">
        <is>
          <t>5초</t>
        </is>
      </c>
      <c r="E13" s="9" t="inlineStr">
        <is>
          <t>슬라임/독 지역</t>
        </is>
      </c>
    </row>
    <row r="14">
      <c r="A14" s="8" t="inlineStr">
        <is>
          <t>디버프</t>
        </is>
      </c>
      <c r="B14" s="8" t="inlineStr">
        <is>
          <t>슬로우</t>
        </is>
      </c>
      <c r="C14" s="8" t="inlineStr">
        <is>
          <t>SPD ×0.5</t>
        </is>
      </c>
      <c r="D14" s="8" t="inlineStr">
        <is>
          <t>3초</t>
        </is>
      </c>
      <c r="E14" s="8" t="inlineStr">
        <is>
          <t>아이스 볼트</t>
        </is>
      </c>
    </row>
    <row r="15">
      <c r="A15" s="9" t="inlineStr">
        <is>
          <t>디버프</t>
        </is>
      </c>
      <c r="B15" s="9" t="inlineStr">
        <is>
          <t>스턴</t>
        </is>
      </c>
      <c r="C15" s="9" t="inlineStr">
        <is>
          <t>행동 불가</t>
        </is>
      </c>
      <c r="D15" s="9" t="inlineStr">
        <is>
          <t>1초</t>
        </is>
      </c>
      <c r="E15" s="9" t="inlineStr">
        <is>
          <t>방패 강타</t>
        </is>
      </c>
    </row>
    <row r="16">
      <c r="A16" s="8" t="inlineStr">
        <is>
          <t>디버프</t>
        </is>
      </c>
      <c r="B16" s="8" t="inlineStr">
        <is>
          <t>화상</t>
        </is>
      </c>
      <c r="C16" s="8" t="inlineStr">
        <is>
          <t>HP -25/초</t>
        </is>
      </c>
      <c r="D16" s="8" t="inlineStr">
        <is>
          <t>5초</t>
        </is>
      </c>
      <c r="E16" s="8" t="inlineStr">
        <is>
          <t>용암 지역</t>
        </is>
      </c>
    </row>
    <row r="17">
      <c r="A17" s="9" t="inlineStr">
        <is>
          <t>디버프</t>
        </is>
      </c>
      <c r="B17" s="9" t="inlineStr">
        <is>
          <t>저주</t>
        </is>
      </c>
      <c r="C17" s="9" t="inlineStr">
        <is>
          <t>회복량 50%</t>
        </is>
      </c>
      <c r="D17" s="9" t="inlineStr">
        <is>
          <t>10초</t>
        </is>
      </c>
      <c r="E17" s="9" t="inlineStr">
        <is>
          <t>언데드 몬스터</t>
        </is>
      </c>
    </row>
    <row r="20">
      <c r="A20" s="10" t="inlineStr">
        <is>
          <t>변신 시스템 (4종)</t>
        </is>
      </c>
    </row>
    <row r="21">
      <c r="A21" s="11" t="inlineStr">
        <is>
          <t>변신명</t>
        </is>
      </c>
      <c r="B21" s="11" t="inlineStr">
        <is>
          <t>필요 처치</t>
        </is>
      </c>
      <c r="C21" s="11" t="inlineStr">
        <is>
          <t>스탯 보너스</t>
        </is>
      </c>
      <c r="D21" s="11" t="inlineStr">
        <is>
          <t>지속시간</t>
        </is>
      </c>
      <c r="E21" s="11" t="inlineStr">
        <is>
          <t>외형 변화</t>
        </is>
      </c>
    </row>
    <row r="22">
      <c r="A22" s="3" t="inlineStr">
        <is>
          <t>슬라임 변신</t>
        </is>
      </c>
      <c r="B22" s="3" t="inlineStr">
        <is>
          <t>슬라임 30마리</t>
        </is>
      </c>
      <c r="C22" s="3" t="inlineStr">
        <is>
          <t>HP+50, SPD+3</t>
        </is>
      </c>
      <c r="D22" s="3" t="inlineStr">
        <is>
          <t>120초</t>
        </is>
      </c>
      <c r="E22" s="3" t="inlineStr">
        <is>
          <t>슬라임 외형</t>
        </is>
      </c>
    </row>
    <row r="23">
      <c r="A23" s="3" t="inlineStr">
        <is>
          <t>오크 변신</t>
        </is>
      </c>
      <c r="B23" s="3" t="inlineStr">
        <is>
          <t>오크 20마리</t>
        </is>
      </c>
      <c r="C23" s="3" t="inlineStr">
        <is>
          <t>ATK+15, DEF+10</t>
        </is>
      </c>
      <c r="D23" s="3" t="inlineStr">
        <is>
          <t>120초</t>
        </is>
      </c>
      <c r="E23" s="3" t="inlineStr">
        <is>
          <t>오크 외형</t>
        </is>
      </c>
    </row>
    <row r="24">
      <c r="A24" s="3" t="inlineStr">
        <is>
          <t>다크나이트 변신</t>
        </is>
      </c>
      <c r="B24" s="3" t="inlineStr">
        <is>
          <t>다크나이트 15마리</t>
        </is>
      </c>
      <c r="C24" s="3" t="inlineStr">
        <is>
          <t>ATK+25, CRIT+10%</t>
        </is>
      </c>
      <c r="D24" s="3" t="inlineStr">
        <is>
          <t>90초</t>
        </is>
      </c>
      <c r="E24" s="3" t="inlineStr">
        <is>
          <t>다크나이트 외형</t>
        </is>
      </c>
    </row>
    <row r="25">
      <c r="A25" s="3" t="inlineStr">
        <is>
          <t>드래곤 변신</t>
        </is>
      </c>
      <c r="B25" s="3" t="inlineStr">
        <is>
          <t>드래곤 5마리</t>
        </is>
      </c>
      <c r="C25" s="3" t="inlineStr">
        <is>
          <t>ATK+40, HP+200, DEF+20</t>
        </is>
      </c>
      <c r="D25" s="3" t="inlineStr">
        <is>
          <t>60초</t>
        </is>
      </c>
      <c r="E25" s="3" t="inlineStr">
        <is>
          <t>드래곤 외형</t>
        </is>
      </c>
    </row>
  </sheetData>
  <mergeCells count="1">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6" customWidth="1" min="1" max="1"/>
    <col width="28" customWidth="1" min="2" max="2"/>
    <col width="35" customWidth="1" min="3" max="3"/>
  </cols>
  <sheetData>
    <row r="1">
      <c r="A1" s="6" t="inlineStr">
        <is>
          <t>PvP &amp; 카르마 시스템</t>
        </is>
      </c>
    </row>
    <row r="3">
      <c r="A3" s="7" t="inlineStr">
        <is>
          <t>시스템</t>
        </is>
      </c>
      <c r="B3" s="7" t="inlineStr">
        <is>
          <t>조건</t>
        </is>
      </c>
      <c r="C3" s="7" t="inlineStr">
        <is>
          <t>효과</t>
        </is>
      </c>
    </row>
    <row r="4">
      <c r="A4" s="8" t="inlineStr">
        <is>
          <t>평화 모드</t>
        </is>
      </c>
      <c r="B4" s="8" t="inlineStr">
        <is>
          <t>기본 상태, 몬스터만 공격 가능</t>
        </is>
      </c>
      <c r="C4" s="8" t="inlineStr">
        <is>
          <t>PvP 선언으로 전환</t>
        </is>
      </c>
    </row>
    <row r="5">
      <c r="A5" s="9" t="inlineStr">
        <is>
          <t>왕 모드</t>
        </is>
      </c>
      <c r="B5" s="9" t="inlineStr">
        <is>
          <t>킹이 없을 때 PvP 선언시</t>
        </is>
      </c>
      <c r="C5" s="9" t="inlineStr">
        <is>
          <t>HP ×3, DMG ×2, 보스급 강화</t>
        </is>
      </c>
    </row>
    <row r="6">
      <c r="A6" s="8" t="inlineStr">
        <is>
          <t>카오틱 모드</t>
        </is>
      </c>
      <c r="B6" s="8" t="inlineStr">
        <is>
          <t>킹이 있을 때 PvP 선언시</t>
        </is>
      </c>
      <c r="C6" s="8" t="inlineStr">
        <is>
          <t>HP ×1.5, DMG ×1.2</t>
        </is>
      </c>
    </row>
    <row r="7">
      <c r="A7" s="9" t="inlineStr">
        <is>
          <t>PK 페널티</t>
        </is>
      </c>
      <c r="B7" s="9" t="inlineStr">
        <is>
          <t>평화 모드 플레이어 처치시</t>
        </is>
      </c>
      <c r="C7" s="9" t="inlineStr">
        <is>
          <t>카르마 +100</t>
        </is>
      </c>
    </row>
    <row r="8">
      <c r="A8" s="8" t="inlineStr">
        <is>
          <t>카르마 감소</t>
        </is>
      </c>
      <c r="B8" s="8" t="inlineStr">
        <is>
          <t>시간 경과</t>
        </is>
      </c>
      <c r="C8" s="8" t="inlineStr">
        <is>
          <t>분당 -5 자연 감소</t>
        </is>
      </c>
    </row>
    <row r="9">
      <c r="A9" s="9" t="inlineStr">
        <is>
          <t>카오틱 상태</t>
        </is>
      </c>
      <c r="B9" s="9" t="inlineStr">
        <is>
          <t>카르마 200 이상</t>
        </is>
      </c>
      <c r="C9" s="9" t="inlineStr">
        <is>
          <t>빨간 이름, 공격 대상 우선순위</t>
        </is>
      </c>
    </row>
    <row r="10">
      <c r="A10" s="8" t="inlineStr">
        <is>
          <t>사망 페널티</t>
        </is>
      </c>
      <c r="B10" s="8" t="inlineStr">
        <is>
          <t>PvP 사망시</t>
        </is>
      </c>
      <c r="C10" s="8" t="inlineStr">
        <is>
          <t>골드 50% 손실 + 인벤토리 30% 드롭</t>
        </is>
      </c>
    </row>
    <row r="11">
      <c r="A11" s="9" t="inlineStr">
        <is>
          <t>용병 손실</t>
        </is>
      </c>
      <c r="B11" s="9" t="inlineStr">
        <is>
          <t>PvP 사망시</t>
        </is>
      </c>
      <c r="C11" s="9" t="inlineStr">
        <is>
          <t>모든 용병 삭제</t>
        </is>
      </c>
    </row>
    <row r="12">
      <c r="A12" s="8" t="inlineStr">
        <is>
          <t>현상금</t>
        </is>
      </c>
      <c r="B12" s="8" t="inlineStr">
        <is>
          <t>카오틱 플레이어 처치</t>
        </is>
      </c>
      <c r="C12" s="8" t="inlineStr">
        <is>
          <t>보상 1.5배</t>
        </is>
      </c>
    </row>
    <row r="13">
      <c r="A13" s="9" t="inlineStr">
        <is>
          <t>성채 점령</t>
        </is>
      </c>
      <c r="B13" s="9" t="inlineStr">
        <is>
          <t>하늘의 성채에서</t>
        </is>
      </c>
      <c r="C13" s="9" t="inlineStr">
        <is>
          <t>길드 성 점령전 가능</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2" customWidth="1" min="1" max="1"/>
    <col width="18" customWidth="1" min="2" max="2"/>
    <col width="22" customWidth="1" min="3" max="3"/>
    <col width="28" customWidth="1" min="4" max="4"/>
    <col width="18" customWidth="1" min="5" max="5"/>
  </cols>
  <sheetData>
    <row r="1">
      <c r="A1" s="6" t="inlineStr">
        <is>
          <t>퀘스트 (총 64종 — 일일4 / 주간4 / 메인11 / 업적40+5)</t>
        </is>
      </c>
    </row>
    <row r="3">
      <c r="A3" s="7" t="inlineStr">
        <is>
          <t>분류</t>
        </is>
      </c>
      <c r="B3" s="7" t="inlineStr">
        <is>
          <t>퀘스트명</t>
        </is>
      </c>
      <c r="C3" s="7" t="inlineStr">
        <is>
          <t>목표</t>
        </is>
      </c>
      <c r="D3" s="7" t="inlineStr">
        <is>
          <t>보상</t>
        </is>
      </c>
      <c r="E3" s="7" t="inlineStr">
        <is>
          <t>비고</t>
        </is>
      </c>
    </row>
    <row r="4">
      <c r="A4" s="8" t="inlineStr">
        <is>
          <t>일일</t>
        </is>
      </c>
      <c r="B4" s="8" t="inlineStr">
        <is>
          <t>일일 사냥</t>
        </is>
      </c>
      <c r="C4" s="8" t="inlineStr">
        <is>
          <t>몬스터 50마리 처치</t>
        </is>
      </c>
      <c r="D4" s="8" t="inlineStr">
        <is>
          <t>200G + 500EXP</t>
        </is>
      </c>
      <c r="E4" s="8" t="inlineStr">
        <is>
          <t>매일 초기화</t>
        </is>
      </c>
    </row>
    <row r="5">
      <c r="A5" s="9" t="inlineStr">
        <is>
          <t>일일</t>
        </is>
      </c>
      <c r="B5" s="9" t="inlineStr">
        <is>
          <t>필드 보스</t>
        </is>
      </c>
      <c r="C5" s="9" t="inlineStr">
        <is>
          <t>엘리트+ 3마리</t>
        </is>
      </c>
      <c r="D5" s="9" t="inlineStr">
        <is>
          <t>500G + 800EXP</t>
        </is>
      </c>
      <c r="E5" s="9" t="inlineStr">
        <is>
          <t>매일 초기화</t>
        </is>
      </c>
    </row>
    <row r="6">
      <c r="A6" s="8" t="inlineStr">
        <is>
          <t>일일</t>
        </is>
      </c>
      <c r="B6" s="8" t="inlineStr">
        <is>
          <t>골드 수집</t>
        </is>
      </c>
      <c r="C6" s="8" t="inlineStr">
        <is>
          <t>골드 500 획득</t>
        </is>
      </c>
      <c r="D6" s="8" t="inlineStr">
        <is>
          <t>200G + 300EXP</t>
        </is>
      </c>
      <c r="E6" s="8" t="inlineStr">
        <is>
          <t>매일 초기화</t>
        </is>
      </c>
    </row>
    <row r="7">
      <c r="A7" s="9" t="inlineStr">
        <is>
          <t>일일</t>
        </is>
      </c>
      <c r="B7" s="9" t="inlineStr">
        <is>
          <t>PvP 도전</t>
        </is>
      </c>
      <c r="C7" s="9" t="inlineStr">
        <is>
          <t>PvP 3회 참여</t>
        </is>
      </c>
      <c r="D7" s="9" t="inlineStr">
        <is>
          <t>300G + 400EXP</t>
        </is>
      </c>
      <c r="E7" s="9" t="inlineStr">
        <is>
          <t>매일 초기화</t>
        </is>
      </c>
    </row>
    <row r="8">
      <c r="A8" s="8" t="inlineStr">
        <is>
          <t>주간</t>
        </is>
      </c>
      <c r="B8" s="8" t="inlineStr">
        <is>
          <t>보스 레이드</t>
        </is>
      </c>
      <c r="C8" s="8" t="inlineStr">
        <is>
          <t>보스 5회 처치</t>
        </is>
      </c>
      <c r="D8" s="8" t="inlineStr">
        <is>
          <t>5000G + 8000EXP + 30다이아</t>
        </is>
      </c>
      <c r="E8" s="8" t="inlineStr">
        <is>
          <t>매주 초기화</t>
        </is>
      </c>
    </row>
    <row r="9">
      <c r="A9" s="9" t="inlineStr">
        <is>
          <t>주간</t>
        </is>
      </c>
      <c r="B9" s="9" t="inlineStr">
        <is>
          <t>길드 미션</t>
        </is>
      </c>
      <c r="C9" s="9" t="inlineStr">
        <is>
          <t>길드 던전 2회 클리어</t>
        </is>
      </c>
      <c r="D9" s="9" t="inlineStr">
        <is>
          <t>3000G + 5000EXP</t>
        </is>
      </c>
      <c r="E9" s="9" t="inlineStr">
        <is>
          <t>매주 초기화</t>
        </is>
      </c>
    </row>
    <row r="10">
      <c r="A10" s="8" t="inlineStr">
        <is>
          <t>주간</t>
        </is>
      </c>
      <c r="B10" s="8" t="inlineStr">
        <is>
          <t>PvP 전적</t>
        </is>
      </c>
      <c r="C10" s="8" t="inlineStr">
        <is>
          <t>PvP 20승</t>
        </is>
      </c>
      <c r="D10" s="8" t="inlineStr">
        <is>
          <t>2000G + 3000EXP + 20다이아</t>
        </is>
      </c>
      <c r="E10" s="8" t="inlineStr">
        <is>
          <t>매주 초기화</t>
        </is>
      </c>
    </row>
    <row r="11">
      <c r="A11" s="9" t="inlineStr">
        <is>
          <t>주간</t>
        </is>
      </c>
      <c r="B11" s="9" t="inlineStr">
        <is>
          <t>교역 달인</t>
        </is>
      </c>
      <c r="C11" s="9" t="inlineStr">
        <is>
          <t>교역 10회</t>
        </is>
      </c>
      <c r="D11" s="9" t="inlineStr">
        <is>
          <t>3000G + 2000EXP</t>
        </is>
      </c>
      <c r="E11" s="9" t="inlineStr">
        <is>
          <t>매주 초기화</t>
        </is>
      </c>
    </row>
    <row r="12">
      <c r="A12" s="8" t="inlineStr">
        <is>
          <t>메인</t>
        </is>
      </c>
      <c r="B12" s="8" t="inlineStr">
        <is>
          <t>첫 번째 사냥</t>
        </is>
      </c>
      <c r="C12" s="8" t="inlineStr">
        <is>
          <t>슬라임 5마리</t>
        </is>
      </c>
      <c r="D12" s="8" t="inlineStr">
        <is>
          <t>100G + 200EXP</t>
        </is>
      </c>
      <c r="E12" s="8" t="inlineStr">
        <is>
          <t>일회성</t>
        </is>
      </c>
    </row>
    <row r="13">
      <c r="A13" s="9" t="inlineStr">
        <is>
          <t>메인</t>
        </is>
      </c>
      <c r="B13" s="9" t="inlineStr">
        <is>
          <t>성장의 시작</t>
        </is>
      </c>
      <c r="C13" s="9" t="inlineStr">
        <is>
          <t>레벨 5 달성</t>
        </is>
      </c>
      <c r="D13" s="9" t="inlineStr">
        <is>
          <t>500G + 30다이아</t>
        </is>
      </c>
      <c r="E13" s="9" t="inlineStr">
        <is>
          <t>일회성</t>
        </is>
      </c>
    </row>
    <row r="14">
      <c r="A14" s="8" t="inlineStr">
        <is>
          <t>메인</t>
        </is>
      </c>
      <c r="B14" s="8" t="inlineStr">
        <is>
          <t>전사의 길</t>
        </is>
      </c>
      <c r="C14" s="8" t="inlineStr">
        <is>
          <t>레벨 10 달성</t>
        </is>
      </c>
      <c r="D14" s="8" t="inlineStr">
        <is>
          <t>1000G + 50다이아</t>
        </is>
      </c>
      <c r="E14" s="8" t="inlineStr">
        <is>
          <t>일회성</t>
        </is>
      </c>
    </row>
    <row r="15">
      <c r="A15" s="9" t="inlineStr">
        <is>
          <t>메인</t>
        </is>
      </c>
      <c r="B15" s="9" t="inlineStr">
        <is>
          <t>오크의 위협</t>
        </is>
      </c>
      <c r="C15" s="9" t="inlineStr">
        <is>
          <t>오크전사 10마리</t>
        </is>
      </c>
      <c r="D15" s="9" t="inlineStr">
        <is>
          <t>500G + 20다이아</t>
        </is>
      </c>
      <c r="E15" s="9" t="inlineStr">
        <is>
          <t>일회성</t>
        </is>
      </c>
    </row>
    <row r="16">
      <c r="A16" s="8" t="inlineStr">
        <is>
          <t>메인</t>
        </is>
      </c>
      <c r="B16" s="8" t="inlineStr">
        <is>
          <t>영웅의 각성</t>
        </is>
      </c>
      <c r="C16" s="8" t="inlineStr">
        <is>
          <t>레벨 20 달성</t>
        </is>
      </c>
      <c r="D16" s="8" t="inlineStr">
        <is>
          <t>3000G + 100다이아</t>
        </is>
      </c>
      <c r="E16" s="8" t="inlineStr">
        <is>
          <t>일회성</t>
        </is>
      </c>
    </row>
    <row r="17">
      <c r="A17" s="9" t="inlineStr">
        <is>
          <t>메인</t>
        </is>
      </c>
      <c r="B17" s="9" t="inlineStr">
        <is>
          <t>어둠의 동굴</t>
        </is>
      </c>
      <c r="C17" s="9" t="inlineStr">
        <is>
          <t>던전 클리어</t>
        </is>
      </c>
      <c r="D17" s="9" t="inlineStr">
        <is>
          <t>2000G + 50다이아</t>
        </is>
      </c>
      <c r="E17" s="9" t="inlineStr">
        <is>
          <t>일회성</t>
        </is>
      </c>
    </row>
    <row r="18">
      <c r="A18" s="8" t="inlineStr">
        <is>
          <t>메인</t>
        </is>
      </c>
      <c r="B18" s="8" t="inlineStr">
        <is>
          <t>전설의 시작</t>
        </is>
      </c>
      <c r="C18" s="8" t="inlineStr">
        <is>
          <t>레벨 30 달성</t>
        </is>
      </c>
      <c r="D18" s="8" t="inlineStr">
        <is>
          <t>5000G + 150다이아</t>
        </is>
      </c>
      <c r="E18" s="8" t="inlineStr">
        <is>
          <t>일회성</t>
        </is>
      </c>
    </row>
    <row r="19">
      <c r="A19" s="9" t="inlineStr">
        <is>
          <t>메인</t>
        </is>
      </c>
      <c r="B19" s="9" t="inlineStr">
        <is>
          <t>드래곤 토벌</t>
        </is>
      </c>
      <c r="C19" s="9" t="inlineStr">
        <is>
          <t>보스 몬스터 처치</t>
        </is>
      </c>
      <c r="D19" s="9" t="inlineStr">
        <is>
          <t>5000G + 80다이아</t>
        </is>
      </c>
      <c r="E19" s="9" t="inlineStr">
        <is>
          <t>일회성</t>
        </is>
      </c>
    </row>
    <row r="20">
      <c r="A20" s="8" t="inlineStr">
        <is>
          <t>메인</t>
        </is>
      </c>
      <c r="B20" s="8" t="inlineStr">
        <is>
          <t>PvP 입문</t>
        </is>
      </c>
      <c r="C20" s="8" t="inlineStr">
        <is>
          <t>PvP 모드 전환</t>
        </is>
      </c>
      <c r="D20" s="8" t="inlineStr">
        <is>
          <t>1000G + 30다이아</t>
        </is>
      </c>
      <c r="E20" s="8" t="inlineStr">
        <is>
          <t>일회성</t>
        </is>
      </c>
    </row>
    <row r="21">
      <c r="A21" s="9" t="inlineStr">
        <is>
          <t>메인</t>
        </is>
      </c>
      <c r="B21" s="9" t="inlineStr">
        <is>
          <t>군단장</t>
        </is>
      </c>
      <c r="C21" s="9" t="inlineStr">
        <is>
          <t>용병 10명 보유</t>
        </is>
      </c>
      <c r="D21" s="9" t="inlineStr">
        <is>
          <t>2000G + 50다이아</t>
        </is>
      </c>
      <c r="E21" s="9" t="inlineStr">
        <is>
          <t>일회성</t>
        </is>
      </c>
    </row>
    <row r="22">
      <c r="A22" s="8" t="inlineStr">
        <is>
          <t>업적</t>
        </is>
      </c>
      <c r="B22" s="8" t="inlineStr">
        <is>
          <t>피의 세례 외 39종</t>
        </is>
      </c>
      <c r="C22" s="8" t="inlineStr">
        <is>
          <t>PK/사냥/교역/제작/탐험/길드/탐방 등</t>
        </is>
      </c>
      <c r="D22" s="8" t="inlineStr">
        <is>
          <t>각종 골드/다이아 보상</t>
        </is>
      </c>
      <c r="E22" s="8" t="inlineStr">
        <is>
          <t>일회성</t>
        </is>
      </c>
    </row>
    <row r="23">
      <c r="A23" s="9" t="inlineStr">
        <is>
          <t>업적 v1.14</t>
        </is>
      </c>
      <c r="B23" s="9" t="inlineStr">
        <is>
          <t>폭풍 정복자</t>
        </is>
      </c>
      <c r="C23" s="9" t="inlineStr">
        <is>
          <t>폭풍의 거인 처치</t>
        </is>
      </c>
      <c r="D23" s="9" t="inlineStr">
        <is>
          <t>10,000G + 150다이아</t>
        </is>
      </c>
      <c r="E23" s="9" t="inlineStr">
        <is>
          <t>일회성 — v1.14 신규</t>
        </is>
      </c>
    </row>
    <row r="24">
      <c r="A24" s="8" t="inlineStr">
        <is>
          <t>업적 v1.14</t>
        </is>
      </c>
      <c r="B24" s="8" t="inlineStr">
        <is>
          <t>연금술사</t>
        </is>
      </c>
      <c r="C24" s="8" t="inlineStr">
        <is>
          <t>엘릭서 10회 제작</t>
        </is>
      </c>
      <c r="D24" s="8" t="inlineStr">
        <is>
          <t>5,000G + 80다이아</t>
        </is>
      </c>
      <c r="E24" s="8" t="inlineStr">
        <is>
          <t>일회성 — v1.14 신규</t>
        </is>
      </c>
    </row>
    <row r="25">
      <c r="A25" s="9" t="inlineStr">
        <is>
          <t>업적 v1.14</t>
        </is>
      </c>
      <c r="B25" s="9" t="inlineStr">
        <is>
          <t>그림자 정복자</t>
        </is>
      </c>
      <c r="C25" s="9" t="inlineStr">
        <is>
          <t>그림자 미궁 클리어</t>
        </is>
      </c>
      <c r="D25" s="9" t="inlineStr">
        <is>
          <t>8,000G + 120다이아</t>
        </is>
      </c>
      <c r="E25" s="9" t="inlineStr">
        <is>
          <t>일회성 — v1.14 신규</t>
        </is>
      </c>
    </row>
    <row r="26">
      <c r="A26" s="8" t="inlineStr">
        <is>
          <t>업적 v1.14</t>
        </is>
      </c>
      <c r="B26" s="8" t="inlineStr">
        <is>
          <t>전설의 동반자</t>
        </is>
      </c>
      <c r="C26" s="8" t="inlineStr">
        <is>
          <t>전설급 펫 진화 1회</t>
        </is>
      </c>
      <c r="D26" s="8" t="inlineStr">
        <is>
          <t>6,000G + 100다이아</t>
        </is>
      </c>
      <c r="E26" s="8" t="inlineStr">
        <is>
          <t>일회성 — v1.14 신규</t>
        </is>
      </c>
    </row>
    <row r="27">
      <c r="A27" s="9" t="inlineStr">
        <is>
          <t>업적 v1.14</t>
        </is>
      </c>
      <c r="B27" s="9" t="inlineStr">
        <is>
          <t>이국의 상인</t>
        </is>
      </c>
      <c r="C27" s="9" t="inlineStr">
        <is>
          <t>사치품 교역 5회</t>
        </is>
      </c>
      <c r="D27" s="9" t="inlineStr">
        <is>
          <t>4,000G + 60다이아</t>
        </is>
      </c>
      <c r="E27" s="9" t="inlineStr">
        <is>
          <t>일회성 — v1.14 신규</t>
        </is>
      </c>
    </row>
  </sheetData>
  <mergeCells count="1">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0" customWidth="1" min="1" max="1"/>
    <col width="22" customWidth="1" min="2" max="2"/>
    <col width="14" customWidth="1" min="3" max="3"/>
    <col width="10" customWidth="1" min="4" max="4"/>
    <col width="32" customWidth="1" min="5" max="5"/>
  </cols>
  <sheetData>
    <row r="1">
      <c r="A1" s="6" t="inlineStr">
        <is>
          <t>상점 (20종 — v1.18 프리미엄 5종 신규)</t>
        </is>
      </c>
    </row>
    <row r="3">
      <c r="A3" s="7" t="inlineStr">
        <is>
          <t>분류</t>
        </is>
      </c>
      <c r="B3" s="7" t="inlineStr">
        <is>
          <t>상품명</t>
        </is>
      </c>
      <c r="C3" s="7" t="inlineStr">
        <is>
          <t>다이아</t>
        </is>
      </c>
      <c r="D3" s="7" t="inlineStr">
        <is>
          <t>골드</t>
        </is>
      </c>
      <c r="E3" s="7" t="inlineStr">
        <is>
          <t>설명</t>
        </is>
      </c>
    </row>
    <row r="4">
      <c r="A4" s="8" t="inlineStr">
        <is>
          <t>다이아</t>
        </is>
      </c>
      <c r="B4" s="8" t="inlineStr">
        <is>
          <t>경험치 2배 부스터</t>
        </is>
      </c>
      <c r="C4" s="8" t="inlineStr">
        <is>
          <t>50 다이아</t>
        </is>
      </c>
      <c r="D4" s="8" t="inlineStr">
        <is>
          <t>-</t>
        </is>
      </c>
      <c r="E4" s="8" t="inlineStr">
        <is>
          <t>5분간 EXP 2배</t>
        </is>
      </c>
    </row>
    <row r="5">
      <c r="A5" s="9" t="inlineStr">
        <is>
          <t>다이아</t>
        </is>
      </c>
      <c r="B5" s="9" t="inlineStr">
        <is>
          <t>골드 2배 부스터</t>
        </is>
      </c>
      <c r="C5" s="9" t="inlineStr">
        <is>
          <t>50 다이아</t>
        </is>
      </c>
      <c r="D5" s="9" t="inlineStr">
        <is>
          <t>-</t>
        </is>
      </c>
      <c r="E5" s="9" t="inlineStr">
        <is>
          <t>5분간 골드 2배</t>
        </is>
      </c>
    </row>
    <row r="6">
      <c r="A6" s="8" t="inlineStr">
        <is>
          <t>다이아</t>
        </is>
      </c>
      <c r="B6" s="8" t="inlineStr">
        <is>
          <t>상급 HP 물약 ×10</t>
        </is>
      </c>
      <c r="C6" s="8" t="inlineStr">
        <is>
          <t>30 다이아</t>
        </is>
      </c>
      <c r="D6" s="8" t="inlineStr">
        <is>
          <t>-</t>
        </is>
      </c>
      <c r="E6" s="8" t="inlineStr">
        <is>
          <t>HP 800 즉시 회복</t>
        </is>
      </c>
    </row>
    <row r="7">
      <c r="A7" s="9" t="inlineStr">
        <is>
          <t>다이아</t>
        </is>
      </c>
      <c r="B7" s="9" t="inlineStr">
        <is>
          <t>부활 주문서 ×3</t>
        </is>
      </c>
      <c r="C7" s="9" t="inlineStr">
        <is>
          <t>80 다이아</t>
        </is>
      </c>
      <c r="D7" s="9" t="inlineStr">
        <is>
          <t>-</t>
        </is>
      </c>
      <c r="E7" s="9" t="inlineStr">
        <is>
          <t>현재 위치에서 부활</t>
        </is>
      </c>
    </row>
    <row r="8">
      <c r="A8" s="8" t="inlineStr">
        <is>
          <t>다이아</t>
        </is>
      </c>
      <c r="B8" s="8" t="inlineStr">
        <is>
          <t>강화 보호 주문서</t>
        </is>
      </c>
      <c r="C8" s="8" t="inlineStr">
        <is>
          <t>100 다이아</t>
        </is>
      </c>
      <c r="D8" s="8" t="inlineStr">
        <is>
          <t>-</t>
        </is>
      </c>
      <c r="E8" s="8" t="inlineStr">
        <is>
          <t>강화 실패시 파괴 방지</t>
        </is>
      </c>
    </row>
    <row r="9">
      <c r="A9" s="9" t="inlineStr">
        <is>
          <t>다이아</t>
        </is>
      </c>
      <c r="B9" s="9" t="inlineStr">
        <is>
          <t>용병 슬롯 +5</t>
        </is>
      </c>
      <c r="C9" s="9" t="inlineStr">
        <is>
          <t>200 다이아</t>
        </is>
      </c>
      <c r="D9" s="9" t="inlineStr">
        <is>
          <t>-</t>
        </is>
      </c>
      <c r="E9" s="9" t="inlineStr">
        <is>
          <t>최대 용병수 +5 (영구)</t>
        </is>
      </c>
    </row>
    <row r="10">
      <c r="A10" s="8" t="inlineStr">
        <is>
          <t>다이아</t>
        </is>
      </c>
      <c r="B10" s="8" t="inlineStr">
        <is>
          <t>루팅 범위 확대</t>
        </is>
      </c>
      <c r="C10" s="8" t="inlineStr">
        <is>
          <t>150 다이아</t>
        </is>
      </c>
      <c r="D10" s="8" t="inlineStr">
        <is>
          <t>-</t>
        </is>
      </c>
      <c r="E10" s="8" t="inlineStr">
        <is>
          <t>1시간 루팅 범위 2배</t>
        </is>
      </c>
    </row>
    <row r="11">
      <c r="A11" s="9" t="inlineStr">
        <is>
          <t>다이아</t>
        </is>
      </c>
      <c r="B11" s="9" t="inlineStr">
        <is>
          <t>황금 오라 스킨</t>
        </is>
      </c>
      <c r="C11" s="9" t="inlineStr">
        <is>
          <t>300 다이아</t>
        </is>
      </c>
      <c r="D11" s="9" t="inlineStr">
        <is>
          <t>-</t>
        </is>
      </c>
      <c r="E11" s="9" t="inlineStr">
        <is>
          <t>황금빛 이펙트 (영구)</t>
        </is>
      </c>
    </row>
    <row r="12">
      <c r="A12" s="8" t="inlineStr">
        <is>
          <t>다이아</t>
        </is>
      </c>
      <c r="B12" s="8" t="inlineStr">
        <is>
          <t>그림자 스킨</t>
        </is>
      </c>
      <c r="C12" s="8" t="inlineStr">
        <is>
          <t>300 다이아</t>
        </is>
      </c>
      <c r="D12" s="8" t="inlineStr">
        <is>
          <t>-</t>
        </is>
      </c>
      <c r="E12" s="8" t="inlineStr">
        <is>
          <t>어둠 이펙트 (영구)</t>
        </is>
      </c>
    </row>
    <row r="13">
      <c r="A13" s="9" t="inlineStr">
        <is>
          <t>다이아</t>
        </is>
      </c>
      <c r="B13" s="9" t="inlineStr">
        <is>
          <t>화염 스킨</t>
        </is>
      </c>
      <c r="C13" s="9" t="inlineStr">
        <is>
          <t>500 다이아</t>
        </is>
      </c>
      <c r="D13" s="9" t="inlineStr">
        <is>
          <t>-</t>
        </is>
      </c>
      <c r="E13" s="9" t="inlineStr">
        <is>
          <t>불꽃 이펙트 (영구)</t>
        </is>
      </c>
    </row>
    <row r="14">
      <c r="A14" s="8" t="inlineStr">
        <is>
          <t>골드</t>
        </is>
      </c>
      <c r="B14" s="8" t="inlineStr">
        <is>
          <t>하급 HP 물약 ×10</t>
        </is>
      </c>
      <c r="C14" s="8" t="inlineStr">
        <is>
          <t>-</t>
        </is>
      </c>
      <c r="D14" s="8" t="inlineStr">
        <is>
          <t>100G</t>
        </is>
      </c>
      <c r="E14" s="8" t="inlineStr">
        <is>
          <t>HP 100 회복</t>
        </is>
      </c>
    </row>
    <row r="15">
      <c r="A15" s="9" t="inlineStr">
        <is>
          <t>골드</t>
        </is>
      </c>
      <c r="B15" s="9" t="inlineStr">
        <is>
          <t>중급 HP 물약 ×10</t>
        </is>
      </c>
      <c r="C15" s="9" t="inlineStr">
        <is>
          <t>-</t>
        </is>
      </c>
      <c r="D15" s="9" t="inlineStr">
        <is>
          <t>300G</t>
        </is>
      </c>
      <c r="E15" s="9" t="inlineStr">
        <is>
          <t>HP 300 회복</t>
        </is>
      </c>
    </row>
    <row r="16">
      <c r="A16" s="8" t="inlineStr">
        <is>
          <t>골드</t>
        </is>
      </c>
      <c r="B16" s="8" t="inlineStr">
        <is>
          <t>공격 부스터</t>
        </is>
      </c>
      <c r="C16" s="8" t="inlineStr">
        <is>
          <t>-</t>
        </is>
      </c>
      <c r="D16" s="8" t="inlineStr">
        <is>
          <t>500G</t>
        </is>
      </c>
      <c r="E16" s="8" t="inlineStr">
        <is>
          <t>1분간 ATK +30%</t>
        </is>
      </c>
    </row>
    <row r="17">
      <c r="A17" s="9" t="inlineStr">
        <is>
          <t>골드</t>
        </is>
      </c>
      <c r="B17" s="9" t="inlineStr">
        <is>
          <t>방어 부스터</t>
        </is>
      </c>
      <c r="C17" s="9" t="inlineStr">
        <is>
          <t>-</t>
        </is>
      </c>
      <c r="D17" s="9" t="inlineStr">
        <is>
          <t>500G</t>
        </is>
      </c>
      <c r="E17" s="9" t="inlineStr">
        <is>
          <t>1분간 DEF +30%</t>
        </is>
      </c>
    </row>
    <row r="18">
      <c r="A18" s="8" t="inlineStr">
        <is>
          <t>골드</t>
        </is>
      </c>
      <c r="B18" s="8" t="inlineStr">
        <is>
          <t>귀환 주문서</t>
        </is>
      </c>
      <c r="C18" s="8" t="inlineStr">
        <is>
          <t>-</t>
        </is>
      </c>
      <c r="D18" s="8" t="inlineStr">
        <is>
          <t>200G</t>
        </is>
      </c>
      <c r="E18" s="8" t="inlineStr">
        <is>
          <t>마을로 즉시 귀환</t>
        </is>
      </c>
    </row>
    <row r="19">
      <c r="A19" s="9" t="inlineStr">
        <is>
          <t>다이아</t>
        </is>
      </c>
      <c r="B19" s="9" t="inlineStr">
        <is>
          <t>불사조 스킨</t>
        </is>
      </c>
      <c r="C19" s="9" t="inlineStr">
        <is>
          <t>1200 다이아</t>
        </is>
      </c>
      <c r="D19" s="9" t="inlineStr">
        <is>
          <t>-</t>
        </is>
      </c>
      <c r="E19" s="9" t="inlineStr">
        <is>
          <t>불사조 깃털 이펙트 (영구) — v1.18</t>
        </is>
      </c>
    </row>
    <row r="20">
      <c r="A20" s="8" t="inlineStr">
        <is>
          <t>다이아</t>
        </is>
      </c>
      <c r="B20" s="8" t="inlineStr">
        <is>
          <t>폭풍 스킨</t>
        </is>
      </c>
      <c r="C20" s="8" t="inlineStr">
        <is>
          <t>1200 다이아</t>
        </is>
      </c>
      <c r="D20" s="8" t="inlineStr">
        <is>
          <t>-</t>
        </is>
      </c>
      <c r="E20" s="8" t="inlineStr">
        <is>
          <t>번개 오라 이펙트 (영구) — v1.18</t>
        </is>
      </c>
    </row>
    <row r="21">
      <c r="A21" s="9" t="inlineStr">
        <is>
          <t>다이아</t>
        </is>
      </c>
      <c r="B21" s="9" t="inlineStr">
        <is>
          <t>프리미엄 자동물약</t>
        </is>
      </c>
      <c r="C21" s="9" t="inlineStr">
        <is>
          <t>500 다이아</t>
        </is>
      </c>
      <c r="D21" s="9" t="inlineStr">
        <is>
          <t>-</t>
        </is>
      </c>
      <c r="E21" s="9" t="inlineStr">
        <is>
          <t>24시간 자동물약 무한 — v1.18</t>
        </is>
      </c>
    </row>
    <row r="22">
      <c r="A22" s="8" t="inlineStr">
        <is>
          <t>다이아</t>
        </is>
      </c>
      <c r="B22" s="8" t="inlineStr">
        <is>
          <t>프리미엄 보물 상자</t>
        </is>
      </c>
      <c r="C22" s="8" t="inlineStr">
        <is>
          <t>300 다이아</t>
        </is>
      </c>
      <c r="D22" s="8" t="inlineStr">
        <is>
          <t>-</t>
        </is>
      </c>
      <c r="E22" s="8" t="inlineStr">
        <is>
          <t>전설 장비 확정 + 다이아 — v1.18</t>
        </is>
      </c>
    </row>
    <row r="23">
      <c r="A23" s="9" t="inlineStr">
        <is>
          <t>다이아</t>
        </is>
      </c>
      <c r="B23" s="9" t="inlineStr">
        <is>
          <t>전설 재료 패키지</t>
        </is>
      </c>
      <c r="C23" s="9" t="inlineStr">
        <is>
          <t>600 다이아</t>
        </is>
      </c>
      <c r="D23" s="9" t="inlineStr">
        <is>
          <t>-</t>
        </is>
      </c>
      <c r="E23" s="9" t="inlineStr">
        <is>
          <t>용재료×10 + 영혼석×20 + 마법재료×20 — v1.18</t>
        </is>
      </c>
    </row>
    <row r="26">
      <c r="A26" s="10" t="inlineStr">
        <is>
          <t>다이아몬드 결제 (Toss Payments)</t>
        </is>
      </c>
    </row>
    <row r="27">
      <c r="A27" s="11" t="inlineStr">
        <is>
          <t>상품</t>
        </is>
      </c>
      <c r="B27" s="11" t="inlineStr">
        <is>
          <t>수량</t>
        </is>
      </c>
      <c r="C27" s="11" t="inlineStr">
        <is>
          <t>가격(원)</t>
        </is>
      </c>
      <c r="D27" s="11" t="inlineStr">
        <is>
          <t>보너스</t>
        </is>
      </c>
    </row>
    <row r="28">
      <c r="A28" s="3" t="inlineStr">
        <is>
          <t>다이아 100개</t>
        </is>
      </c>
      <c r="B28" s="3" t="inlineStr">
        <is>
          <t>100개</t>
        </is>
      </c>
      <c r="C28" s="3" t="inlineStr">
        <is>
          <t>1,000원</t>
        </is>
      </c>
      <c r="D28" s="3" t="inlineStr">
        <is>
          <t>-</t>
        </is>
      </c>
    </row>
    <row r="29">
      <c r="A29" s="3" t="inlineStr">
        <is>
          <t>다이아 500개</t>
        </is>
      </c>
      <c r="B29" s="3" t="inlineStr">
        <is>
          <t>550개</t>
        </is>
      </c>
      <c r="C29" s="3" t="inlineStr">
        <is>
          <t>4,500원</t>
        </is>
      </c>
      <c r="D29" s="3" t="inlineStr">
        <is>
          <t>+10% 보너스</t>
        </is>
      </c>
    </row>
    <row r="30">
      <c r="A30" s="3" t="inlineStr">
        <is>
          <t>다이아 1100개</t>
        </is>
      </c>
      <c r="B30" s="3" t="inlineStr">
        <is>
          <t>1,100개</t>
        </is>
      </c>
      <c r="C30" s="3" t="inlineStr">
        <is>
          <t>9,000원</t>
        </is>
      </c>
      <c r="D30" s="3" t="inlineStr">
        <is>
          <t>+20% 보너스</t>
        </is>
      </c>
    </row>
  </sheetData>
  <mergeCells count="1">
    <mergeCell ref="A1:E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8" customWidth="1" min="1" max="1"/>
    <col width="22" customWidth="1" min="2" max="2"/>
    <col width="10" customWidth="1" min="3" max="3"/>
    <col width="16" customWidth="1" min="4" max="4"/>
    <col width="22" customWidth="1" min="5" max="5"/>
  </cols>
  <sheetData>
    <row r="1">
      <c r="A1" s="6" t="inlineStr">
        <is>
          <t>칭호 (16종 — v1.9 전설 칭호 3종 추가)</t>
        </is>
      </c>
    </row>
    <row r="3">
      <c r="A3" s="7" t="inlineStr">
        <is>
          <t>칭호명</t>
        </is>
      </c>
      <c r="B3" s="7" t="inlineStr">
        <is>
          <t>획득조건</t>
        </is>
      </c>
      <c r="C3" s="7" t="inlineStr">
        <is>
          <t>색상</t>
        </is>
      </c>
      <c r="D3" s="7" t="inlineStr">
        <is>
          <t>효과</t>
        </is>
      </c>
      <c r="E3" s="7" t="inlineStr">
        <is>
          <t>설명</t>
        </is>
      </c>
    </row>
    <row r="4">
      <c r="A4" s="8" t="inlineStr">
        <is>
          <t>피의 세례</t>
        </is>
      </c>
      <c r="B4" s="8" t="inlineStr">
        <is>
          <t>첫 PK 달성</t>
        </is>
      </c>
      <c r="C4" s="8" t="inlineStr">
        <is>
          <t>빨강</t>
        </is>
      </c>
      <c r="D4" s="8" t="inlineStr">
        <is>
          <t>-</t>
        </is>
      </c>
      <c r="E4" s="8" t="inlineStr">
        <is>
          <t>PK 입문자 마크</t>
        </is>
      </c>
    </row>
    <row r="5">
      <c r="A5" s="9" t="inlineStr">
        <is>
          <t>학살자</t>
        </is>
      </c>
      <c r="B5" s="9" t="inlineStr">
        <is>
          <t>PK 100회</t>
        </is>
      </c>
      <c r="C5" s="9" t="inlineStr">
        <is>
          <t>진홍</t>
        </is>
      </c>
      <c r="D5" s="9" t="inlineStr">
        <is>
          <t>ATK +3%</t>
        </is>
      </c>
      <c r="E5" s="9" t="inlineStr">
        <is>
          <t>공포의 칭호</t>
        </is>
      </c>
    </row>
    <row r="6">
      <c r="A6" s="8" t="inlineStr">
        <is>
          <t>전쟁의 신</t>
        </is>
      </c>
      <c r="B6" s="8" t="inlineStr">
        <is>
          <t>PvP 1000승</t>
        </is>
      </c>
      <c r="C6" s="8" t="inlineStr">
        <is>
          <t>금색</t>
        </is>
      </c>
      <c r="D6" s="8" t="inlineStr">
        <is>
          <t>ATK +5%</t>
        </is>
      </c>
      <c r="E6" s="8" t="inlineStr">
        <is>
          <t>최강 전사</t>
        </is>
      </c>
    </row>
    <row r="7">
      <c r="A7" s="9" t="inlineStr">
        <is>
          <t>드래곤 슬레이어</t>
        </is>
      </c>
      <c r="B7" s="9" t="inlineStr">
        <is>
          <t>드래곤 100 처치</t>
        </is>
      </c>
      <c r="C7" s="9" t="inlineStr">
        <is>
          <t>주황</t>
        </is>
      </c>
      <c r="D7" s="9" t="inlineStr">
        <is>
          <t>보스DMG +10%</t>
        </is>
      </c>
      <c r="E7" s="9" t="inlineStr">
        <is>
          <t>용사의 증표</t>
        </is>
      </c>
    </row>
    <row r="8">
      <c r="A8" s="8" t="inlineStr">
        <is>
          <t>던전 정복자</t>
        </is>
      </c>
      <c r="B8" s="8" t="inlineStr">
        <is>
          <t>던전 10회 클리어</t>
        </is>
      </c>
      <c r="C8" s="8" t="inlineStr">
        <is>
          <t>보라</t>
        </is>
      </c>
      <c r="D8" s="8" t="inlineStr">
        <is>
          <t>EXP +15%</t>
        </is>
      </c>
      <c r="E8" s="8" t="inlineStr">
        <is>
          <t>던전 마스터</t>
        </is>
      </c>
    </row>
    <row r="9">
      <c r="A9" s="9" t="inlineStr">
        <is>
          <t>거상</t>
        </is>
      </c>
      <c r="B9" s="9" t="inlineStr">
        <is>
          <t>교역 이익 10만G</t>
        </is>
      </c>
      <c r="C9" s="9" t="inlineStr">
        <is>
          <t>금색</t>
        </is>
      </c>
      <c r="D9" s="9" t="inlineStr">
        <is>
          <t>수수료 -2%</t>
        </is>
      </c>
      <c r="E9" s="9" t="inlineStr">
        <is>
          <t>부의 상징</t>
        </is>
      </c>
    </row>
    <row r="10">
      <c r="A10" s="8" t="inlineStr">
        <is>
          <t>백만장자</t>
        </is>
      </c>
      <c r="B10" s="8" t="inlineStr">
        <is>
          <t>골드 100만 보유</t>
        </is>
      </c>
      <c r="C10" s="8" t="inlineStr">
        <is>
          <t>금색</t>
        </is>
      </c>
      <c r="D10" s="8" t="inlineStr">
        <is>
          <t>-</t>
        </is>
      </c>
      <c r="E10" s="8" t="inlineStr">
        <is>
          <t>재력가</t>
        </is>
      </c>
    </row>
    <row r="11">
      <c r="A11" s="9" t="inlineStr">
        <is>
          <t>마스터 대장장이</t>
        </is>
      </c>
      <c r="B11" s="9" t="inlineStr">
        <is>
          <t>제작 50회</t>
        </is>
      </c>
      <c r="C11" s="9" t="inlineStr">
        <is>
          <t>파랑</t>
        </is>
      </c>
      <c r="D11" s="9" t="inlineStr">
        <is>
          <t>제작보너스 +5%</t>
        </is>
      </c>
      <c r="E11" s="9" t="inlineStr">
        <is>
          <t>장인</t>
        </is>
      </c>
    </row>
    <row r="12">
      <c r="A12" s="8" t="inlineStr">
        <is>
          <t>포켓몬 마스터</t>
        </is>
      </c>
      <c r="B12" s="8" t="inlineStr">
        <is>
          <t>테이밍 50마리</t>
        </is>
      </c>
      <c r="C12" s="8" t="inlineStr">
        <is>
          <t>파랑</t>
        </is>
      </c>
      <c r="D12" s="8" t="inlineStr">
        <is>
          <t>-</t>
        </is>
      </c>
      <c r="E12" s="8" t="inlineStr">
        <is>
          <t>테이밍 달인</t>
        </is>
      </c>
    </row>
    <row r="13">
      <c r="A13" s="9" t="inlineStr">
        <is>
          <t>투기장 왕</t>
        </is>
      </c>
      <c r="B13" s="9" t="inlineStr">
        <is>
          <t>아레나 100승</t>
        </is>
      </c>
      <c r="C13" s="9" t="inlineStr">
        <is>
          <t>빨강</t>
        </is>
      </c>
      <c r="D13" s="9" t="inlineStr">
        <is>
          <t>ATK +5%</t>
        </is>
      </c>
      <c r="E13" s="9" t="inlineStr">
        <is>
          <t>콜로세움의 영웅</t>
        </is>
      </c>
    </row>
    <row r="14">
      <c r="A14" s="8" t="inlineStr">
        <is>
          <t>혈맹의 별</t>
        </is>
      </c>
      <c r="B14" s="8" t="inlineStr">
        <is>
          <t>혈맹 Lv.5 달성</t>
        </is>
      </c>
      <c r="C14" s="8" t="inlineStr">
        <is>
          <t>보라</t>
        </is>
      </c>
      <c r="D14" s="8" t="inlineStr">
        <is>
          <t>-</t>
        </is>
      </c>
      <c r="E14" s="8" t="inlineStr">
        <is>
          <t>혈맹의 핵심</t>
        </is>
      </c>
    </row>
    <row r="15">
      <c r="A15" s="9" t="inlineStr">
        <is>
          <t>서버 최강자</t>
        </is>
      </c>
      <c r="B15" s="9" t="inlineStr">
        <is>
          <t>레벨 1위 (주간)</t>
        </is>
      </c>
      <c r="C15" s="9" t="inlineStr">
        <is>
          <t>금색</t>
        </is>
      </c>
      <c r="D15" s="9" t="inlineStr">
        <is>
          <t>EXP +20%</t>
        </is>
      </c>
      <c r="E15" s="9" t="inlineStr">
        <is>
          <t>주간 1위</t>
        </is>
      </c>
    </row>
    <row r="16">
      <c r="A16" s="8" t="inlineStr">
        <is>
          <t>최강 전사</t>
        </is>
      </c>
      <c r="B16" s="8" t="inlineStr">
        <is>
          <t>PvP 1위 (주간)</t>
        </is>
      </c>
      <c r="C16" s="8" t="inlineStr">
        <is>
          <t>빨강</t>
        </is>
      </c>
      <c r="D16" s="8" t="inlineStr">
        <is>
          <t>ATK +10%</t>
        </is>
      </c>
      <c r="E16" s="8" t="inlineStr">
        <is>
          <t>주간 PvP 1위</t>
        </is>
      </c>
    </row>
    <row r="17">
      <c r="A17" s="9" t="inlineStr">
        <is>
          <t>최고의 혈맹</t>
        </is>
      </c>
      <c r="B17" s="9" t="inlineStr">
        <is>
          <t>혈맹 1위 (주간)</t>
        </is>
      </c>
      <c r="C17" s="9" t="inlineStr">
        <is>
          <t>보라</t>
        </is>
      </c>
      <c r="D17" s="9" t="inlineStr">
        <is>
          <t>-</t>
        </is>
      </c>
      <c r="E17" s="9" t="inlineStr">
        <is>
          <t>혈맹 1위</t>
        </is>
      </c>
    </row>
    <row r="18">
      <c r="A18" s="8" t="inlineStr">
        <is>
          <t>공허의 방랑자</t>
        </is>
      </c>
      <c r="B18" s="8" t="inlineStr">
        <is>
          <t>몬스터 10,000 처치</t>
        </is>
      </c>
      <c r="C18" s="8" t="inlineStr">
        <is>
          <t>보라</t>
        </is>
      </c>
      <c r="D18" s="8" t="inlineStr">
        <is>
          <t>ATK +7%</t>
        </is>
      </c>
      <c r="E18" s="8" t="inlineStr">
        <is>
          <t>v1.9 신규 — 공허의 힘</t>
        </is>
      </c>
    </row>
    <row r="19">
      <c r="A19" s="9" t="inlineStr">
        <is>
          <t>불멸자</t>
        </is>
      </c>
      <c r="B19" s="9" t="inlineStr">
        <is>
          <t>환생 5회</t>
        </is>
      </c>
      <c r="C19" s="9" t="inlineStr">
        <is>
          <t>오렌지</t>
        </is>
      </c>
      <c r="D19" s="9" t="inlineStr">
        <is>
          <t>EXP +25%</t>
        </is>
      </c>
      <c r="E19" s="9" t="inlineStr">
        <is>
          <t>v1.9 신규 — 시간을 초월한 자</t>
        </is>
      </c>
    </row>
    <row r="20">
      <c r="A20" s="8" t="inlineStr">
        <is>
          <t>천공의 군주</t>
        </is>
      </c>
      <c r="B20" s="8" t="inlineStr">
        <is>
          <t>월드 보스 10회 처치</t>
        </is>
      </c>
      <c r="C20" s="8" t="inlineStr">
        <is>
          <t>시안</t>
        </is>
      </c>
      <c r="D20" s="8" t="inlineStr">
        <is>
          <t>보스DMG +15%</t>
        </is>
      </c>
      <c r="E20" s="8" t="inlineStr">
        <is>
          <t>v1.9 신규 — 하늘의 지배자</t>
        </is>
      </c>
    </row>
  </sheetData>
  <mergeCells count="1">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6" customWidth="1" min="1" max="1"/>
    <col width="18" customWidth="1" min="2" max="2"/>
    <col width="28" customWidth="1" min="3" max="3"/>
    <col width="25" customWidth="1" min="4" max="4"/>
  </cols>
  <sheetData>
    <row r="1">
      <c r="A1" s="6" t="inlineStr">
        <is>
          <t>용병 시스템</t>
        </is>
      </c>
    </row>
    <row r="3">
      <c r="A3" s="7" t="inlineStr">
        <is>
          <t>기능</t>
        </is>
      </c>
      <c r="B3" s="7" t="inlineStr">
        <is>
          <t>조건/비용</t>
        </is>
      </c>
      <c r="C3" s="7" t="inlineStr">
        <is>
          <t>효과</t>
        </is>
      </c>
      <c r="D3" s="7" t="inlineStr">
        <is>
          <t>비고</t>
        </is>
      </c>
    </row>
    <row r="4">
      <c r="A4" s="8" t="inlineStr">
        <is>
          <t>용병 고용</t>
        </is>
      </c>
      <c r="B4" s="8" t="inlineStr">
        <is>
          <t>상점에서 150G</t>
        </is>
      </c>
      <c r="C4" s="8" t="inlineStr">
        <is>
          <t>랜덤 클래스 1명 고용</t>
        </is>
      </c>
      <c r="D4" s="8" t="inlineStr">
        <is>
          <t>주인 근처 ±2유닛 생성</t>
        </is>
      </c>
    </row>
    <row r="5">
      <c r="A5" s="9" t="inlineStr">
        <is>
          <t>몬스터 테이밍</t>
        </is>
      </c>
      <c r="B5" s="9" t="inlineStr">
        <is>
          <t>50G + 확률</t>
        </is>
      </c>
      <c r="C5" s="9" t="inlineStr">
        <is>
          <t>포획한 몬스터 → 용병화</t>
        </is>
      </c>
      <c r="D5" s="9" t="inlineStr">
        <is>
          <t>등급별 확률 (3~30%)</t>
        </is>
      </c>
    </row>
    <row r="6">
      <c r="A6" s="8" t="inlineStr">
        <is>
          <t>용병 AI</t>
        </is>
      </c>
      <c r="B6" s="8" t="inlineStr">
        <is>
          <t>자동 전투</t>
        </is>
      </c>
      <c r="C6" s="8" t="inlineStr">
        <is>
          <t>주인 주변 몬스터 자동 공격</t>
        </is>
      </c>
      <c r="D6" s="8" t="inlineStr">
        <is>
          <t>거리 15유닛 이내 복귀</t>
        </is>
      </c>
    </row>
    <row r="7">
      <c r="A7" s="9" t="inlineStr">
        <is>
          <t>용병 해고</t>
        </is>
      </c>
      <c r="B7" s="9" t="inlineStr">
        <is>
          <t>유닛 관리</t>
        </is>
      </c>
      <c r="C7" s="9" t="inlineStr">
        <is>
          <t>불필요한 용병 해고</t>
        </is>
      </c>
      <c r="D7" s="9" t="inlineStr">
        <is>
          <t>즉시 삭제</t>
        </is>
      </c>
    </row>
    <row r="8">
      <c r="A8" s="8" t="inlineStr">
        <is>
          <t>용병 NPC 판매</t>
        </is>
      </c>
      <c r="B8" s="8" t="inlineStr">
        <is>
          <t>유닛 관리</t>
        </is>
      </c>
      <c r="C8" s="8" t="inlineStr">
        <is>
          <t>용병을 NPC에 판매</t>
        </is>
      </c>
      <c r="D8" s="8" t="inlineStr">
        <is>
          <t>클래스별 판매가</t>
        </is>
      </c>
    </row>
    <row r="9">
      <c r="A9" s="9" t="inlineStr">
        <is>
          <t>용병 거래</t>
        </is>
      </c>
      <c r="B9" s="9" t="inlineStr">
        <is>
          <t>소셜 탭</t>
        </is>
      </c>
      <c r="C9" s="9" t="inlineStr">
        <is>
          <t>다른 플레이어에게 용병 판매</t>
        </is>
      </c>
      <c r="D9" s="9" t="inlineStr">
        <is>
          <t>가격 협상</t>
        </is>
      </c>
    </row>
    <row r="10">
      <c r="A10" s="8" t="inlineStr">
        <is>
          <t>용병 슬롯</t>
        </is>
      </c>
      <c r="B10" s="8" t="inlineStr">
        <is>
          <t>기본 30명</t>
        </is>
      </c>
      <c r="C10" s="8" t="inlineStr">
        <is>
          <t>최대 보유 가능 용병 수</t>
        </is>
      </c>
      <c r="D10" s="8" t="inlineStr">
        <is>
          <t>다이아로 확장 (+5)</t>
        </is>
      </c>
    </row>
    <row r="11">
      <c r="A11" s="9" t="inlineStr">
        <is>
          <t>등급별 능력</t>
        </is>
      </c>
      <c r="B11" s="9" t="inlineStr">
        <is>
          <t>테이밍 등급</t>
        </is>
      </c>
      <c r="C11" s="9" t="inlineStr">
        <is>
          <t>Elite: ATK×1.3 DEF×1.2</t>
        </is>
      </c>
      <c r="D11" s="9" t="inlineStr">
        <is>
          <t>Rare: ATK×1.6 CRIT 20%</t>
        </is>
      </c>
    </row>
    <row r="12">
      <c r="A12" s="8" t="inlineStr">
        <is>
          <t>보스 용병</t>
        </is>
      </c>
      <c r="B12" s="8" t="inlineStr">
        <is>
          <t>Boss 테이밍</t>
        </is>
      </c>
      <c r="C12" s="8" t="inlineStr">
        <is>
          <t>ATK×2.0 HP×1.5</t>
        </is>
      </c>
      <c r="D12" s="8" t="inlineStr">
        <is>
          <t>최강 전력</t>
        </is>
      </c>
    </row>
    <row r="13">
      <c r="A13" s="9" t="inlineStr">
        <is>
          <t>공격 스타일</t>
        </is>
      </c>
      <c r="B13" s="9" t="inlineStr">
        <is>
          <t>등급별 상이</t>
        </is>
      </c>
      <c r="C13" s="9" t="inlineStr">
        <is>
          <t>Normal:근접 Elite:돌진 Rare:광역 Boss:브레스</t>
        </is>
      </c>
      <c r="D13" s="9" t="inlineStr">
        <is>
          <t>다양한 전투 패턴</t>
        </is>
      </c>
    </row>
  </sheetData>
  <mergeCells count="1">
    <mergeCell ref="A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10" customWidth="1" min="1" max="1"/>
    <col width="22" customWidth="1" min="2" max="2"/>
    <col width="28" customWidth="1" min="3" max="3"/>
    <col width="25" customWidth="1" min="4" max="4"/>
  </cols>
  <sheetData>
    <row r="1">
      <c r="A1" s="6" t="inlineStr">
        <is>
          <t>게임 수치 총정리</t>
        </is>
      </c>
    </row>
    <row r="3">
      <c r="A3" s="7" t="inlineStr">
        <is>
          <t>분류</t>
        </is>
      </c>
      <c r="B3" s="7" t="inlineStr">
        <is>
          <t>항목</t>
        </is>
      </c>
      <c r="C3" s="7" t="inlineStr">
        <is>
          <t>수치</t>
        </is>
      </c>
      <c r="D3" s="7" t="inlineStr">
        <is>
          <t>설명</t>
        </is>
      </c>
    </row>
    <row r="4">
      <c r="A4" s="8" t="inlineStr">
        <is>
          <t>맵</t>
        </is>
      </c>
      <c r="B4" s="8" t="inlineStr">
        <is>
          <t>MAP_SIZE</t>
        </is>
      </c>
      <c r="C4" s="8" t="inlineStr">
        <is>
          <t>1000×1000</t>
        </is>
      </c>
      <c r="D4" s="8" t="inlineStr">
        <is>
          <t>좌표 -500~500</t>
        </is>
      </c>
    </row>
    <row r="5">
      <c r="A5" s="9" t="inlineStr">
        <is>
          <t>맵</t>
        </is>
      </c>
      <c r="B5" s="9" t="inlineStr">
        <is>
          <t>MAX_PLAYERS</t>
        </is>
      </c>
      <c r="C5" s="9" t="inlineStr">
        <is>
          <t>50</t>
        </is>
      </c>
      <c r="D5" s="9" t="inlineStr">
        <is>
          <t>최대 동시접속</t>
        </is>
      </c>
    </row>
    <row r="6">
      <c r="A6" s="8" t="inlineStr">
        <is>
          <t>맵</t>
        </is>
      </c>
      <c r="B6" s="8" t="inlineStr">
        <is>
          <t>MAX_MONSTERS</t>
        </is>
      </c>
      <c r="C6" s="8" t="inlineStr">
        <is>
          <t>200</t>
        </is>
      </c>
      <c r="D6" s="8" t="inlineStr">
        <is>
          <t>최대 몬스터 수</t>
        </is>
      </c>
    </row>
    <row r="7">
      <c r="A7" s="9" t="inlineStr">
        <is>
          <t>맵</t>
        </is>
      </c>
      <c r="B7" s="9" t="inlineStr">
        <is>
          <t>DAY_NIGHT_CYCLE</t>
        </is>
      </c>
      <c r="C7" s="9" t="inlineStr">
        <is>
          <t>600초 (10분)</t>
        </is>
      </c>
      <c r="D7" s="9" t="inlineStr">
        <is>
          <t>밤: 몬스터 강화</t>
        </is>
      </c>
    </row>
    <row r="8">
      <c r="A8" s="8" t="inlineStr">
        <is>
          <t>전투</t>
        </is>
      </c>
      <c r="B8" s="8" t="inlineStr">
        <is>
          <t>데미지 공식</t>
        </is>
      </c>
      <c r="C8" s="8" t="inlineStr">
        <is>
          <t>MAX(1, ATK×배수 - DEF×0.5)</t>
        </is>
      </c>
      <c r="D8" s="8" t="inlineStr">
        <is>
          <t>기본 공식</t>
        </is>
      </c>
    </row>
    <row r="9">
      <c r="A9" s="9" t="inlineStr">
        <is>
          <t>전투</t>
        </is>
      </c>
      <c r="B9" s="9" t="inlineStr">
        <is>
          <t>크리티컬 데미지</t>
        </is>
      </c>
      <c r="C9" s="9" t="inlineStr">
        <is>
          <t>×2.0</t>
        </is>
      </c>
      <c r="D9" s="9" t="inlineStr">
        <is>
          <t>크리티컬 적중시</t>
        </is>
      </c>
    </row>
    <row r="10">
      <c r="A10" s="8" t="inlineStr">
        <is>
          <t>전투</t>
        </is>
      </c>
      <c r="B10" s="8" t="inlineStr">
        <is>
          <t>경험치 공식</t>
        </is>
      </c>
      <c r="C10" s="8" t="inlineStr">
        <is>
          <t>100 × 1.15^(Lv-1)</t>
        </is>
      </c>
      <c r="D10" s="8" t="inlineStr">
        <is>
          <t>레벨업 필요 경험치</t>
        </is>
      </c>
    </row>
    <row r="11">
      <c r="A11" s="9" t="inlineStr">
        <is>
          <t>전투</t>
        </is>
      </c>
      <c r="B11" s="9" t="inlineStr">
        <is>
          <t>HP 재생</t>
        </is>
      </c>
      <c r="C11" s="9" t="inlineStr">
        <is>
          <t>5HP/10초</t>
        </is>
      </c>
      <c r="D11" s="9" t="inlineStr">
        <is>
          <t>자동 재생</t>
        </is>
      </c>
    </row>
    <row r="12">
      <c r="A12" s="8" t="inlineStr">
        <is>
          <t>전투</t>
        </is>
      </c>
      <c r="B12" s="8" t="inlineStr">
        <is>
          <t>공격 쿨타임</t>
        </is>
      </c>
      <c r="C12" s="8" t="inlineStr">
        <is>
          <t>어쌔신0.25 / 워리어0.35 / 나이트0.7 / 메이지1.2</t>
        </is>
      </c>
      <c r="D12" s="8" t="inlineStr">
        <is>
          <t>초 단위</t>
        </is>
      </c>
    </row>
    <row r="13">
      <c r="A13" s="9" t="inlineStr">
        <is>
          <t>경제</t>
        </is>
      </c>
      <c r="B13" s="9" t="inlineStr">
        <is>
          <t>타워 비용</t>
        </is>
      </c>
      <c r="C13" s="9" t="inlineStr">
        <is>
          <t>80G</t>
        </is>
      </c>
      <c r="D13" s="9" t="inlineStr">
        <is>
          <t>가디언 타워 설치</t>
        </is>
      </c>
    </row>
    <row r="14">
      <c r="A14" s="8" t="inlineStr">
        <is>
          <t>경제</t>
        </is>
      </c>
      <c r="B14" s="8" t="inlineStr">
        <is>
          <t>용병 비용</t>
        </is>
      </c>
      <c r="C14" s="8" t="inlineStr">
        <is>
          <t>150G</t>
        </is>
      </c>
      <c r="D14" s="8" t="inlineStr">
        <is>
          <t>용병 1명 고용</t>
        </is>
      </c>
    </row>
    <row r="15">
      <c r="A15" s="9" t="inlineStr">
        <is>
          <t>경제</t>
        </is>
      </c>
      <c r="B15" s="9" t="inlineStr">
        <is>
          <t>테이밍 비용</t>
        </is>
      </c>
      <c r="C15" s="9" t="inlineStr">
        <is>
          <t>50G</t>
        </is>
      </c>
      <c r="D15" s="9" t="inlineStr">
        <is>
          <t>몬스터 테이밍</t>
        </is>
      </c>
    </row>
    <row r="16">
      <c r="A16" s="8" t="inlineStr">
        <is>
          <t>경제</t>
        </is>
      </c>
      <c r="B16" s="8" t="inlineStr">
        <is>
          <t>강화 비용</t>
        </is>
      </c>
      <c r="C16" s="8" t="inlineStr">
        <is>
          <t>(단계+1) × 200G</t>
        </is>
      </c>
      <c r="D16" s="8" t="inlineStr">
        <is>
          <t>강화 1회</t>
        </is>
      </c>
    </row>
    <row r="17">
      <c r="A17" s="9" t="inlineStr">
        <is>
          <t>경제</t>
        </is>
      </c>
      <c r="B17" s="9" t="inlineStr">
        <is>
          <t>교역 변동</t>
        </is>
      </c>
      <c r="C17" s="9" t="inlineStr">
        <is>
          <t>0.5~1.5배</t>
        </is>
      </c>
      <c r="D17" s="9" t="inlineStr">
        <is>
          <t>마을별 가격 배수</t>
        </is>
      </c>
    </row>
    <row r="18">
      <c r="A18" s="8" t="inlineStr">
        <is>
          <t>PK</t>
        </is>
      </c>
      <c r="B18" s="8" t="inlineStr">
        <is>
          <t>카르마 PK 패널티</t>
        </is>
      </c>
      <c r="C18" s="8" t="inlineStr">
        <is>
          <t>+100</t>
        </is>
      </c>
      <c r="D18" s="8" t="inlineStr">
        <is>
          <t>평화 모드 살해시</t>
        </is>
      </c>
    </row>
    <row r="19">
      <c r="A19" s="9" t="inlineStr">
        <is>
          <t>PK</t>
        </is>
      </c>
      <c r="B19" s="9" t="inlineStr">
        <is>
          <t>카르마 감소</t>
        </is>
      </c>
      <c r="C19" s="9" t="inlineStr">
        <is>
          <t>-5/분</t>
        </is>
      </c>
      <c r="D19" s="9" t="inlineStr">
        <is>
          <t>자연 감소</t>
        </is>
      </c>
    </row>
    <row r="20">
      <c r="A20" s="8" t="inlineStr">
        <is>
          <t>PK</t>
        </is>
      </c>
      <c r="B20" s="8" t="inlineStr">
        <is>
          <t>카오틱 기준</t>
        </is>
      </c>
      <c r="C20" s="8" t="inlineStr">
        <is>
          <t>200 이상</t>
        </is>
      </c>
      <c r="D20" s="8" t="inlineStr">
        <is>
          <t>빨간 이름</t>
        </is>
      </c>
    </row>
    <row r="21">
      <c r="A21" s="9" t="inlineStr">
        <is>
          <t>PK</t>
        </is>
      </c>
      <c r="B21" s="9" t="inlineStr">
        <is>
          <t>사망시 골드 손실</t>
        </is>
      </c>
      <c r="C21" s="9" t="inlineStr">
        <is>
          <t>50%</t>
        </is>
      </c>
      <c r="D21" s="9" t="inlineStr">
        <is>
          <t>PvP 사망시</t>
        </is>
      </c>
    </row>
    <row r="22">
      <c r="A22" s="8" t="inlineStr">
        <is>
          <t>PK</t>
        </is>
      </c>
      <c r="B22" s="8" t="inlineStr">
        <is>
          <t>사망시 아이템 손실</t>
        </is>
      </c>
      <c r="C22" s="8" t="inlineStr">
        <is>
          <t>30%</t>
        </is>
      </c>
      <c r="D22" s="8" t="inlineStr">
        <is>
          <t>인벤토리 드롭</t>
        </is>
      </c>
    </row>
    <row r="23">
      <c r="A23" s="9" t="inlineStr">
        <is>
          <t>스폰</t>
        </is>
      </c>
      <c r="B23" s="9" t="inlineStr">
        <is>
          <t>시작 위치</t>
        </is>
      </c>
      <c r="C23" s="9" t="inlineStr">
        <is>
          <t>바람개비 마을 (-480±40)</t>
        </is>
      </c>
      <c r="D23" s="9" t="inlineStr">
        <is>
          <t>신규 플레이어</t>
        </is>
      </c>
    </row>
    <row r="24">
      <c r="A24" s="8" t="inlineStr">
        <is>
          <t>스폰</t>
        </is>
      </c>
      <c r="B24" s="8" t="inlineStr">
        <is>
          <t>몬스터 리스폰</t>
        </is>
      </c>
      <c r="C24" s="8" t="inlineStr">
        <is>
          <t>10초</t>
        </is>
      </c>
      <c r="D24" s="8" t="inlineStr">
        <is>
          <t>처치 후 리스폰</t>
        </is>
      </c>
    </row>
  </sheetData>
  <mergeCells count="1">
    <mergeCell ref="A1:D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8" customWidth="1" min="1" max="1"/>
    <col width="30" customWidth="1" min="2" max="2"/>
    <col width="12" customWidth="1" min="3" max="3"/>
  </cols>
  <sheetData>
    <row r="1">
      <c r="A1" s="6" t="inlineStr">
        <is>
          <t>출석 캘린더 (28일 사이클)</t>
        </is>
      </c>
    </row>
    <row r="3">
      <c r="A3" s="7" t="inlineStr">
        <is>
          <t>일차</t>
        </is>
      </c>
      <c r="B3" s="7" t="inlineStr">
        <is>
          <t>보상</t>
        </is>
      </c>
      <c r="C3" s="7" t="inlineStr">
        <is>
          <t>구분</t>
        </is>
      </c>
    </row>
    <row r="4">
      <c r="A4" s="8" t="n">
        <v>1</v>
      </c>
      <c r="B4" s="8" t="inlineStr">
        <is>
          <t>100G</t>
        </is>
      </c>
      <c r="C4" s="8" t="inlineStr">
        <is>
          <t>일반</t>
        </is>
      </c>
    </row>
    <row r="5">
      <c r="A5" s="9" t="n">
        <v>2</v>
      </c>
      <c r="B5" s="9" t="inlineStr">
        <is>
          <t>200G</t>
        </is>
      </c>
      <c r="C5" s="9" t="inlineStr">
        <is>
          <t>일반</t>
        </is>
      </c>
    </row>
    <row r="6">
      <c r="A6" s="8" t="n">
        <v>3</v>
      </c>
      <c r="B6" s="8" t="inlineStr">
        <is>
          <t>300G + 10다이아</t>
        </is>
      </c>
      <c r="C6" s="8" t="inlineStr">
        <is>
          <t>특별</t>
        </is>
      </c>
    </row>
    <row r="7">
      <c r="A7" s="9" t="n">
        <v>4</v>
      </c>
      <c r="B7" s="9" t="inlineStr">
        <is>
          <t>400G</t>
        </is>
      </c>
      <c r="C7" s="9" t="inlineStr">
        <is>
          <t>일반</t>
        </is>
      </c>
    </row>
    <row r="8">
      <c r="A8" s="8" t="n">
        <v>5</v>
      </c>
      <c r="B8" s="8" t="inlineStr">
        <is>
          <t>500G + 15다이아</t>
        </is>
      </c>
      <c r="C8" s="8" t="inlineStr">
        <is>
          <t>특별</t>
        </is>
      </c>
    </row>
    <row r="9">
      <c r="A9" s="9" t="n">
        <v>6</v>
      </c>
      <c r="B9" s="9" t="inlineStr">
        <is>
          <t>600G</t>
        </is>
      </c>
      <c r="C9" s="9" t="inlineStr">
        <is>
          <t>일반</t>
        </is>
      </c>
    </row>
    <row r="10">
      <c r="A10" s="8" t="n">
        <v>7</v>
      </c>
      <c r="B10" s="8" t="inlineStr">
        <is>
          <t>희귀 상자</t>
        </is>
      </c>
      <c r="C10" s="8" t="inlineStr">
        <is>
          <t>주간</t>
        </is>
      </c>
    </row>
    <row r="11">
      <c r="A11" s="9" t="n">
        <v>8</v>
      </c>
      <c r="B11" s="9" t="inlineStr">
        <is>
          <t>800G</t>
        </is>
      </c>
      <c r="C11" s="9" t="inlineStr">
        <is>
          <t>일반</t>
        </is>
      </c>
    </row>
    <row r="12">
      <c r="A12" s="8" t="n">
        <v>9</v>
      </c>
      <c r="B12" s="8" t="inlineStr">
        <is>
          <t>900G</t>
        </is>
      </c>
      <c r="C12" s="8" t="inlineStr">
        <is>
          <t>일반</t>
        </is>
      </c>
    </row>
    <row r="13">
      <c r="A13" s="9" t="n">
        <v>10</v>
      </c>
      <c r="B13" s="9" t="inlineStr">
        <is>
          <t>1000G + 30다이아</t>
        </is>
      </c>
      <c r="C13" s="9" t="inlineStr">
        <is>
          <t>특별</t>
        </is>
      </c>
    </row>
    <row r="14">
      <c r="A14" s="8" t="n">
        <v>11</v>
      </c>
      <c r="B14" s="8" t="inlineStr">
        <is>
          <t>1100G</t>
        </is>
      </c>
      <c r="C14" s="8" t="inlineStr">
        <is>
          <t>일반</t>
        </is>
      </c>
    </row>
    <row r="15">
      <c r="A15" s="9" t="n">
        <v>12</v>
      </c>
      <c r="B15" s="9" t="inlineStr">
        <is>
          <t>1200G</t>
        </is>
      </c>
      <c r="C15" s="9" t="inlineStr">
        <is>
          <t>일반</t>
        </is>
      </c>
    </row>
    <row r="16">
      <c r="A16" s="8" t="n">
        <v>13</v>
      </c>
      <c r="B16" s="8" t="inlineStr">
        <is>
          <t>1300G + 20다이아</t>
        </is>
      </c>
      <c r="C16" s="8" t="inlineStr">
        <is>
          <t>특별</t>
        </is>
      </c>
    </row>
    <row r="17">
      <c r="A17" s="9" t="n">
        <v>14</v>
      </c>
      <c r="B17" s="9" t="inlineStr">
        <is>
          <t>전설 재료 ×3</t>
        </is>
      </c>
      <c r="C17" s="9" t="inlineStr">
        <is>
          <t>주간</t>
        </is>
      </c>
    </row>
    <row r="18">
      <c r="A18" s="8" t="n">
        <v>15</v>
      </c>
      <c r="B18" s="8" t="inlineStr">
        <is>
          <t>1500G</t>
        </is>
      </c>
      <c r="C18" s="8" t="inlineStr">
        <is>
          <t>일반</t>
        </is>
      </c>
    </row>
    <row r="19">
      <c r="A19" s="9" t="n">
        <v>16</v>
      </c>
      <c r="B19" s="9" t="inlineStr">
        <is>
          <t>1600G</t>
        </is>
      </c>
      <c r="C19" s="9" t="inlineStr">
        <is>
          <t>일반</t>
        </is>
      </c>
    </row>
    <row r="20">
      <c r="A20" s="8" t="n">
        <v>17</v>
      </c>
      <c r="B20" s="8" t="inlineStr">
        <is>
          <t>1700G + 30다이아</t>
        </is>
      </c>
      <c r="C20" s="8" t="inlineStr">
        <is>
          <t>특별</t>
        </is>
      </c>
    </row>
    <row r="21">
      <c r="A21" s="9" t="n">
        <v>18</v>
      </c>
      <c r="B21" s="9" t="inlineStr">
        <is>
          <t>1800G</t>
        </is>
      </c>
      <c r="C21" s="9" t="inlineStr">
        <is>
          <t>일반</t>
        </is>
      </c>
    </row>
    <row r="22">
      <c r="A22" s="8" t="n">
        <v>19</v>
      </c>
      <c r="B22" s="8" t="inlineStr">
        <is>
          <t>1900G</t>
        </is>
      </c>
      <c r="C22" s="8" t="inlineStr">
        <is>
          <t>일반</t>
        </is>
      </c>
    </row>
    <row r="23">
      <c r="A23" s="9" t="n">
        <v>20</v>
      </c>
      <c r="B23" s="9" t="inlineStr">
        <is>
          <t>2000G + 50다이아</t>
        </is>
      </c>
      <c r="C23" s="9" t="inlineStr">
        <is>
          <t>특별</t>
        </is>
      </c>
    </row>
    <row r="24">
      <c r="A24" s="8" t="n">
        <v>21</v>
      </c>
      <c r="B24" s="8" t="inlineStr">
        <is>
          <t>영웅 장비 상자</t>
        </is>
      </c>
      <c r="C24" s="8" t="inlineStr">
        <is>
          <t>주간</t>
        </is>
      </c>
    </row>
    <row r="25">
      <c r="A25" s="9" t="n">
        <v>22</v>
      </c>
      <c r="B25" s="9" t="inlineStr">
        <is>
          <t>2200G</t>
        </is>
      </c>
      <c r="C25" s="9" t="inlineStr">
        <is>
          <t>일반</t>
        </is>
      </c>
    </row>
    <row r="26">
      <c r="A26" s="8" t="n">
        <v>23</v>
      </c>
      <c r="B26" s="8" t="inlineStr">
        <is>
          <t>2300G</t>
        </is>
      </c>
      <c r="C26" s="8" t="inlineStr">
        <is>
          <t>일반</t>
        </is>
      </c>
    </row>
    <row r="27">
      <c r="A27" s="9" t="n">
        <v>24</v>
      </c>
      <c r="B27" s="9" t="inlineStr">
        <is>
          <t>2400G + 40다이아</t>
        </is>
      </c>
      <c r="C27" s="9" t="inlineStr">
        <is>
          <t>특별</t>
        </is>
      </c>
    </row>
    <row r="28">
      <c r="A28" s="8" t="n">
        <v>25</v>
      </c>
      <c r="B28" s="8" t="inlineStr">
        <is>
          <t>2500G</t>
        </is>
      </c>
      <c r="C28" s="8" t="inlineStr">
        <is>
          <t>일반</t>
        </is>
      </c>
    </row>
    <row r="29">
      <c r="A29" s="9" t="n">
        <v>26</v>
      </c>
      <c r="B29" s="9" t="inlineStr">
        <is>
          <t>2600G</t>
        </is>
      </c>
      <c r="C29" s="9" t="inlineStr">
        <is>
          <t>일반</t>
        </is>
      </c>
    </row>
    <row r="30">
      <c r="A30" s="8" t="n">
        <v>27</v>
      </c>
      <c r="B30" s="8" t="inlineStr">
        <is>
          <t>2700G + 50다이아</t>
        </is>
      </c>
      <c r="C30" s="8" t="inlineStr">
        <is>
          <t>특별</t>
        </is>
      </c>
    </row>
    <row r="31">
      <c r="A31" s="9" t="n">
        <v>28</v>
      </c>
      <c r="B31" s="9" t="inlineStr">
        <is>
          <t>전설 장비 상자 + 칭호</t>
        </is>
      </c>
      <c r="C31" s="9" t="inlineStr">
        <is>
          <t>월간</t>
        </is>
      </c>
    </row>
  </sheetData>
  <mergeCells count="1">
    <mergeCell ref="A1:C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4" customWidth="1" min="1" max="1"/>
    <col width="8" customWidth="1" min="2" max="2"/>
    <col width="32" customWidth="1" min="3" max="3"/>
    <col width="28" customWidth="1" min="4" max="4"/>
  </cols>
  <sheetData>
    <row r="1">
      <c r="A1" s="6" t="inlineStr">
        <is>
          <t>장비 세트 (3종)</t>
        </is>
      </c>
    </row>
    <row r="3">
      <c r="A3" s="7" t="inlineStr">
        <is>
          <t>세트명</t>
        </is>
      </c>
      <c r="B3" s="7" t="inlineStr">
        <is>
          <t>구성수</t>
        </is>
      </c>
      <c r="C3" s="7" t="inlineStr">
        <is>
          <t>구성품</t>
        </is>
      </c>
      <c r="D3" s="7" t="inlineStr">
        <is>
          <t>세트 효과</t>
        </is>
      </c>
    </row>
    <row r="4">
      <c r="A4" s="8" t="inlineStr">
        <is>
          <t>드래곤 세트</t>
        </is>
      </c>
      <c r="B4" s="8" t="inlineStr">
        <is>
          <t>7피스</t>
        </is>
      </c>
      <c r="C4" s="8" t="inlineStr">
        <is>
          <t>검/갑옷/투구/장갑/장화/벨트/망토</t>
        </is>
      </c>
      <c r="D4" s="8" t="inlineStr">
        <is>
          <t>2피스: ATK+20 DEF+20</t>
        </is>
      </c>
    </row>
    <row r="5">
      <c r="A5" s="9" t="inlineStr">
        <is>
          <t>드래곤 세트</t>
        </is>
      </c>
      <c r="B5" s="9" t="inlineStr">
        <is>
          <t>7피스</t>
        </is>
      </c>
      <c r="C5" s="9" t="inlineStr">
        <is>
          <t>검/갑옷/투구/장갑/장화/벨트/망토</t>
        </is>
      </c>
      <c r="D5" s="9" t="inlineStr">
        <is>
          <t>3피스: ATK+40 DEF+40 HP+200</t>
        </is>
      </c>
    </row>
    <row r="6">
      <c r="A6" s="8" t="inlineStr">
        <is>
          <t>드래곤 세트</t>
        </is>
      </c>
      <c r="B6" s="8" t="inlineStr">
        <is>
          <t>7피스</t>
        </is>
      </c>
      <c r="C6" s="8" t="inlineStr">
        <is>
          <t>검/갑옷/투구/장갑/장화/벨트/망토</t>
        </is>
      </c>
      <c r="D6" s="8" t="inlineStr">
        <is>
          <t>5피스: ATK×1.2 DEF×1.2 HP+500</t>
        </is>
      </c>
    </row>
    <row r="7">
      <c r="A7" s="9" t="inlineStr">
        <is>
          <t>드래곤 세트</t>
        </is>
      </c>
      <c r="B7" s="9" t="inlineStr">
        <is>
          <t>7피스</t>
        </is>
      </c>
      <c r="C7" s="9" t="inlineStr">
        <is>
          <t>검/갑옷/투구/장갑/장화/벨트/망토</t>
        </is>
      </c>
      <c r="D7" s="9" t="inlineStr">
        <is>
          <t>7피스: ATK×1.5 DEF×1.5 HP+1000</t>
        </is>
      </c>
    </row>
    <row r="8">
      <c r="A8" s="8" t="inlineStr">
        <is>
          <t>영웅 세트</t>
        </is>
      </c>
      <c r="B8" s="8" t="inlineStr">
        <is>
          <t>7피스</t>
        </is>
      </c>
      <c r="C8" s="8" t="inlineStr">
        <is>
          <t>검/갑옷/투구/장갑/장화/벨트/망토</t>
        </is>
      </c>
      <c r="D8" s="8" t="inlineStr">
        <is>
          <t>2피스: ATK+10 DEF+10</t>
        </is>
      </c>
    </row>
    <row r="9">
      <c r="A9" s="9" t="inlineStr">
        <is>
          <t>영웅 세트</t>
        </is>
      </c>
      <c r="B9" s="9" t="inlineStr">
        <is>
          <t>7피스</t>
        </is>
      </c>
      <c r="C9" s="9" t="inlineStr">
        <is>
          <t>검/갑옷/투구/장갑/장화/벨트/망토</t>
        </is>
      </c>
      <c r="D9" s="9" t="inlineStr">
        <is>
          <t>3피스: ATK+25 DEF+25 HP+100</t>
        </is>
      </c>
    </row>
    <row r="10">
      <c r="A10" s="8" t="inlineStr">
        <is>
          <t>영웅 세트</t>
        </is>
      </c>
      <c r="B10" s="8" t="inlineStr">
        <is>
          <t>7피스</t>
        </is>
      </c>
      <c r="C10" s="8" t="inlineStr">
        <is>
          <t>검/갑옷/투구/장갑/장화/벨트/망토</t>
        </is>
      </c>
      <c r="D10" s="8" t="inlineStr">
        <is>
          <t>5피스: ATK×1.15 DEF×1.15 HP+300</t>
        </is>
      </c>
    </row>
    <row r="11">
      <c r="A11" s="9" t="inlineStr">
        <is>
          <t>태초 세트</t>
        </is>
      </c>
      <c r="B11" s="9" t="inlineStr">
        <is>
          <t>3피스</t>
        </is>
      </c>
      <c r="C11" s="9" t="inlineStr">
        <is>
          <t>태초의 검/갑옷/반지</t>
        </is>
      </c>
      <c r="D11" s="9" t="inlineStr">
        <is>
          <t>2피스: ATK+50 DEF+50 HP+500</t>
        </is>
      </c>
    </row>
    <row r="12">
      <c r="A12" s="8" t="inlineStr">
        <is>
          <t>태초 세트</t>
        </is>
      </c>
      <c r="B12" s="8" t="inlineStr">
        <is>
          <t>3피스</t>
        </is>
      </c>
      <c r="C12" s="8" t="inlineStr">
        <is>
          <t>태초의 검/갑옷/반지</t>
        </is>
      </c>
      <c r="D12" s="8" t="inlineStr">
        <is>
          <t>3피스: ATK×1.5 DEF×1.5 HP+2000 EXP+30%</t>
        </is>
      </c>
    </row>
  </sheetData>
  <mergeCells count="1">
    <mergeCell ref="A1:D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6" customWidth="1" min="1" max="1"/>
    <col width="8" customWidth="1" min="2" max="2"/>
    <col width="10" customWidth="1" min="3" max="3"/>
    <col width="10" customWidth="1" min="4" max="4"/>
    <col width="10" customWidth="1" min="5" max="5"/>
    <col width="10" customWidth="1" min="6" max="6"/>
    <col width="16" customWidth="1" min="7" max="7"/>
  </cols>
  <sheetData>
    <row r="1">
      <c r="A1" s="6" t="inlineStr">
        <is>
          <t>장비 등급 (5단계)</t>
        </is>
      </c>
    </row>
    <row r="3">
      <c r="A3" s="7" t="inlineStr">
        <is>
          <t>등급</t>
        </is>
      </c>
      <c r="B3" s="7" t="inlineStr">
        <is>
          <t>색상</t>
        </is>
      </c>
      <c r="C3" s="7" t="inlineStr">
        <is>
          <t>스탯배수</t>
        </is>
      </c>
      <c r="D3" s="7" t="inlineStr">
        <is>
          <t>최대강화</t>
        </is>
      </c>
      <c r="E3" s="7" t="inlineStr">
        <is>
          <t>랜덤옵션수</t>
        </is>
      </c>
      <c r="F3" s="7" t="inlineStr">
        <is>
          <t>요구레벨</t>
        </is>
      </c>
      <c r="G3" s="7" t="inlineStr">
        <is>
          <t>획득경로</t>
        </is>
      </c>
    </row>
    <row r="4">
      <c r="A4" s="8" t="inlineStr">
        <is>
          <t>일반 (normal)</t>
        </is>
      </c>
      <c r="B4" s="8" t="inlineStr">
        <is>
          <t>회색</t>
        </is>
      </c>
      <c r="C4" s="8" t="inlineStr">
        <is>
          <t>×1.0</t>
        </is>
      </c>
      <c r="D4" s="8" t="inlineStr">
        <is>
          <t>+5</t>
        </is>
      </c>
      <c r="E4" s="8" t="inlineStr">
        <is>
          <t>0</t>
        </is>
      </c>
      <c r="F4" s="8" t="inlineStr">
        <is>
          <t>Lv.1</t>
        </is>
      </c>
      <c r="G4" s="8" t="inlineStr">
        <is>
          <t>드롭/제작</t>
        </is>
      </c>
    </row>
    <row r="5">
      <c r="A5" s="9" t="inlineStr">
        <is>
          <t>고급 (uncommon)</t>
        </is>
      </c>
      <c r="B5" s="9" t="inlineStr">
        <is>
          <t>녹색</t>
        </is>
      </c>
      <c r="C5" s="9" t="inlineStr">
        <is>
          <t>×1.2</t>
        </is>
      </c>
      <c r="D5" s="9" t="inlineStr">
        <is>
          <t>+8</t>
        </is>
      </c>
      <c r="E5" s="9" t="inlineStr">
        <is>
          <t>1</t>
        </is>
      </c>
      <c r="F5" s="9" t="inlineStr">
        <is>
          <t>Lv.5</t>
        </is>
      </c>
      <c r="G5" s="9" t="inlineStr">
        <is>
          <t>드롭/제작</t>
        </is>
      </c>
    </row>
    <row r="6">
      <c r="A6" s="8" t="inlineStr">
        <is>
          <t>희귀 (rare)</t>
        </is>
      </c>
      <c r="B6" s="8" t="inlineStr">
        <is>
          <t>파랑</t>
        </is>
      </c>
      <c r="C6" s="8" t="inlineStr">
        <is>
          <t>×1.4</t>
        </is>
      </c>
      <c r="D6" s="8" t="inlineStr">
        <is>
          <t>+10</t>
        </is>
      </c>
      <c r="E6" s="8" t="inlineStr">
        <is>
          <t>2</t>
        </is>
      </c>
      <c r="F6" s="8" t="inlineStr">
        <is>
          <t>Lv.15</t>
        </is>
      </c>
      <c r="G6" s="8" t="inlineStr">
        <is>
          <t>드롭/제작</t>
        </is>
      </c>
    </row>
    <row r="7">
      <c r="A7" s="9" t="inlineStr">
        <is>
          <t>영웅 (epic)</t>
        </is>
      </c>
      <c r="B7" s="9" t="inlineStr">
        <is>
          <t>보라</t>
        </is>
      </c>
      <c r="C7" s="9" t="inlineStr">
        <is>
          <t>×1.7</t>
        </is>
      </c>
      <c r="D7" s="9" t="inlineStr">
        <is>
          <t>+12</t>
        </is>
      </c>
      <c r="E7" s="9" t="inlineStr">
        <is>
          <t>3</t>
        </is>
      </c>
      <c r="F7" s="9" t="inlineStr">
        <is>
          <t>Lv.25</t>
        </is>
      </c>
      <c r="G7" s="9" t="inlineStr">
        <is>
          <t>드롭전용</t>
        </is>
      </c>
    </row>
    <row r="8">
      <c r="A8" s="8" t="inlineStr">
        <is>
          <t>전설 (legendary)</t>
        </is>
      </c>
      <c r="B8" s="8" t="inlineStr">
        <is>
          <t>주황</t>
        </is>
      </c>
      <c r="C8" s="8" t="inlineStr">
        <is>
          <t>×2.2</t>
        </is>
      </c>
      <c r="D8" s="8" t="inlineStr">
        <is>
          <t>+15</t>
        </is>
      </c>
      <c r="E8" s="8" t="inlineStr">
        <is>
          <t>4</t>
        </is>
      </c>
      <c r="F8" s="8" t="inlineStr">
        <is>
          <t>Lv.35</t>
        </is>
      </c>
      <c r="G8" s="8" t="inlineStr">
        <is>
          <t>드롭전용 (귀속)</t>
        </is>
      </c>
    </row>
    <row r="11">
      <c r="A11" s="10" t="inlineStr">
        <is>
          <t>랜덤 옵션 (7종)</t>
        </is>
      </c>
    </row>
    <row r="12">
      <c r="A12" s="11" t="inlineStr">
        <is>
          <t>옵션명</t>
        </is>
      </c>
      <c r="B12" s="11" t="inlineStr">
        <is>
          <t>대상 스탯</t>
        </is>
      </c>
      <c r="C12" s="11" t="inlineStr">
        <is>
          <t>최소</t>
        </is>
      </c>
      <c r="D12" s="11" t="inlineStr">
        <is>
          <t>최대</t>
        </is>
      </c>
      <c r="E12" s="11" t="inlineStr">
        <is>
          <t>비고</t>
        </is>
      </c>
    </row>
    <row r="13">
      <c r="A13" s="3" t="inlineStr">
        <is>
          <t>크리티컬 +</t>
        </is>
      </c>
      <c r="B13" s="3" t="inlineStr">
        <is>
          <t>critRate</t>
        </is>
      </c>
      <c r="C13" s="3" t="inlineStr">
        <is>
          <t>2%</t>
        </is>
      </c>
      <c r="D13" s="3" t="inlineStr">
        <is>
          <t>8%</t>
        </is>
      </c>
      <c r="E13" s="3" t="inlineStr">
        <is>
          <t>크리티컬 확률</t>
        </is>
      </c>
    </row>
    <row r="14">
      <c r="A14" s="3" t="inlineStr">
        <is>
          <t>회피 +</t>
        </is>
      </c>
      <c r="B14" s="3" t="inlineStr">
        <is>
          <t>dodgeRate</t>
        </is>
      </c>
      <c r="C14" s="3" t="inlineStr">
        <is>
          <t>1%</t>
        </is>
      </c>
      <c r="D14" s="3" t="inlineStr">
        <is>
          <t>5%</t>
        </is>
      </c>
      <c r="E14" s="3" t="inlineStr">
        <is>
          <t>피격 회피</t>
        </is>
      </c>
    </row>
    <row r="15">
      <c r="A15" s="3" t="inlineStr">
        <is>
          <t>HP +</t>
        </is>
      </c>
      <c r="B15" s="3" t="inlineStr">
        <is>
          <t>bonusHp</t>
        </is>
      </c>
      <c r="C15" s="3" t="inlineStr">
        <is>
          <t>+20</t>
        </is>
      </c>
      <c r="D15" s="3" t="inlineStr">
        <is>
          <t>+100</t>
        </is>
      </c>
      <c r="E15" s="3" t="inlineStr">
        <is>
          <t>최대 HP</t>
        </is>
      </c>
    </row>
    <row r="16">
      <c r="A16" s="3" t="inlineStr">
        <is>
          <t>공격속도 +</t>
        </is>
      </c>
      <c r="B16" s="3" t="inlineStr">
        <is>
          <t>atkSpeed</t>
        </is>
      </c>
      <c r="C16" s="3" t="inlineStr">
        <is>
          <t>5%</t>
        </is>
      </c>
      <c r="D16" s="3" t="inlineStr">
        <is>
          <t>15%</t>
        </is>
      </c>
      <c r="E16" s="3" t="inlineStr">
        <is>
          <t>공격 쿨타임 감소</t>
        </is>
      </c>
    </row>
    <row r="17">
      <c r="A17" s="3" t="inlineStr">
        <is>
          <t>이동속도 +</t>
        </is>
      </c>
      <c r="B17" s="3" t="inlineStr">
        <is>
          <t>bonusSpd</t>
        </is>
      </c>
      <c r="C17" s="3" t="inlineStr">
        <is>
          <t>+1</t>
        </is>
      </c>
      <c r="D17" s="3" t="inlineStr">
        <is>
          <t>+5</t>
        </is>
      </c>
      <c r="E17" s="3" t="inlineStr">
        <is>
          <t>이동속도</t>
        </is>
      </c>
    </row>
    <row r="18">
      <c r="A18" s="3" t="inlineStr">
        <is>
          <t>경험치 +</t>
        </is>
      </c>
      <c r="B18" s="3" t="inlineStr">
        <is>
          <t>expBonus</t>
        </is>
      </c>
      <c r="C18" s="3" t="inlineStr">
        <is>
          <t>5%</t>
        </is>
      </c>
      <c r="D18" s="3" t="inlineStr">
        <is>
          <t>15%</t>
        </is>
      </c>
      <c r="E18" s="3" t="inlineStr">
        <is>
          <t>경험치 획득량</t>
        </is>
      </c>
    </row>
    <row r="19">
      <c r="A19" s="3" t="inlineStr">
        <is>
          <t>골드 +</t>
        </is>
      </c>
      <c r="B19" s="3" t="inlineStr">
        <is>
          <t>goldBonus</t>
        </is>
      </c>
      <c r="C19" s="3" t="inlineStr">
        <is>
          <t>5%</t>
        </is>
      </c>
      <c r="D19" s="3" t="inlineStr">
        <is>
          <t>10%</t>
        </is>
      </c>
      <c r="E19" s="3" t="inlineStr">
        <is>
          <t>골드 획득량</t>
        </is>
      </c>
    </row>
  </sheetData>
  <mergeCells count="1">
    <mergeCell ref="A1:G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2" customWidth="1" min="1" max="1"/>
    <col width="12" customWidth="1" min="2" max="2"/>
    <col width="16" customWidth="1" min="3" max="3"/>
    <col width="10" customWidth="1" min="4" max="4"/>
    <col width="28" customWidth="1" min="5" max="5"/>
  </cols>
  <sheetData>
    <row r="1">
      <c r="A1" s="6" t="inlineStr">
        <is>
          <t>디버프 (10종 — v1.7 신규 5종 포함)</t>
        </is>
      </c>
    </row>
    <row r="3">
      <c r="A3" s="7" t="inlineStr">
        <is>
          <t>이름</t>
        </is>
      </c>
      <c r="B3" s="7" t="inlineStr">
        <is>
          <t>ID</t>
        </is>
      </c>
      <c r="C3" s="7" t="inlineStr">
        <is>
          <t>효과</t>
        </is>
      </c>
      <c r="D3" s="7" t="inlineStr">
        <is>
          <t>지속</t>
        </is>
      </c>
      <c r="E3" s="7" t="inlineStr">
        <is>
          <t>출처</t>
        </is>
      </c>
    </row>
    <row r="4">
      <c r="A4" s="8" t="inlineStr">
        <is>
          <t>독</t>
        </is>
      </c>
      <c r="B4" s="8" t="inlineStr">
        <is>
          <t>poison</t>
        </is>
      </c>
      <c r="C4" s="8" t="inlineStr">
        <is>
          <t>HP -15/초</t>
        </is>
      </c>
      <c r="D4" s="8" t="inlineStr">
        <is>
          <t>5초</t>
        </is>
      </c>
      <c r="E4" s="8" t="inlineStr">
        <is>
          <t>슬라임/독 지역 — 기존</t>
        </is>
      </c>
    </row>
    <row r="5">
      <c r="A5" s="9" t="inlineStr">
        <is>
          <t>슬로우</t>
        </is>
      </c>
      <c r="B5" s="9" t="inlineStr">
        <is>
          <t>slow</t>
        </is>
      </c>
      <c r="C5" s="9" t="inlineStr">
        <is>
          <t>SPD ×0.5</t>
        </is>
      </c>
      <c r="D5" s="9" t="inlineStr">
        <is>
          <t>3초</t>
        </is>
      </c>
      <c r="E5" s="9" t="inlineStr">
        <is>
          <t>아이스 볼트 — 기존</t>
        </is>
      </c>
    </row>
    <row r="6">
      <c r="A6" s="8" t="inlineStr">
        <is>
          <t>스턴</t>
        </is>
      </c>
      <c r="B6" s="8" t="inlineStr">
        <is>
          <t>stun</t>
        </is>
      </c>
      <c r="C6" s="8" t="inlineStr">
        <is>
          <t>행동 불가</t>
        </is>
      </c>
      <c r="D6" s="8" t="inlineStr">
        <is>
          <t>1초</t>
        </is>
      </c>
      <c r="E6" s="8" t="inlineStr">
        <is>
          <t>방패 강타 — 기존</t>
        </is>
      </c>
    </row>
    <row r="7">
      <c r="A7" s="9" t="inlineStr">
        <is>
          <t>화상</t>
        </is>
      </c>
      <c r="B7" s="9" t="inlineStr">
        <is>
          <t>burn</t>
        </is>
      </c>
      <c r="C7" s="9" t="inlineStr">
        <is>
          <t>HP -25/초</t>
        </is>
      </c>
      <c r="D7" s="9" t="inlineStr">
        <is>
          <t>5초</t>
        </is>
      </c>
      <c r="E7" s="9" t="inlineStr">
        <is>
          <t>용암 지역 — 기존</t>
        </is>
      </c>
    </row>
    <row r="8">
      <c r="A8" s="8" t="inlineStr">
        <is>
          <t>저주</t>
        </is>
      </c>
      <c r="B8" s="8" t="inlineStr">
        <is>
          <t>curse</t>
        </is>
      </c>
      <c r="C8" s="8" t="inlineStr">
        <is>
          <t>회복 ×0.5</t>
        </is>
      </c>
      <c r="D8" s="8" t="inlineStr">
        <is>
          <t>10초</t>
        </is>
      </c>
      <c r="E8" s="8" t="inlineStr">
        <is>
          <t>언데드 — 기존</t>
        </is>
      </c>
    </row>
    <row r="9">
      <c r="A9" s="9" t="inlineStr">
        <is>
          <t>빙결</t>
        </is>
      </c>
      <c r="B9" s="9" t="inlineStr">
        <is>
          <t>freeze</t>
        </is>
      </c>
      <c r="C9" s="9" t="inlineStr">
        <is>
          <t>SPD ×0.2</t>
        </is>
      </c>
      <c r="D9" s="9" t="inlineStr">
        <is>
          <t>3초</t>
        </is>
      </c>
      <c r="E9" s="9" t="inlineStr">
        <is>
          <t>v1.7 신규 — 행동 제약</t>
        </is>
      </c>
    </row>
    <row r="10">
      <c r="A10" s="8" t="inlineStr">
        <is>
          <t>감전</t>
        </is>
      </c>
      <c r="B10" s="8" t="inlineStr">
        <is>
          <t>shock</t>
        </is>
      </c>
      <c r="C10" s="8" t="inlineStr">
        <is>
          <t>HP -30/초</t>
        </is>
      </c>
      <c r="D10" s="8" t="inlineStr">
        <is>
          <t>4초</t>
        </is>
      </c>
      <c r="E10" s="8" t="inlineStr">
        <is>
          <t>v1.7 신규 — 강력 DOT</t>
        </is>
      </c>
    </row>
    <row r="11">
      <c r="A11" s="9" t="inlineStr">
        <is>
          <t>출혈</t>
        </is>
      </c>
      <c r="B11" s="9" t="inlineStr">
        <is>
          <t>bleed</t>
        </is>
      </c>
      <c r="C11" s="9" t="inlineStr">
        <is>
          <t>HP -20/초</t>
        </is>
      </c>
      <c r="D11" s="9" t="inlineStr">
        <is>
          <t>8초</t>
        </is>
      </c>
      <c r="E11" s="9" t="inlineStr">
        <is>
          <t>v1.7 신규 — 장기 DOT</t>
        </is>
      </c>
    </row>
    <row r="12">
      <c r="A12" s="8" t="inlineStr">
        <is>
          <t>약화</t>
        </is>
      </c>
      <c r="B12" s="8" t="inlineStr">
        <is>
          <t>weak</t>
        </is>
      </c>
      <c r="C12" s="8" t="inlineStr">
        <is>
          <t>ATK ×0.7</t>
        </is>
      </c>
      <c r="D12" s="8" t="inlineStr">
        <is>
          <t>6초</t>
        </is>
      </c>
      <c r="E12" s="8" t="inlineStr">
        <is>
          <t>v1.7 신규 — 공격력 감소</t>
        </is>
      </c>
    </row>
    <row r="13">
      <c r="A13" s="9" t="inlineStr">
        <is>
          <t>공포</t>
        </is>
      </c>
      <c r="B13" s="9" t="inlineStr">
        <is>
          <t>fear</t>
        </is>
      </c>
      <c r="C13" s="9" t="inlineStr">
        <is>
          <t>SPD ×0.6</t>
        </is>
      </c>
      <c r="D13" s="9" t="inlineStr">
        <is>
          <t>4초</t>
        </is>
      </c>
      <c r="E13" s="9" t="inlineStr">
        <is>
          <t>v1.7 신규 — 도주 효과</t>
        </is>
      </c>
    </row>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6" customWidth="1" min="1" max="1"/>
    <col width="18" customWidth="1" min="2" max="2"/>
    <col width="22" customWidth="1" min="3" max="3"/>
    <col width="8" customWidth="1" min="4" max="4"/>
    <col width="10" customWidth="1" min="5" max="5"/>
    <col width="10" customWidth="1" min="6" max="6"/>
    <col width="30" customWidth="1" min="7" max="7"/>
    <col width="18" customWidth="1" min="8" max="8"/>
    <col width="30" customWidth="1" min="9" max="9"/>
  </cols>
  <sheetData>
    <row r="1">
      <c r="A1" s="6" t="inlineStr">
        <is>
          <t>던전 (7종 — v1.10 그림자 미궁 신규)</t>
        </is>
      </c>
    </row>
    <row r="3">
      <c r="A3" s="7" t="inlineStr">
        <is>
          <t>ID</t>
        </is>
      </c>
      <c r="B3" s="7" t="inlineStr">
        <is>
          <t>던전명</t>
        </is>
      </c>
      <c r="C3" s="7" t="inlineStr">
        <is>
          <t>지역</t>
        </is>
      </c>
      <c r="D3" s="7" t="inlineStr">
        <is>
          <t>최소Lv</t>
        </is>
      </c>
      <c r="E3" s="7" t="inlineStr">
        <is>
          <t>최대파티</t>
        </is>
      </c>
      <c r="F3" s="7" t="inlineStr">
        <is>
          <t>스테이지</t>
        </is>
      </c>
      <c r="G3" s="7" t="inlineStr">
        <is>
          <t>구성</t>
        </is>
      </c>
      <c r="H3" s="7" t="inlineStr">
        <is>
          <t>보상</t>
        </is>
      </c>
      <c r="I3" s="7" t="inlineStr">
        <is>
          <t>드롭</t>
        </is>
      </c>
    </row>
    <row r="4">
      <c r="A4" s="8" t="inlineStr">
        <is>
          <t>cave_dungeon</t>
        </is>
      </c>
      <c r="B4" s="8" t="inlineStr">
        <is>
          <t>어둠의 동굴</t>
        </is>
      </c>
      <c r="C4" s="8" t="inlineStr">
        <is>
          <t>수정 동굴(cave)</t>
        </is>
      </c>
      <c r="D4" s="8" t="n">
        <v>15</v>
      </c>
      <c r="E4" s="8" t="n">
        <v>5</v>
      </c>
      <c r="F4" s="8" t="n">
        <v>3</v>
      </c>
      <c r="G4" s="8" t="inlineStr">
        <is>
          <t>엘리트→엘리트→보스</t>
        </is>
      </c>
      <c r="H4" s="8" t="inlineStr">
        <is>
          <t>2,000G + 3,000EXP</t>
        </is>
      </c>
      <c r="I4" s="8" t="inlineStr">
        <is>
          <t>미스릴 검/갑옷</t>
        </is>
      </c>
    </row>
    <row r="5">
      <c r="A5" s="9" t="inlineStr">
        <is>
          <t>ruins_dungeon</t>
        </is>
      </c>
      <c r="B5" s="9" t="inlineStr">
        <is>
          <t>지하 감옥</t>
        </is>
      </c>
      <c r="C5" s="9" t="inlineStr">
        <is>
          <t>달그림자 유적(ruins)</t>
        </is>
      </c>
      <c r="D5" s="9" t="n">
        <v>20</v>
      </c>
      <c r="E5" s="9" t="n">
        <v>5</v>
      </c>
      <c r="F5" s="9" t="n">
        <v>5</v>
      </c>
      <c r="G5" s="9" t="inlineStr">
        <is>
          <t>엘리트→레어→엘리트→레어→보스×2</t>
        </is>
      </c>
      <c r="H5" s="9" t="inlineStr">
        <is>
          <t>5,000G + 8,000EXP</t>
        </is>
      </c>
      <c r="I5" s="9" t="inlineStr">
        <is>
          <t>영웅 검/갑옷/반지</t>
        </is>
      </c>
    </row>
    <row r="6">
      <c r="A6" s="8" t="inlineStr">
        <is>
          <t>frozen_temple</t>
        </is>
      </c>
      <c r="B6" s="8" t="inlineStr">
        <is>
          <t>얼어붙은 신전</t>
        </is>
      </c>
      <c r="C6" s="8" t="inlineStr">
        <is>
          <t>얼음 협곡(glacier)</t>
        </is>
      </c>
      <c r="D6" s="8" t="n">
        <v>18</v>
      </c>
      <c r="E6" s="8" t="n">
        <v>5</v>
      </c>
      <c r="F6" s="8" t="n">
        <v>4</v>
      </c>
      <c r="G6" s="8" t="inlineStr">
        <is>
          <t>노말→엘리트→레어→보스</t>
        </is>
      </c>
      <c r="H6" s="8" t="inlineStr">
        <is>
          <t>4,000G + 6,000EXP</t>
        </is>
      </c>
      <c r="I6" s="8" t="inlineStr">
        <is>
          <t>미스릴 투구/장갑/장화</t>
        </is>
      </c>
    </row>
    <row r="7">
      <c r="A7" s="9" t="inlineStr">
        <is>
          <t>holy_sanctuary</t>
        </is>
      </c>
      <c r="B7" s="9" t="inlineStr">
        <is>
          <t>신성한 성역</t>
        </is>
      </c>
      <c r="C7" s="9" t="inlineStr">
        <is>
          <t>천공의 정상(celestial)</t>
        </is>
      </c>
      <c r="D7" s="9" t="n">
        <v>30</v>
      </c>
      <c r="E7" s="9" t="n">
        <v>5</v>
      </c>
      <c r="F7" s="9" t="n">
        <v>5</v>
      </c>
      <c r="G7" s="9" t="inlineStr">
        <is>
          <t>엘리트→레어→보스→레어→전설</t>
        </is>
      </c>
      <c r="H7" s="9" t="inlineStr">
        <is>
          <t>12,000G + 18,000EXP</t>
        </is>
      </c>
      <c r="I7" s="9" t="inlineStr">
        <is>
          <t>영웅 검/망토/벨트</t>
        </is>
      </c>
    </row>
    <row r="8">
      <c r="A8" s="8" t="inlineStr">
        <is>
          <t>dragon_raid</t>
        </is>
      </c>
      <c r="B8" s="8" t="inlineStr">
        <is>
          <t>드래곤 둥지 레이드</t>
        </is>
      </c>
      <c r="C8" s="8" t="inlineStr">
        <is>
          <t>용의 요람(dragon)</t>
        </is>
      </c>
      <c r="D8" s="8" t="n">
        <v>25</v>
      </c>
      <c r="E8" s="8" t="n">
        <v>25</v>
      </c>
      <c r="F8" s="8" t="n">
        <v>3</v>
      </c>
      <c r="G8" s="8" t="inlineStr">
        <is>
          <t>레어×10→보스×3→보스</t>
        </is>
      </c>
      <c r="H8" s="8" t="inlineStr">
        <is>
          <t>15,000G + 20,000EXP</t>
        </is>
      </c>
      <c r="I8" s="8" t="inlineStr">
        <is>
          <t>드래곤 검/갑옷</t>
        </is>
      </c>
    </row>
    <row r="9">
      <c r="A9" s="9" t="inlineStr">
        <is>
          <t>void_abyss</t>
        </is>
      </c>
      <c r="B9" s="9" t="inlineStr">
        <is>
          <t>공허의 심연</t>
        </is>
      </c>
      <c r="C9" s="9" t="inlineStr">
        <is>
          <t>공허의 균열(void_rift)</t>
        </is>
      </c>
      <c r="D9" s="9" t="n">
        <v>35</v>
      </c>
      <c r="E9" s="9" t="n">
        <v>10</v>
      </c>
      <c r="F9" s="9" t="n">
        <v>6</v>
      </c>
      <c r="G9" s="9" t="inlineStr">
        <is>
          <t>레어→보스→레어→보스→전설→보스</t>
        </is>
      </c>
      <c r="H9" s="9" t="inlineStr">
        <is>
          <t>30,000G + 50,000EXP</t>
        </is>
      </c>
      <c r="I9" s="9" t="inlineStr">
        <is>
          <t>태초 검/갑옷/반지 + 용재료</t>
        </is>
      </c>
    </row>
    <row r="10">
      <c r="A10" s="8" t="inlineStr">
        <is>
          <t>shadow_labyrinth</t>
        </is>
      </c>
      <c r="B10" s="8" t="inlineStr">
        <is>
          <t>그림자 미궁</t>
        </is>
      </c>
      <c r="C10" s="8" t="inlineStr">
        <is>
          <t>그림자 영역(shadow)</t>
        </is>
      </c>
      <c r="D10" s="8" t="n">
        <v>38</v>
      </c>
      <c r="E10" s="8" t="n">
        <v>8</v>
      </c>
      <c r="F10" s="8" t="n">
        <v>7</v>
      </c>
      <c r="G10" s="8" t="inlineStr">
        <is>
          <t>레어→엘리트→레어→보스→레어→보스→전설</t>
        </is>
      </c>
      <c r="H10" s="8" t="inlineStr">
        <is>
          <t>22,000G + 32,000EXP</t>
        </is>
      </c>
      <c r="I10" s="8" t="inlineStr">
        <is>
          <t>드래곤 검/망토/투구/장갑 (v1.10 신규)</t>
        </is>
      </c>
    </row>
  </sheetData>
  <mergeCells count="1">
    <mergeCell ref="A1:I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6" customWidth="1" min="1" max="1"/>
    <col width="14" customWidth="1" min="2" max="2"/>
    <col width="12" customWidth="1" min="3" max="3"/>
    <col width="12" customWidth="1" min="4" max="4"/>
    <col width="30" customWidth="1" min="5" max="5"/>
    <col width="12" customWidth="1" min="6" max="6"/>
  </cols>
  <sheetData>
    <row r="1">
      <c r="A1" s="6" t="inlineStr">
        <is>
          <t>작물 (7종 — v1.36 신규 모듈 game/farm.js)</t>
        </is>
      </c>
    </row>
    <row r="3">
      <c r="A3" s="7" t="inlineStr">
        <is>
          <t>ID</t>
        </is>
      </c>
      <c r="B3" s="7" t="inlineStr">
        <is>
          <t>이름</t>
        </is>
      </c>
      <c r="C3" s="7" t="inlineStr">
        <is>
          <t>성장 시간</t>
        </is>
      </c>
      <c r="D3" s="7" t="inlineStr">
        <is>
          <t>씨앗 가격</t>
        </is>
      </c>
      <c r="E3" s="7" t="inlineStr">
        <is>
          <t>수확 보상</t>
        </is>
      </c>
      <c r="F3" s="7" t="inlineStr">
        <is>
          <t>등급</t>
        </is>
      </c>
    </row>
    <row r="4">
      <c r="A4" s="8" t="inlineStr">
        <is>
          <t>herb</t>
        </is>
      </c>
      <c r="B4" s="8" t="inlineStr">
        <is>
          <t>약초</t>
        </is>
      </c>
      <c r="C4" s="8" t="inlineStr">
        <is>
          <t>5분</t>
        </is>
      </c>
      <c r="D4" s="8" t="inlineStr">
        <is>
          <t>30G</t>
        </is>
      </c>
      <c r="E4" s="8" t="inlineStr">
        <is>
          <t>약초 ×3 + 20EXP</t>
        </is>
      </c>
      <c r="F4" s="8" t="inlineStr">
        <is>
          <t>초보용 / 빠른 수확</t>
        </is>
      </c>
    </row>
    <row r="5">
      <c r="A5" s="9" t="inlineStr">
        <is>
          <t>carrot</t>
        </is>
      </c>
      <c r="B5" s="9" t="inlineStr">
        <is>
          <t>당근</t>
        </is>
      </c>
      <c r="C5" s="9" t="inlineStr">
        <is>
          <t>10분</t>
        </is>
      </c>
      <c r="D5" s="9" t="inlineStr">
        <is>
          <t>60G</t>
        </is>
      </c>
      <c r="E5" s="9" t="inlineStr">
        <is>
          <t>약초 ×2 + 50G + 40EXP</t>
        </is>
      </c>
      <c r="F5" s="9" t="inlineStr">
        <is>
          <t>초보용</t>
        </is>
      </c>
    </row>
    <row r="6">
      <c r="A6" s="8" t="inlineStr">
        <is>
          <t>wheat</t>
        </is>
      </c>
      <c r="B6" s="8" t="inlineStr">
        <is>
          <t>밀</t>
        </is>
      </c>
      <c r="C6" s="8" t="inlineStr">
        <is>
          <t>15분</t>
        </is>
      </c>
      <c r="D6" s="8" t="inlineStr">
        <is>
          <t>100G</t>
        </is>
      </c>
      <c r="E6" s="8" t="inlineStr">
        <is>
          <t>물약 원료 ×1 + 100G + 60EXP</t>
        </is>
      </c>
      <c r="F6" s="8" t="inlineStr">
        <is>
          <t>중급</t>
        </is>
      </c>
    </row>
    <row r="7">
      <c r="A7" s="9" t="inlineStr">
        <is>
          <t>pumpkin</t>
        </is>
      </c>
      <c r="B7" s="9" t="inlineStr">
        <is>
          <t>호박</t>
        </is>
      </c>
      <c r="C7" s="9" t="inlineStr">
        <is>
          <t>30분</t>
        </is>
      </c>
      <c r="D7" s="9" t="inlineStr">
        <is>
          <t>200G</t>
        </is>
      </c>
      <c r="E7" s="9" t="inlineStr">
        <is>
          <t>향신료 ×1 + 250G + 120EXP</t>
        </is>
      </c>
      <c r="F7" s="9" t="inlineStr">
        <is>
          <t>중급</t>
        </is>
      </c>
    </row>
    <row r="8">
      <c r="A8" s="8" t="inlineStr">
        <is>
          <t>golden_apple</t>
        </is>
      </c>
      <c r="B8" s="8" t="inlineStr">
        <is>
          <t>황금 사과</t>
        </is>
      </c>
      <c r="C8" s="8" t="inlineStr">
        <is>
          <t>1시간</t>
        </is>
      </c>
      <c r="D8" s="8" t="inlineStr">
        <is>
          <t>500G</t>
        </is>
      </c>
      <c r="E8" s="8" t="inlineStr">
        <is>
          <t>보석 ×1 + 마법재료 ×2 + 600G</t>
        </is>
      </c>
      <c r="F8" s="8" t="inlineStr">
        <is>
          <t>고급</t>
        </is>
      </c>
    </row>
    <row r="9">
      <c r="A9" s="9" t="inlineStr">
        <is>
          <t>moonflower</t>
        </is>
      </c>
      <c r="B9" s="9" t="inlineStr">
        <is>
          <t>달꽃</t>
        </is>
      </c>
      <c r="C9" s="9" t="inlineStr">
        <is>
          <t>2시간</t>
        </is>
      </c>
      <c r="D9" s="9" t="inlineStr">
        <is>
          <t>30💎</t>
        </is>
      </c>
      <c r="E9" s="9" t="inlineStr">
        <is>
          <t>마법재료 ×5 + 영혼석 ×1 + 1500G</t>
        </is>
      </c>
      <c r="F9" s="9" t="inlineStr">
        <is>
          <t>희귀</t>
        </is>
      </c>
    </row>
    <row r="10">
      <c r="A10" s="8" t="inlineStr">
        <is>
          <t>dragon_fruit</t>
        </is>
      </c>
      <c r="B10" s="8" t="inlineStr">
        <is>
          <t>용 과일</t>
        </is>
      </c>
      <c r="C10" s="8" t="inlineStr">
        <is>
          <t>4시간</t>
        </is>
      </c>
      <c r="D10" s="8" t="inlineStr">
        <is>
          <t>80💎</t>
        </is>
      </c>
      <c r="E10" s="8" t="inlineStr">
        <is>
          <t>용재료 ×1 + 영혼석 ×3 + 3000G</t>
        </is>
      </c>
      <c r="F10" s="8" t="inlineStr">
        <is>
          <t>전설</t>
        </is>
      </c>
    </row>
    <row r="13">
      <c r="A13" s="10" t="inlineStr">
        <is>
          <t>농장 시스템</t>
        </is>
      </c>
    </row>
    <row r="14">
      <c r="A14" s="3" t="inlineStr">
        <is>
          <t>기본 슬롯</t>
        </is>
      </c>
      <c r="B14" s="3" t="inlineStr">
        <is>
          <t>4개</t>
        </is>
      </c>
    </row>
    <row r="15">
      <c r="A15" s="3" t="inlineStr">
        <is>
          <t>최대 슬롯</t>
        </is>
      </c>
      <c r="B15" s="3" t="inlineStr">
        <is>
          <t>12개 (다이아 확장)</t>
        </is>
      </c>
    </row>
    <row r="16">
      <c r="A16" s="3" t="inlineStr">
        <is>
          <t>슬롯 확장</t>
        </is>
      </c>
      <c r="B16" s="3" t="inlineStr">
        <is>
          <t>50💎 / 슬롯</t>
        </is>
      </c>
    </row>
    <row r="17">
      <c r="A17" s="3" t="inlineStr">
        <is>
          <t>비료</t>
        </is>
      </c>
      <c r="B17" s="3" t="inlineStr">
        <is>
          <t>20💎로 50% 시간 단축 (슬롯당 1회)</t>
        </is>
      </c>
    </row>
    <row r="18">
      <c r="A18" s="3" t="inlineStr">
        <is>
          <t>AFK 진행</t>
        </is>
      </c>
      <c r="B18" s="3" t="inlineStr">
        <is>
          <t>오프라인 시간도 카운트 (Date.now() 기반)</t>
        </is>
      </c>
    </row>
    <row r="19">
      <c r="A19" s="3" t="inlineStr">
        <is>
          <t>모듈</t>
        </is>
      </c>
      <c r="B19" s="3" t="inlineStr">
        <is>
          <t>game/farm.js (신규 파일)</t>
        </is>
      </c>
    </row>
    <row r="20">
      <c r="A20" s="3" t="inlineStr">
        <is>
          <t>통합</t>
        </is>
      </c>
      <c r="B20" s="3" t="inlineStr">
        <is>
          <t>farm_status / plant / harvest / fertilize / expand</t>
        </is>
      </c>
    </row>
  </sheetData>
  <mergeCells count="1">
    <mergeCell ref="A1:F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0" customWidth="1" min="1" max="1"/>
    <col width="8" customWidth="1" min="2" max="2"/>
    <col width="18" customWidth="1" min="3" max="3"/>
    <col width="16" customWidth="1" min="4" max="4"/>
    <col width="10" customWidth="1" min="5" max="5"/>
    <col width="28" customWidth="1" min="6" max="6"/>
    <col width="12" customWidth="1" min="7" max="7"/>
  </cols>
  <sheetData>
    <row r="1">
      <c r="A1" s="6" t="inlineStr">
        <is>
          <t>특성 트리 (3브랜치 × 7노드 = 21노드 — v1.35 신규 모듈 game/skill_tree.js)</t>
        </is>
      </c>
    </row>
    <row r="3">
      <c r="A3" s="7" t="inlineStr">
        <is>
          <t>브랜치</t>
        </is>
      </c>
      <c r="B3" s="7" t="inlineStr">
        <is>
          <t>아이콘</t>
        </is>
      </c>
      <c r="C3" s="7" t="inlineStr">
        <is>
          <t>노드명</t>
        </is>
      </c>
      <c r="D3" s="7" t="inlineStr">
        <is>
          <t>ID</t>
        </is>
      </c>
      <c r="E3" s="7" t="inlineStr">
        <is>
          <t>최대 랭크</t>
        </is>
      </c>
      <c r="F3" s="7" t="inlineStr">
        <is>
          <t>효과</t>
        </is>
      </c>
      <c r="G3" s="7" t="inlineStr">
        <is>
          <t>요구 포인트</t>
        </is>
      </c>
    </row>
    <row r="4">
      <c r="A4" s="8" t="inlineStr">
        <is>
          <t>offense</t>
        </is>
      </c>
      <c r="B4" s="8" t="inlineStr">
        <is>
          <t>⚔️</t>
        </is>
      </c>
      <c r="C4" s="8" t="inlineStr">
        <is>
          <t>공격력 단련</t>
        </is>
      </c>
      <c r="D4" s="8" t="inlineStr">
        <is>
          <t>off_atk</t>
        </is>
      </c>
      <c r="E4" s="8" t="n">
        <v>5</v>
      </c>
      <c r="F4" s="8" t="inlineStr">
        <is>
          <t>ATK +3 / 랭크</t>
        </is>
      </c>
      <c r="G4" s="8" t="n">
        <v>0</v>
      </c>
    </row>
    <row r="5">
      <c r="A5" s="9" t="inlineStr">
        <is>
          <t>offense</t>
        </is>
      </c>
      <c r="B5" s="9" t="inlineStr">
        <is>
          <t>⚔️</t>
        </is>
      </c>
      <c r="C5" s="9" t="inlineStr">
        <is>
          <t>크리티컬</t>
        </is>
      </c>
      <c r="D5" s="9" t="inlineStr">
        <is>
          <t>off_crit</t>
        </is>
      </c>
      <c r="E5" s="9" t="n">
        <v>5</v>
      </c>
      <c r="F5" s="9" t="inlineStr">
        <is>
          <t>크리율 +2% / 랭크</t>
        </is>
      </c>
      <c r="G5" s="9" t="n">
        <v>0</v>
      </c>
    </row>
    <row r="6">
      <c r="A6" s="8" t="inlineStr">
        <is>
          <t>offense</t>
        </is>
      </c>
      <c r="B6" s="8" t="inlineStr">
        <is>
          <t>⚔️</t>
        </is>
      </c>
      <c r="C6" s="8" t="inlineStr">
        <is>
          <t>공격 속도</t>
        </is>
      </c>
      <c r="D6" s="8" t="inlineStr">
        <is>
          <t>off_speed</t>
        </is>
      </c>
      <c r="E6" s="8" t="n">
        <v>3</v>
      </c>
      <c r="F6" s="8" t="inlineStr">
        <is>
          <t>공속 +5% / 랭크</t>
        </is>
      </c>
      <c r="G6" s="8" t="n">
        <v>5</v>
      </c>
    </row>
    <row r="7">
      <c r="A7" s="9" t="inlineStr">
        <is>
          <t>offense</t>
        </is>
      </c>
      <c r="B7" s="9" t="inlineStr">
        <is>
          <t>⚔️</t>
        </is>
      </c>
      <c r="C7" s="9" t="inlineStr">
        <is>
          <t>관통</t>
        </is>
      </c>
      <c r="D7" s="9" t="inlineStr">
        <is>
          <t>off_pierce</t>
        </is>
      </c>
      <c r="E7" s="9" t="n">
        <v>3</v>
      </c>
      <c r="F7" s="9" t="inlineStr">
        <is>
          <t>관통 +4% / 랭크</t>
        </is>
      </c>
      <c r="G7" s="9" t="n">
        <v>10</v>
      </c>
    </row>
    <row r="8">
      <c r="A8" s="8" t="inlineStr">
        <is>
          <t>offense</t>
        </is>
      </c>
      <c r="B8" s="8" t="inlineStr">
        <is>
          <t>⚔️</t>
        </is>
      </c>
      <c r="C8" s="8" t="inlineStr">
        <is>
          <t>폭발 일격</t>
        </is>
      </c>
      <c r="D8" s="8" t="inlineStr">
        <is>
          <t>off_burst</t>
        </is>
      </c>
      <c r="E8" s="8" t="n">
        <v>3</v>
      </c>
      <c r="F8" s="8" t="inlineStr">
        <is>
          <t>크리DMG +10% / 랭크</t>
        </is>
      </c>
      <c r="G8" s="8" t="n">
        <v>15</v>
      </c>
    </row>
    <row r="9">
      <c r="A9" s="9" t="inlineStr">
        <is>
          <t>offense</t>
        </is>
      </c>
      <c r="B9" s="9" t="inlineStr">
        <is>
          <t>⚔️</t>
        </is>
      </c>
      <c r="C9" s="9" t="inlineStr">
        <is>
          <t>마무리 일격</t>
        </is>
      </c>
      <c r="D9" s="9" t="inlineStr">
        <is>
          <t>off_execute</t>
        </is>
      </c>
      <c r="E9" s="9" t="n">
        <v>1</v>
      </c>
      <c r="F9" s="9" t="inlineStr">
        <is>
          <t>처형 보너스 +15%</t>
        </is>
      </c>
      <c r="G9" s="9" t="n">
        <v>20</v>
      </c>
    </row>
    <row r="10">
      <c r="A10" s="8" t="inlineStr">
        <is>
          <t>offense</t>
        </is>
      </c>
      <c r="B10" s="8" t="inlineStr">
        <is>
          <t>⚔️</t>
        </is>
      </c>
      <c r="C10" s="8" t="inlineStr">
        <is>
          <t>전쟁의 화신</t>
        </is>
      </c>
      <c r="D10" s="8" t="inlineStr">
        <is>
          <t>off_master</t>
        </is>
      </c>
      <c r="E10" s="8" t="n">
        <v>1</v>
      </c>
      <c r="F10" s="8" t="inlineStr">
        <is>
          <t>ATK +30 / 크리 +5%</t>
        </is>
      </c>
      <c r="G10" s="8" t="n">
        <v>25</v>
      </c>
    </row>
    <row r="11">
      <c r="A11" s="9" t="inlineStr">
        <is>
          <t>defense</t>
        </is>
      </c>
      <c r="B11" s="9" t="inlineStr">
        <is>
          <t>🛡️</t>
        </is>
      </c>
      <c r="C11" s="9" t="inlineStr">
        <is>
          <t>방어력 단련</t>
        </is>
      </c>
      <c r="D11" s="9" t="inlineStr">
        <is>
          <t>def_def</t>
        </is>
      </c>
      <c r="E11" s="9" t="n">
        <v>5</v>
      </c>
      <c r="F11" s="9" t="inlineStr">
        <is>
          <t>DEF +3 / 랭크</t>
        </is>
      </c>
      <c r="G11" s="9" t="n">
        <v>0</v>
      </c>
    </row>
    <row r="12">
      <c r="A12" s="8" t="inlineStr">
        <is>
          <t>defense</t>
        </is>
      </c>
      <c r="B12" s="8" t="inlineStr">
        <is>
          <t>🛡️</t>
        </is>
      </c>
      <c r="C12" s="8" t="inlineStr">
        <is>
          <t>체력 단련</t>
        </is>
      </c>
      <c r="D12" s="8" t="inlineStr">
        <is>
          <t>def_hp</t>
        </is>
      </c>
      <c r="E12" s="8" t="n">
        <v>5</v>
      </c>
      <c r="F12" s="8" t="inlineStr">
        <is>
          <t>HP +30 / 랭크</t>
        </is>
      </c>
      <c r="G12" s="8" t="n">
        <v>0</v>
      </c>
    </row>
    <row r="13">
      <c r="A13" s="9" t="inlineStr">
        <is>
          <t>defense</t>
        </is>
      </c>
      <c r="B13" s="9" t="inlineStr">
        <is>
          <t>🛡️</t>
        </is>
      </c>
      <c r="C13" s="9" t="inlineStr">
        <is>
          <t>회피</t>
        </is>
      </c>
      <c r="D13" s="9" t="inlineStr">
        <is>
          <t>def_dodge</t>
        </is>
      </c>
      <c r="E13" s="9" t="n">
        <v>3</v>
      </c>
      <c r="F13" s="9" t="inlineStr">
        <is>
          <t>회피 +2% / 랭크</t>
        </is>
      </c>
      <c r="G13" s="9" t="n">
        <v>5</v>
      </c>
    </row>
    <row r="14">
      <c r="A14" s="8" t="inlineStr">
        <is>
          <t>defense</t>
        </is>
      </c>
      <c r="B14" s="8" t="inlineStr">
        <is>
          <t>🛡️</t>
        </is>
      </c>
      <c r="C14" s="8" t="inlineStr">
        <is>
          <t>재생</t>
        </is>
      </c>
      <c r="D14" s="8" t="inlineStr">
        <is>
          <t>def_regen</t>
        </is>
      </c>
      <c r="E14" s="8" t="n">
        <v>3</v>
      </c>
      <c r="F14" s="8" t="inlineStr">
        <is>
          <t>HP재생 +10% / 랭크</t>
        </is>
      </c>
      <c r="G14" s="8" t="n">
        <v>10</v>
      </c>
    </row>
    <row r="15">
      <c r="A15" s="9" t="inlineStr">
        <is>
          <t>defense</t>
        </is>
      </c>
      <c r="B15" s="9" t="inlineStr">
        <is>
          <t>🛡️</t>
        </is>
      </c>
      <c r="C15" s="9" t="inlineStr">
        <is>
          <t>피해 감소</t>
        </is>
      </c>
      <c r="D15" s="9" t="inlineStr">
        <is>
          <t>def_block</t>
        </is>
      </c>
      <c r="E15" s="9" t="n">
        <v>3</v>
      </c>
      <c r="F15" s="9" t="inlineStr">
        <is>
          <t>피해 -3% / 랭크</t>
        </is>
      </c>
      <c r="G15" s="9" t="n">
        <v>15</v>
      </c>
    </row>
    <row r="16">
      <c r="A16" s="8" t="inlineStr">
        <is>
          <t>defense</t>
        </is>
      </c>
      <c r="B16" s="8" t="inlineStr">
        <is>
          <t>🛡️</t>
        </is>
      </c>
      <c r="C16" s="8" t="inlineStr">
        <is>
          <t>불굴</t>
        </is>
      </c>
      <c r="D16" s="8" t="inlineStr">
        <is>
          <t>def_revive</t>
        </is>
      </c>
      <c r="E16" s="8" t="n">
        <v>1</v>
      </c>
      <c r="F16" s="8" t="inlineStr">
        <is>
          <t>부활 확률 +10%</t>
        </is>
      </c>
      <c r="G16" s="8" t="n">
        <v>20</v>
      </c>
    </row>
    <row r="17">
      <c r="A17" s="9" t="inlineStr">
        <is>
          <t>defense</t>
        </is>
      </c>
      <c r="B17" s="9" t="inlineStr">
        <is>
          <t>🛡️</t>
        </is>
      </c>
      <c r="C17" s="9" t="inlineStr">
        <is>
          <t>불멸의 의지</t>
        </is>
      </c>
      <c r="D17" s="9" t="inlineStr">
        <is>
          <t>def_master</t>
        </is>
      </c>
      <c r="E17" s="9" t="n">
        <v>1</v>
      </c>
      <c r="F17" s="9" t="inlineStr">
        <is>
          <t>DEF +30 / HP +300</t>
        </is>
      </c>
      <c r="G17" s="9" t="n">
        <v>25</v>
      </c>
    </row>
    <row r="18">
      <c r="A18" s="8" t="inlineStr">
        <is>
          <t>utility</t>
        </is>
      </c>
      <c r="B18" s="8" t="inlineStr">
        <is>
          <t>✨</t>
        </is>
      </c>
      <c r="C18" s="8" t="inlineStr">
        <is>
          <t>경험치 보너스</t>
        </is>
      </c>
      <c r="D18" s="8" t="inlineStr">
        <is>
          <t>util_exp</t>
        </is>
      </c>
      <c r="E18" s="8" t="n">
        <v>5</v>
      </c>
      <c r="F18" s="8" t="inlineStr">
        <is>
          <t>EXP +3% / 랭크</t>
        </is>
      </c>
      <c r="G18" s="8" t="n">
        <v>0</v>
      </c>
    </row>
    <row r="19">
      <c r="A19" s="9" t="inlineStr">
        <is>
          <t>utility</t>
        </is>
      </c>
      <c r="B19" s="9" t="inlineStr">
        <is>
          <t>✨</t>
        </is>
      </c>
      <c r="C19" s="9" t="inlineStr">
        <is>
          <t>골드 보너스</t>
        </is>
      </c>
      <c r="D19" s="9" t="inlineStr">
        <is>
          <t>util_gold</t>
        </is>
      </c>
      <c r="E19" s="9" t="n">
        <v>5</v>
      </c>
      <c r="F19" s="9" t="inlineStr">
        <is>
          <t>GOLD +3% / 랭크</t>
        </is>
      </c>
      <c r="G19" s="9" t="n">
        <v>0</v>
      </c>
    </row>
    <row r="20">
      <c r="A20" s="8" t="inlineStr">
        <is>
          <t>utility</t>
        </is>
      </c>
      <c r="B20" s="8" t="inlineStr">
        <is>
          <t>✨</t>
        </is>
      </c>
      <c r="C20" s="8" t="inlineStr">
        <is>
          <t>드롭률</t>
        </is>
      </c>
      <c r="D20" s="8" t="inlineStr">
        <is>
          <t>util_drop</t>
        </is>
      </c>
      <c r="E20" s="8" t="n">
        <v>3</v>
      </c>
      <c r="F20" s="8" t="inlineStr">
        <is>
          <t>드롭 +3% / 랭크</t>
        </is>
      </c>
      <c r="G20" s="8" t="n">
        <v>5</v>
      </c>
    </row>
    <row r="21">
      <c r="A21" s="9" t="inlineStr">
        <is>
          <t>utility</t>
        </is>
      </c>
      <c r="B21" s="9" t="inlineStr">
        <is>
          <t>✨</t>
        </is>
      </c>
      <c r="C21" s="9" t="inlineStr">
        <is>
          <t>이동 속도</t>
        </is>
      </c>
      <c r="D21" s="9" t="inlineStr">
        <is>
          <t>util_speed</t>
        </is>
      </c>
      <c r="E21" s="9" t="n">
        <v>3</v>
      </c>
      <c r="F21" s="9" t="inlineStr">
        <is>
          <t>SPD +1 / 랭크</t>
        </is>
      </c>
      <c r="G21" s="9" t="n">
        <v>10</v>
      </c>
    </row>
    <row r="22">
      <c r="A22" s="8" t="inlineStr">
        <is>
          <t>utility</t>
        </is>
      </c>
      <c r="B22" s="8" t="inlineStr">
        <is>
          <t>✨</t>
        </is>
      </c>
      <c r="C22" s="8" t="inlineStr">
        <is>
          <t>행운</t>
        </is>
      </c>
      <c r="D22" s="8" t="inlineStr">
        <is>
          <t>util_lucky</t>
        </is>
      </c>
      <c r="E22" s="8" t="n">
        <v>3</v>
      </c>
      <c r="F22" s="8" t="inlineStr">
        <is>
          <t>행운 확률 +2% / 랭크</t>
        </is>
      </c>
      <c r="G22" s="8" t="n">
        <v>15</v>
      </c>
    </row>
    <row r="23">
      <c r="A23" s="9" t="inlineStr">
        <is>
          <t>utility</t>
        </is>
      </c>
      <c r="B23" s="9" t="inlineStr">
        <is>
          <t>✨</t>
        </is>
      </c>
      <c r="C23" s="9" t="inlineStr">
        <is>
          <t>정찰</t>
        </is>
      </c>
      <c r="D23" s="9" t="inlineStr">
        <is>
          <t>util_scout</t>
        </is>
      </c>
      <c r="E23" s="9" t="n">
        <v>1</v>
      </c>
      <c r="F23" s="9" t="inlineStr">
        <is>
          <t>시야 +5</t>
        </is>
      </c>
      <c r="G23" s="9" t="n">
        <v>20</v>
      </c>
    </row>
    <row r="24">
      <c r="A24" s="8" t="inlineStr">
        <is>
          <t>utility</t>
        </is>
      </c>
      <c r="B24" s="8" t="inlineStr">
        <is>
          <t>✨</t>
        </is>
      </c>
      <c r="C24" s="8" t="inlineStr">
        <is>
          <t>운명의 인도자</t>
        </is>
      </c>
      <c r="D24" s="8" t="inlineStr">
        <is>
          <t>util_master</t>
        </is>
      </c>
      <c r="E24" s="8" t="n">
        <v>1</v>
      </c>
      <c r="F24" s="8" t="inlineStr">
        <is>
          <t>EXP/GOLD +20% / 드롭 +10%</t>
        </is>
      </c>
      <c r="G24" s="8" t="n">
        <v>25</v>
      </c>
    </row>
    <row r="27">
      <c r="A27" s="10" t="inlineStr">
        <is>
          <t>특성 트리 시스템</t>
        </is>
      </c>
    </row>
    <row r="28">
      <c r="A28" s="3" t="inlineStr">
        <is>
          <t>포인트 획득</t>
        </is>
      </c>
      <c r="B28" s="3" t="inlineStr">
        <is>
          <t>레벨업 시 +1 (Lv.50 만렙 = 50 포인트)</t>
        </is>
      </c>
    </row>
    <row r="29">
      <c r="A29" s="3" t="inlineStr">
        <is>
          <t>게이트</t>
        </is>
      </c>
      <c r="B29" s="3" t="inlineStr">
        <is>
          <t>상위 노드는 해당 브랜치에 5/10/15/20/25 투자 후 해금</t>
        </is>
      </c>
    </row>
    <row r="30">
      <c r="A30" s="3" t="inlineStr">
        <is>
          <t>리셋 비용</t>
        </is>
      </c>
      <c r="B30" s="3" t="inlineStr">
        <is>
          <t>100 다이아 → 모든 포인트 환원</t>
        </is>
      </c>
    </row>
    <row r="31">
      <c r="A31" s="3" t="inlineStr">
        <is>
          <t>최대 효과</t>
        </is>
      </c>
      <c r="B31" s="3" t="inlineStr">
        <is>
          <t>한 브랜치 풀투자 시 마스터 노드 해금 가능</t>
        </is>
      </c>
    </row>
    <row r="32">
      <c r="A32" s="3" t="inlineStr">
        <is>
          <t>모듈</t>
        </is>
      </c>
      <c r="B32" s="3" t="inlineStr">
        <is>
          <t>game/skill_tree.js (신규 파일)</t>
        </is>
      </c>
    </row>
    <row r="33">
      <c r="A33" s="3" t="inlineStr">
        <is>
          <t>통합</t>
        </is>
      </c>
      <c r="B33" s="3" t="inlineStr">
        <is>
          <t>레벨업 시 awardPoints() 자동 호출 / 소켓 talent_status / spend / reset</t>
        </is>
      </c>
    </row>
  </sheetData>
  <mergeCells count="1">
    <mergeCell ref="A1:G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4" customWidth="1" min="1" max="1"/>
    <col width="28" customWidth="1" min="2" max="2"/>
    <col width="22" customWidth="1" min="3" max="3"/>
    <col width="12" customWidth="1" min="4" max="4"/>
  </cols>
  <sheetData>
    <row r="1">
      <c r="A1" s="6" t="inlineStr">
        <is>
          <t>우편함 시스템 (v1.34 신규 모듈 game/mail.js)</t>
        </is>
      </c>
    </row>
    <row r="3">
      <c r="A3" s="7" t="inlineStr">
        <is>
          <t>종류</t>
        </is>
      </c>
      <c r="B3" s="7" t="inlineStr">
        <is>
          <t>용도</t>
        </is>
      </c>
      <c r="C3" s="7" t="inlineStr">
        <is>
          <t>조건</t>
        </is>
      </c>
      <c r="D3" s="7" t="inlineStr">
        <is>
          <t>만료</t>
        </is>
      </c>
    </row>
    <row r="4">
      <c r="A4" s="8" t="inlineStr">
        <is>
          <t>시스템 메일</t>
        </is>
      </c>
      <c r="B4" s="8" t="inlineStr">
        <is>
          <t>이벤트 보상/공지/GM 메시지</t>
        </is>
      </c>
      <c r="C4" s="8" t="inlineStr">
        <is>
          <t>시스템 자동 발송</t>
        </is>
      </c>
      <c r="D4" s="8" t="inlineStr">
        <is>
          <t>14일</t>
        </is>
      </c>
    </row>
    <row r="5">
      <c r="A5" s="9" t="inlineStr">
        <is>
          <t>선물 메일</t>
        </is>
      </c>
      <c r="B5" s="9" t="inlineStr">
        <is>
          <t>플레이어 → 플레이어</t>
        </is>
      </c>
      <c r="C5" s="9" t="inlineStr">
        <is>
          <t>로그인 중인 수신자</t>
        </is>
      </c>
      <c r="D5" s="9" t="inlineStr">
        <is>
          <t>7일</t>
        </is>
      </c>
    </row>
    <row r="6">
      <c r="A6" s="8" t="inlineStr">
        <is>
          <t>일반 메일</t>
        </is>
      </c>
      <c r="B6" s="8" t="inlineStr">
        <is>
          <t>-</t>
        </is>
      </c>
      <c r="C6" s="8" t="inlineStr">
        <is>
          <t>범용</t>
        </is>
      </c>
      <c r="D6" s="8" t="inlineStr">
        <is>
          <t>30일 (기본)</t>
        </is>
      </c>
    </row>
    <row r="9">
      <c r="A9" s="10" t="inlineStr">
        <is>
          <t>첨부 가능 항목</t>
        </is>
      </c>
    </row>
    <row r="10">
      <c r="A10" s="11" t="inlineStr">
        <is>
          <t>항목</t>
        </is>
      </c>
      <c r="B10" s="11" t="inlineStr">
        <is>
          <t>검증</t>
        </is>
      </c>
      <c r="C10" s="11" t="inlineStr">
        <is>
          <t>특수</t>
        </is>
      </c>
    </row>
    <row r="11">
      <c r="A11" s="3" t="inlineStr">
        <is>
          <t>gold</t>
        </is>
      </c>
      <c r="B11" s="3" t="inlineStr">
        <is>
          <t>발신자 골드 검증</t>
        </is>
      </c>
      <c r="C11" s="3" t="inlineStr">
        <is>
          <t>선물 발송 시 2% 수수료</t>
        </is>
      </c>
    </row>
    <row r="12">
      <c r="A12" s="3" t="inlineStr">
        <is>
          <t>diamonds</t>
        </is>
      </c>
      <c r="B12" s="3" t="inlineStr">
        <is>
          <t>발신자 다이아 검증</t>
        </is>
      </c>
      <c r="C12" s="3" t="inlineStr">
        <is>
          <t>-</t>
        </is>
      </c>
    </row>
    <row r="13">
      <c r="A13" s="3" t="inlineStr">
        <is>
          <t>items</t>
        </is>
      </c>
      <c r="B13" s="3" t="inlineStr">
        <is>
          <t>발신자 인벤토리 검증</t>
        </is>
      </c>
      <c r="C13" s="3" t="inlineStr">
        <is>
          <t>itemId → count 매핑</t>
        </is>
      </c>
    </row>
    <row r="16">
      <c r="A16" s="10" t="inlineStr">
        <is>
          <t>제한 / 룰</t>
        </is>
      </c>
    </row>
    <row r="17">
      <c r="A17" s="3" t="inlineStr">
        <is>
          <t>우편함 최대</t>
        </is>
      </c>
      <c r="B17" s="3" t="inlineStr">
        <is>
          <t>100통 (가득 시 수신 거부)</t>
        </is>
      </c>
    </row>
    <row r="18">
      <c r="A18" s="3" t="inlineStr">
        <is>
          <t>일일 선물 한도</t>
        </is>
      </c>
      <c r="B18" s="3" t="inlineStr">
        <is>
          <t>플레이어당 10회 / 일</t>
        </is>
      </c>
    </row>
    <row r="19">
      <c r="A19" s="3" t="inlineStr">
        <is>
          <t>선물 수수료</t>
        </is>
      </c>
      <c r="B19" s="3" t="inlineStr">
        <is>
          <t>골드 첨부의 2%</t>
        </is>
      </c>
    </row>
    <row r="20">
      <c r="A20" s="3" t="inlineStr">
        <is>
          <t>첨부 미수령 삭제</t>
        </is>
      </c>
      <c r="B20" s="3" t="inlineStr">
        <is>
          <t>거부 (수령 후에만 삭제 가능)</t>
        </is>
      </c>
    </row>
    <row r="21">
      <c r="A21" s="3" t="inlineStr">
        <is>
          <t>만료 처리</t>
        </is>
      </c>
      <c r="B21" s="3" t="inlineStr">
        <is>
          <t>조회 시 자동 삭제</t>
        </is>
      </c>
    </row>
    <row r="22">
      <c r="A22" s="3" t="inlineStr">
        <is>
          <t>기존 시스템</t>
        </is>
      </c>
      <c r="B22" s="3" t="inlineStr">
        <is>
          <t>인라인 pendingMails 보완 (정식 모듈)</t>
        </is>
      </c>
    </row>
  </sheetData>
  <mergeCells count="1">
    <mergeCell ref="A1:D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0" customWidth="1" min="1" max="1"/>
    <col width="16" customWidth="1" min="2" max="2"/>
    <col width="8" customWidth="1" min="3" max="3"/>
    <col width="28" customWidth="1" min="4" max="4"/>
    <col width="8" customWidth="1" min="5" max="5"/>
    <col width="18" customWidth="1" min="6" max="6"/>
    <col width="32" customWidth="1" min="7" max="7"/>
  </cols>
  <sheetData>
    <row r="1">
      <c r="A1" s="6" t="inlineStr">
        <is>
          <t>도감 (5종 × 4단계 = 20 마일스톤 — v1.33 신규 모듈 game/codex.js)</t>
        </is>
      </c>
    </row>
    <row r="3">
      <c r="A3" s="7" t="inlineStr">
        <is>
          <t>카테고리</t>
        </is>
      </c>
      <c r="B3" s="7" t="inlineStr">
        <is>
          <t>이름</t>
        </is>
      </c>
      <c r="C3" s="7" t="inlineStr">
        <is>
          <t>아이콘</t>
        </is>
      </c>
      <c r="D3" s="7" t="inlineStr">
        <is>
          <t>수집 방법</t>
        </is>
      </c>
      <c r="E3" s="7" t="inlineStr">
        <is>
          <t>요구</t>
        </is>
      </c>
      <c r="F3" s="7" t="inlineStr">
        <is>
          <t>마일스톤</t>
        </is>
      </c>
      <c r="G3" s="7" t="inlineStr">
        <is>
          <t>보상 (영구)</t>
        </is>
      </c>
    </row>
    <row r="4">
      <c r="A4" s="8" t="inlineStr">
        <is>
          <t>monster</t>
        </is>
      </c>
      <c r="B4" s="8" t="inlineStr">
        <is>
          <t>몬스터 도감</t>
        </is>
      </c>
      <c r="C4" s="8" t="inlineStr">
        <is>
          <t>🐲</t>
        </is>
      </c>
      <c r="D4" s="8" t="inlineStr">
        <is>
          <t>처치/테이밍 자동</t>
        </is>
      </c>
      <c r="E4" s="8" t="n">
        <v>10</v>
      </c>
      <c r="F4" s="8" t="inlineStr">
        <is>
          <t>초보 사냥꾼</t>
        </is>
      </c>
      <c r="G4" s="8" t="inlineStr">
        <is>
          <t>ATK +2</t>
        </is>
      </c>
    </row>
    <row r="5">
      <c r="A5" s="9" t="inlineStr">
        <is>
          <t>monster</t>
        </is>
      </c>
      <c r="B5" s="9" t="inlineStr">
        <is>
          <t>-</t>
        </is>
      </c>
      <c r="C5" s="9" t="inlineStr">
        <is>
          <t>-</t>
        </is>
      </c>
      <c r="D5" s="9" t="inlineStr">
        <is>
          <t>-</t>
        </is>
      </c>
      <c r="E5" s="9" t="n">
        <v>30</v>
      </c>
      <c r="F5" s="9" t="inlineStr">
        <is>
          <t>숙련 사냥꾼</t>
        </is>
      </c>
      <c r="G5" s="9" t="inlineStr">
        <is>
          <t>ATK +5 / DEF +3</t>
        </is>
      </c>
    </row>
    <row r="6">
      <c r="A6" s="8" t="inlineStr">
        <is>
          <t>monster</t>
        </is>
      </c>
      <c r="B6" s="8" t="inlineStr">
        <is>
          <t>-</t>
        </is>
      </c>
      <c r="C6" s="8" t="inlineStr">
        <is>
          <t>-</t>
        </is>
      </c>
      <c r="D6" s="8" t="inlineStr">
        <is>
          <t>-</t>
        </is>
      </c>
      <c r="E6" s="8" t="n">
        <v>60</v>
      </c>
      <c r="F6" s="8" t="inlineStr">
        <is>
          <t>베테랑 헌터</t>
        </is>
      </c>
      <c r="G6" s="8" t="inlineStr">
        <is>
          <t>ATK +10 / DEF +5 / HP +50</t>
        </is>
      </c>
    </row>
    <row r="7">
      <c r="A7" s="9" t="inlineStr">
        <is>
          <t>monster</t>
        </is>
      </c>
      <c r="B7" s="9" t="inlineStr">
        <is>
          <t>-</t>
        </is>
      </c>
      <c r="C7" s="9" t="inlineStr">
        <is>
          <t>-</t>
        </is>
      </c>
      <c r="D7" s="9" t="inlineStr">
        <is>
          <t>-</t>
        </is>
      </c>
      <c r="E7" s="9" t="n">
        <v>100</v>
      </c>
      <c r="F7" s="9" t="inlineStr">
        <is>
          <t>전설의 헌터</t>
        </is>
      </c>
      <c r="G7" s="9" t="inlineStr">
        <is>
          <t>ATK +20 / DEF +10 / HP +150 / 크리 +5%</t>
        </is>
      </c>
    </row>
    <row r="8">
      <c r="A8" s="8" t="inlineStr">
        <is>
          <t>zone</t>
        </is>
      </c>
      <c r="B8" s="8" t="inlineStr">
        <is>
          <t>지역 도감</t>
        </is>
      </c>
      <c r="C8" s="8" t="inlineStr">
        <is>
          <t>🗺️</t>
        </is>
      </c>
      <c r="D8" s="8" t="inlineStr">
        <is>
          <t>방문 자동 (51개 존)</t>
        </is>
      </c>
      <c r="E8" s="8" t="n">
        <v>10</v>
      </c>
      <c r="F8" s="8" t="inlineStr">
        <is>
          <t>여행자</t>
        </is>
      </c>
      <c r="G8" s="8" t="inlineStr">
        <is>
          <t>SPD +1</t>
        </is>
      </c>
    </row>
    <row r="9">
      <c r="A9" s="9" t="inlineStr">
        <is>
          <t>zone</t>
        </is>
      </c>
      <c r="B9" s="9" t="inlineStr">
        <is>
          <t>-</t>
        </is>
      </c>
      <c r="C9" s="9" t="inlineStr">
        <is>
          <t>-</t>
        </is>
      </c>
      <c r="D9" s="9" t="inlineStr">
        <is>
          <t>-</t>
        </is>
      </c>
      <c r="E9" s="9" t="n">
        <v>25</v>
      </c>
      <c r="F9" s="9" t="inlineStr">
        <is>
          <t>탐험가</t>
        </is>
      </c>
      <c r="G9" s="9" t="inlineStr">
        <is>
          <t>SPD +2 / EXP +5%</t>
        </is>
      </c>
    </row>
    <row r="10">
      <c r="A10" s="8" t="inlineStr">
        <is>
          <t>zone</t>
        </is>
      </c>
      <c r="B10" s="8" t="inlineStr">
        <is>
          <t>-</t>
        </is>
      </c>
      <c r="C10" s="8" t="inlineStr">
        <is>
          <t>-</t>
        </is>
      </c>
      <c r="D10" s="8" t="inlineStr">
        <is>
          <t>-</t>
        </is>
      </c>
      <c r="E10" s="8" t="n">
        <v>40</v>
      </c>
      <c r="F10" s="8" t="inlineStr">
        <is>
          <t>세계 여행자</t>
        </is>
      </c>
      <c r="G10" s="8" t="inlineStr">
        <is>
          <t>SPD +3 / EXP +10%</t>
        </is>
      </c>
    </row>
    <row r="11">
      <c r="A11" s="9" t="inlineStr">
        <is>
          <t>zone</t>
        </is>
      </c>
      <c r="B11" s="9" t="inlineStr">
        <is>
          <t>-</t>
        </is>
      </c>
      <c r="C11" s="9" t="inlineStr">
        <is>
          <t>-</t>
        </is>
      </c>
      <c r="D11" s="9" t="inlineStr">
        <is>
          <t>-</t>
        </is>
      </c>
      <c r="E11" s="9" t="n">
        <v>51</v>
      </c>
      <c r="F11" s="9" t="inlineStr">
        <is>
          <t>지도 정복자</t>
        </is>
      </c>
      <c r="G11" s="9" t="inlineStr">
        <is>
          <t>SPD +5 / EXP +15% / 드롭 +10%</t>
        </is>
      </c>
    </row>
    <row r="12">
      <c r="A12" s="8" t="inlineStr">
        <is>
          <t>equip</t>
        </is>
      </c>
      <c r="B12" s="8" t="inlineStr">
        <is>
          <t>장비 도감</t>
        </is>
      </c>
      <c r="C12" s="8" t="inlineStr">
        <is>
          <t>⚔️</t>
        </is>
      </c>
      <c r="D12" s="8" t="inlineStr">
        <is>
          <t>획득 종류 자동</t>
        </is>
      </c>
      <c r="E12" s="8" t="n">
        <v>10</v>
      </c>
      <c r="F12" s="8" t="inlineStr">
        <is>
          <t>초보 수집가</t>
        </is>
      </c>
      <c r="G12" s="8" t="inlineStr">
        <is>
          <t>DEF +3</t>
        </is>
      </c>
    </row>
    <row r="13">
      <c r="A13" s="9" t="inlineStr">
        <is>
          <t>equip</t>
        </is>
      </c>
      <c r="B13" s="9" t="inlineStr">
        <is>
          <t>-</t>
        </is>
      </c>
      <c r="C13" s="9" t="inlineStr">
        <is>
          <t>-</t>
        </is>
      </c>
      <c r="D13" s="9" t="inlineStr">
        <is>
          <t>-</t>
        </is>
      </c>
      <c r="E13" s="9" t="n">
        <v>20</v>
      </c>
      <c r="F13" s="9" t="inlineStr">
        <is>
          <t>장비 수집가</t>
        </is>
      </c>
      <c r="G13" s="9" t="inlineStr">
        <is>
          <t>DEF +8 / HP +50</t>
        </is>
      </c>
    </row>
    <row r="14">
      <c r="A14" s="8" t="inlineStr">
        <is>
          <t>equip</t>
        </is>
      </c>
      <c r="B14" s="8" t="inlineStr">
        <is>
          <t>-</t>
        </is>
      </c>
      <c r="C14" s="8" t="inlineStr">
        <is>
          <t>-</t>
        </is>
      </c>
      <c r="D14" s="8" t="inlineStr">
        <is>
          <t>-</t>
        </is>
      </c>
      <c r="E14" s="8" t="n">
        <v>30</v>
      </c>
      <c r="F14" s="8" t="inlineStr">
        <is>
          <t>장비 마니아</t>
        </is>
      </c>
      <c r="G14" s="8" t="inlineStr">
        <is>
          <t>DEF +15 / HP +150 / ATK +5</t>
        </is>
      </c>
    </row>
    <row r="15">
      <c r="A15" s="9" t="inlineStr">
        <is>
          <t>equip</t>
        </is>
      </c>
      <c r="B15" s="9" t="inlineStr">
        <is>
          <t>-</t>
        </is>
      </c>
      <c r="C15" s="9" t="inlineStr">
        <is>
          <t>-</t>
        </is>
      </c>
      <c r="D15" s="9" t="inlineStr">
        <is>
          <t>-</t>
        </is>
      </c>
      <c r="E15" s="9" t="n">
        <v>40</v>
      </c>
      <c r="F15" s="9" t="inlineStr">
        <is>
          <t>아머리 마스터</t>
        </is>
      </c>
      <c r="G15" s="9" t="inlineStr">
        <is>
          <t>DEF +25 / HP +300 / ATK +12 / 크리 +5%</t>
        </is>
      </c>
    </row>
    <row r="16">
      <c r="A16" s="8" t="inlineStr">
        <is>
          <t>fish</t>
        </is>
      </c>
      <c r="B16" s="8" t="inlineStr">
        <is>
          <t>어종 도감</t>
        </is>
      </c>
      <c r="C16" s="8" t="inlineStr">
        <is>
          <t>🐟</t>
        </is>
      </c>
      <c r="D16" s="8" t="inlineStr">
        <is>
          <t>낚시 자동 (11종, v1.24 연동)</t>
        </is>
      </c>
      <c r="E16" s="8" t="n">
        <v>3</v>
      </c>
      <c r="F16" s="8" t="inlineStr">
        <is>
          <t>초보 낚시꾼</t>
        </is>
      </c>
      <c r="G16" s="8" t="inlineStr">
        <is>
          <t>GOLD +3%</t>
        </is>
      </c>
    </row>
    <row r="17">
      <c r="A17" s="9" t="inlineStr">
        <is>
          <t>fish</t>
        </is>
      </c>
      <c r="B17" s="9" t="inlineStr">
        <is>
          <t>-</t>
        </is>
      </c>
      <c r="C17" s="9" t="inlineStr">
        <is>
          <t>-</t>
        </is>
      </c>
      <c r="D17" s="9" t="inlineStr">
        <is>
          <t>-</t>
        </is>
      </c>
      <c r="E17" s="9" t="n">
        <v>6</v>
      </c>
      <c r="F17" s="9" t="inlineStr">
        <is>
          <t>낚시 애호가</t>
        </is>
      </c>
      <c r="G17" s="9" t="inlineStr">
        <is>
          <t>GOLD +5% / 드롭 +5%</t>
        </is>
      </c>
    </row>
    <row r="18">
      <c r="A18" s="8" t="inlineStr">
        <is>
          <t>fish</t>
        </is>
      </c>
      <c r="B18" s="8" t="inlineStr">
        <is>
          <t>-</t>
        </is>
      </c>
      <c r="C18" s="8" t="inlineStr">
        <is>
          <t>-</t>
        </is>
      </c>
      <c r="D18" s="8" t="inlineStr">
        <is>
          <t>-</t>
        </is>
      </c>
      <c r="E18" s="8" t="n">
        <v>9</v>
      </c>
      <c r="F18" s="8" t="inlineStr">
        <is>
          <t>낚시 달인</t>
        </is>
      </c>
      <c r="G18" s="8" t="inlineStr">
        <is>
          <t>GOLD +10% / 드롭 +10%</t>
        </is>
      </c>
    </row>
    <row r="19">
      <c r="A19" s="9" t="inlineStr">
        <is>
          <t>fish</t>
        </is>
      </c>
      <c r="B19" s="9" t="inlineStr">
        <is>
          <t>-</t>
        </is>
      </c>
      <c r="C19" s="9" t="inlineStr">
        <is>
          <t>-</t>
        </is>
      </c>
      <c r="D19" s="9" t="inlineStr">
        <is>
          <t>-</t>
        </is>
      </c>
      <c r="E19" s="9" t="n">
        <v>11</v>
      </c>
      <c r="F19" s="9" t="inlineStr">
        <is>
          <t>바다의 친구</t>
        </is>
      </c>
      <c r="G19" s="9" t="inlineStr">
        <is>
          <t>GOLD +15% / 드롭 +15% / EXP +10%</t>
        </is>
      </c>
    </row>
    <row r="20">
      <c r="A20" s="8" t="inlineStr">
        <is>
          <t>pet</t>
        </is>
      </c>
      <c r="B20" s="8" t="inlineStr">
        <is>
          <t>펫 도감</t>
        </is>
      </c>
      <c r="C20" s="8" t="inlineStr">
        <is>
          <t>🐾</t>
        </is>
      </c>
      <c r="D20" s="8" t="inlineStr">
        <is>
          <t>보유 종류 자동 (진화형 별도)</t>
        </is>
      </c>
      <c r="E20" s="8" t="n">
        <v>3</v>
      </c>
      <c r="F20" s="8" t="inlineStr">
        <is>
          <t>동물 친구</t>
        </is>
      </c>
      <c r="G20" s="8" t="inlineStr">
        <is>
          <t>HP +50</t>
        </is>
      </c>
    </row>
    <row r="21">
      <c r="A21" s="9" t="inlineStr">
        <is>
          <t>pet</t>
        </is>
      </c>
      <c r="B21" s="9" t="inlineStr">
        <is>
          <t>-</t>
        </is>
      </c>
      <c r="C21" s="9" t="inlineStr">
        <is>
          <t>-</t>
        </is>
      </c>
      <c r="D21" s="9" t="inlineStr">
        <is>
          <t>-</t>
        </is>
      </c>
      <c r="E21" s="9" t="n">
        <v>5</v>
      </c>
      <c r="F21" s="9" t="inlineStr">
        <is>
          <t>조련사</t>
        </is>
      </c>
      <c r="G21" s="9" t="inlineStr">
        <is>
          <t>HP +100 / EXP +5%</t>
        </is>
      </c>
    </row>
    <row r="22">
      <c r="A22" s="8" t="inlineStr">
        <is>
          <t>pet</t>
        </is>
      </c>
      <c r="B22" s="8" t="inlineStr">
        <is>
          <t>-</t>
        </is>
      </c>
      <c r="C22" s="8" t="inlineStr">
        <is>
          <t>-</t>
        </is>
      </c>
      <c r="D22" s="8" t="inlineStr">
        <is>
          <t>-</t>
        </is>
      </c>
      <c r="E22" s="8" t="n">
        <v>7</v>
      </c>
      <c r="F22" s="8" t="inlineStr">
        <is>
          <t>펫 마스터</t>
        </is>
      </c>
      <c r="G22" s="8" t="inlineStr">
        <is>
          <t>HP +200 / EXP +10% / ATK +5</t>
        </is>
      </c>
    </row>
    <row r="23">
      <c r="A23" s="9" t="inlineStr">
        <is>
          <t>pet</t>
        </is>
      </c>
      <c r="B23" s="9" t="inlineStr">
        <is>
          <t>-</t>
        </is>
      </c>
      <c r="C23" s="9" t="inlineStr">
        <is>
          <t>-</t>
        </is>
      </c>
      <c r="D23" s="9" t="inlineStr">
        <is>
          <t>-</t>
        </is>
      </c>
      <c r="E23" s="9" t="n">
        <v>9</v>
      </c>
      <c r="F23" s="9" t="inlineStr">
        <is>
          <t>신화의 동반자</t>
        </is>
      </c>
      <c r="G23" s="9" t="inlineStr">
        <is>
          <t>HP +400 / EXP +15% / ATK +12 / 크리 +3%</t>
        </is>
      </c>
    </row>
    <row r="26">
      <c r="A26" s="10" t="inlineStr">
        <is>
          <t>도감 시스템</t>
        </is>
      </c>
    </row>
    <row r="27">
      <c r="A27" s="3" t="inlineStr">
        <is>
          <t>자동 기록</t>
        </is>
      </c>
      <c r="B27" s="3" t="inlineStr">
        <is>
          <t>지역(explore_count) / 어종(낚시 성공) / 기타는 클라이언트 보고</t>
        </is>
      </c>
    </row>
    <row r="28">
      <c r="A28" s="3" t="inlineStr">
        <is>
          <t>중복 방지</t>
        </is>
      </c>
      <c r="B28" s="3" t="inlineStr">
        <is>
          <t>같은 ID는 1회만 카운트</t>
        </is>
      </c>
    </row>
    <row r="29">
      <c r="A29" s="3" t="inlineStr">
        <is>
          <t>영구 보너스</t>
        </is>
      </c>
      <c r="B29" s="3" t="inlineStr">
        <is>
          <t>codexBonuses 객체에 누적 저장 (전직/환생 보너스와 별도)</t>
        </is>
      </c>
    </row>
    <row r="30">
      <c r="A30" s="3" t="inlineStr">
        <is>
          <t>마일스톤 달성</t>
        </is>
      </c>
      <c r="B30" s="3" t="inlineStr">
        <is>
          <t>전 서버 알림 + codex_milestone 이벤트 송출</t>
        </is>
      </c>
    </row>
    <row r="31">
      <c r="A31" s="3" t="inlineStr">
        <is>
          <t>모듈</t>
        </is>
      </c>
      <c r="B31" s="3" t="inlineStr">
        <is>
          <t>game/codex.js (신규 파일)</t>
        </is>
      </c>
    </row>
    <row r="32">
      <c r="A32" s="3" t="inlineStr">
        <is>
          <t>소켓</t>
        </is>
      </c>
      <c r="B32" s="3" t="inlineStr">
        <is>
          <t>codex_status / codex_report</t>
        </is>
      </c>
    </row>
  </sheetData>
  <mergeCells count="1">
    <mergeCell ref="A1:G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4" customWidth="1" min="1" max="1"/>
    <col width="16" customWidth="1" min="2" max="2"/>
    <col width="12" customWidth="1" min="3" max="3"/>
    <col width="10" customWidth="1" min="4" max="4"/>
    <col width="18" customWidth="1" min="5" max="5"/>
  </cols>
  <sheetData>
    <row r="1">
      <c r="A1" s="6" t="inlineStr">
        <is>
          <t>일일 상점 풀 (15종 — v1.32 신규 모듈 game/dailyshop.js)</t>
        </is>
      </c>
    </row>
    <row r="3">
      <c r="A3" s="7" t="inlineStr">
        <is>
          <t>ID</t>
        </is>
      </c>
      <c r="B3" s="7" t="inlineStr">
        <is>
          <t>이름</t>
        </is>
      </c>
      <c r="C3" s="7" t="inlineStr">
        <is>
          <t>분류</t>
        </is>
      </c>
      <c r="D3" s="7" t="inlineStr">
        <is>
          <t>기본가</t>
        </is>
      </c>
      <c r="E3" s="7" t="inlineStr">
        <is>
          <t>비고</t>
        </is>
      </c>
    </row>
    <row r="4">
      <c r="A4" s="8" t="inlineStr">
        <is>
          <t>pot_hp_l</t>
        </is>
      </c>
      <c r="B4" s="8" t="inlineStr">
        <is>
          <t>상급 HP 물약</t>
        </is>
      </c>
      <c r="C4" s="8" t="inlineStr">
        <is>
          <t>consumable</t>
        </is>
      </c>
      <c r="D4" s="8" t="inlineStr">
        <is>
          <t>300G</t>
        </is>
      </c>
      <c r="E4" s="8" t="inlineStr">
        <is>
          <t>매일 6슬롯 풀</t>
        </is>
      </c>
    </row>
    <row r="5">
      <c r="A5" s="9" t="inlineStr">
        <is>
          <t>pot_atk</t>
        </is>
      </c>
      <c r="B5" s="9" t="inlineStr">
        <is>
          <t>공격 물약</t>
        </is>
      </c>
      <c r="C5" s="9" t="inlineStr">
        <is>
          <t>consumable</t>
        </is>
      </c>
      <c r="D5" s="9" t="inlineStr">
        <is>
          <t>500G</t>
        </is>
      </c>
      <c r="E5" s="9" t="inlineStr">
        <is>
          <t>-</t>
        </is>
      </c>
    </row>
    <row r="6">
      <c r="A6" s="8" t="inlineStr">
        <is>
          <t>mat_magic</t>
        </is>
      </c>
      <c r="B6" s="8" t="inlineStr">
        <is>
          <t>마법재료</t>
        </is>
      </c>
      <c r="C6" s="8" t="inlineStr">
        <is>
          <t>mat</t>
        </is>
      </c>
      <c r="D6" s="8" t="inlineStr">
        <is>
          <t>200G</t>
        </is>
      </c>
      <c r="E6" s="8" t="inlineStr">
        <is>
          <t>-</t>
        </is>
      </c>
    </row>
    <row r="7">
      <c r="A7" s="9" t="inlineStr">
        <is>
          <t>mat_soul</t>
        </is>
      </c>
      <c r="B7" s="9" t="inlineStr">
        <is>
          <t>영혼석</t>
        </is>
      </c>
      <c r="C7" s="9" t="inlineStr">
        <is>
          <t>mat</t>
        </is>
      </c>
      <c r="D7" s="9" t="inlineStr">
        <is>
          <t>600G</t>
        </is>
      </c>
      <c r="E7" s="9" t="inlineStr">
        <is>
          <t>-</t>
        </is>
      </c>
    </row>
    <row r="8">
      <c r="A8" s="8" t="inlineStr">
        <is>
          <t>mat_dragon</t>
        </is>
      </c>
      <c r="B8" s="8" t="inlineStr">
        <is>
          <t>용재료</t>
        </is>
      </c>
      <c r="C8" s="8" t="inlineStr">
        <is>
          <t>mat</t>
        </is>
      </c>
      <c r="D8" s="8" t="inlineStr">
        <is>
          <t>2500G</t>
        </is>
      </c>
      <c r="E8" s="8" t="inlineStr">
        <is>
          <t>-</t>
        </is>
      </c>
    </row>
    <row r="9">
      <c r="A9" s="9" t="inlineStr">
        <is>
          <t>protect_scroll</t>
        </is>
      </c>
      <c r="B9" s="9" t="inlineStr">
        <is>
          <t>보호 주문서</t>
        </is>
      </c>
      <c r="C9" s="9" t="inlineStr">
        <is>
          <t>consumable</t>
        </is>
      </c>
      <c r="D9" s="9" t="inlineStr">
        <is>
          <t>80💎</t>
        </is>
      </c>
      <c r="E9" s="9" t="inlineStr">
        <is>
          <t>-</t>
        </is>
      </c>
    </row>
    <row r="10">
      <c r="A10" s="8" t="inlineStr">
        <is>
          <t>bless_scroll</t>
        </is>
      </c>
      <c r="B10" s="8" t="inlineStr">
        <is>
          <t>축복 주문서</t>
        </is>
      </c>
      <c r="C10" s="8" t="inlineStr">
        <is>
          <t>consumable</t>
        </is>
      </c>
      <c r="D10" s="8" t="inlineStr">
        <is>
          <t>40💎</t>
        </is>
      </c>
      <c r="E10" s="8" t="inlineStr">
        <is>
          <t>-</t>
        </is>
      </c>
    </row>
    <row r="11">
      <c r="A11" s="9" t="inlineStr">
        <is>
          <t>rare_box</t>
        </is>
      </c>
      <c r="B11" s="9" t="inlineStr">
        <is>
          <t>희귀 상자</t>
        </is>
      </c>
      <c r="C11" s="9" t="inlineStr">
        <is>
          <t>box</t>
        </is>
      </c>
      <c r="D11" s="9" t="inlineStr">
        <is>
          <t>60💎</t>
        </is>
      </c>
      <c r="E11" s="9" t="inlineStr">
        <is>
          <t>-</t>
        </is>
      </c>
    </row>
    <row r="12">
      <c r="A12" s="8" t="inlineStr">
        <is>
          <t>mega_exp</t>
        </is>
      </c>
      <c r="B12" s="8" t="inlineStr">
        <is>
          <t>메가 EXP 부스터</t>
        </is>
      </c>
      <c r="C12" s="8" t="inlineStr">
        <is>
          <t>booster</t>
        </is>
      </c>
      <c r="D12" s="8" t="inlineStr">
        <is>
          <t>100💎</t>
        </is>
      </c>
      <c r="E12" s="8" t="inlineStr">
        <is>
          <t>-</t>
        </is>
      </c>
    </row>
    <row r="13">
      <c r="A13" s="9" t="inlineStr">
        <is>
          <t>mega_gold</t>
        </is>
      </c>
      <c r="B13" s="9" t="inlineStr">
        <is>
          <t>메가 골드 부스터</t>
        </is>
      </c>
      <c r="C13" s="9" t="inlineStr">
        <is>
          <t>booster</t>
        </is>
      </c>
      <c r="D13" s="9" t="inlineStr">
        <is>
          <t>100💎</t>
        </is>
      </c>
      <c r="E13" s="9" t="inlineStr">
        <is>
          <t>-</t>
        </is>
      </c>
    </row>
    <row r="14">
      <c r="A14" s="8" t="inlineStr">
        <is>
          <t>food_king</t>
        </is>
      </c>
      <c r="B14" s="8" t="inlineStr">
        <is>
          <t>왕의 연회</t>
        </is>
      </c>
      <c r="C14" s="8" t="inlineStr">
        <is>
          <t>food</t>
        </is>
      </c>
      <c r="D14" s="8" t="inlineStr">
        <is>
          <t>1200G</t>
        </is>
      </c>
      <c r="E14" s="8" t="inlineStr">
        <is>
          <t>-</t>
        </is>
      </c>
    </row>
    <row r="15">
      <c r="A15" s="9" t="inlineStr">
        <is>
          <t>food_all</t>
        </is>
      </c>
      <c r="B15" s="9" t="inlineStr">
        <is>
          <t>용의 만찬</t>
        </is>
      </c>
      <c r="C15" s="9" t="inlineStr">
        <is>
          <t>food</t>
        </is>
      </c>
      <c r="D15" s="9" t="inlineStr">
        <is>
          <t>600G</t>
        </is>
      </c>
      <c r="E15" s="9" t="inlineStr">
        <is>
          <t>-</t>
        </is>
      </c>
    </row>
    <row r="16">
      <c r="A16" s="8" t="inlineStr">
        <is>
          <t>goods_phoenix_feather</t>
        </is>
      </c>
      <c r="B16" s="8" t="inlineStr">
        <is>
          <t>불사조 깃털</t>
        </is>
      </c>
      <c r="C16" s="8" t="inlineStr">
        <is>
          <t>trade</t>
        </is>
      </c>
      <c r="D16" s="8" t="inlineStr">
        <is>
          <t>600G</t>
        </is>
      </c>
      <c r="E16" s="8" t="inlineStr">
        <is>
          <t>v1.13 사치품</t>
        </is>
      </c>
    </row>
    <row r="17">
      <c r="A17" s="9" t="inlineStr">
        <is>
          <t>goods_void_essence</t>
        </is>
      </c>
      <c r="B17" s="9" t="inlineStr">
        <is>
          <t>공허의 정수</t>
        </is>
      </c>
      <c r="C17" s="9" t="inlineStr">
        <is>
          <t>trade</t>
        </is>
      </c>
      <c r="D17" s="9" t="inlineStr">
        <is>
          <t>750G</t>
        </is>
      </c>
      <c r="E17" s="9" t="inlineStr">
        <is>
          <t>v1.13 사치품</t>
        </is>
      </c>
    </row>
    <row r="18">
      <c r="A18" s="8" t="inlineStr">
        <is>
          <t>goods_celestial_silk</t>
        </is>
      </c>
      <c r="B18" s="8" t="inlineStr">
        <is>
          <t>천공의 비단</t>
        </is>
      </c>
      <c r="C18" s="8" t="inlineStr">
        <is>
          <t>trade</t>
        </is>
      </c>
      <c r="D18" s="8" t="inlineStr">
        <is>
          <t>900G</t>
        </is>
      </c>
      <c r="E18" s="8" t="inlineStr">
        <is>
          <t>v1.13 사치품</t>
        </is>
      </c>
    </row>
    <row r="21">
      <c r="A21" s="10" t="inlineStr">
        <is>
          <t>일일 상점 시스템</t>
        </is>
      </c>
    </row>
    <row r="22">
      <c r="A22" s="3" t="inlineStr">
        <is>
          <t>슬롯 수</t>
        </is>
      </c>
      <c r="B22" s="3" t="inlineStr">
        <is>
          <t>6개 (매일 무작위 6종 선출)</t>
        </is>
      </c>
    </row>
    <row r="23">
      <c r="A23" s="3" t="inlineStr">
        <is>
          <t>결정적 랜덤</t>
        </is>
      </c>
      <c r="B23" s="3" t="inlineStr">
        <is>
          <t>시드 = 날짜(YYYY-MM-DD), 모든 플레이어 동일 상품</t>
        </is>
      </c>
    </row>
    <row r="24">
      <c r="A24" s="3" t="inlineStr">
        <is>
          <t>할인율</t>
        </is>
      </c>
      <c r="B24" s="3" t="inlineStr">
        <is>
          <t>10~50% (슬롯별 무작위)</t>
        </is>
      </c>
    </row>
    <row r="25">
      <c r="A25" s="3" t="inlineStr">
        <is>
          <t>구매 제한</t>
        </is>
      </c>
      <c r="B25" s="3" t="inlineStr">
        <is>
          <t>슬롯당 1회 / 일</t>
        </is>
      </c>
    </row>
    <row r="26">
      <c r="A26" s="3" t="inlineStr">
        <is>
          <t>수동 갱신</t>
        </is>
      </c>
      <c r="B26" s="3" t="inlineStr">
        <is>
          <t>30💎로 개인 시드 생성 → 새 6종 + 구매 기록 초기화</t>
        </is>
      </c>
    </row>
    <row r="27">
      <c r="A27" s="3" t="inlineStr">
        <is>
          <t>자동 갱신</t>
        </is>
      </c>
      <c r="B27" s="3" t="inlineStr">
        <is>
          <t>자정 (다음 날 첫 status 요청 시 자동)</t>
        </is>
      </c>
    </row>
    <row r="28">
      <c r="A28" s="3" t="inlineStr">
        <is>
          <t>모듈</t>
        </is>
      </c>
      <c r="B28" s="3" t="inlineStr">
        <is>
          <t>game/dailyshop.js (신규 파일)</t>
        </is>
      </c>
    </row>
    <row r="29">
      <c r="A29" s="3" t="inlineStr">
        <is>
          <t>통합</t>
        </is>
      </c>
      <c r="B29" s="3" t="inlineStr">
        <is>
          <t>daily_shop_status / daily_shop_buy / daily_shop_reroll</t>
        </is>
      </c>
    </row>
  </sheetData>
  <mergeCells count="1">
    <mergeCell ref="A1:E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0" customWidth="1" min="1" max="1"/>
    <col width="10" customWidth="1" min="2" max="2"/>
    <col width="10" customWidth="1" min="3" max="3"/>
    <col width="20" customWidth="1" min="4" max="4"/>
  </cols>
  <sheetData>
    <row r="1">
      <c r="A1" s="6" t="inlineStr">
        <is>
          <t>경매장 (v1.25 신규 모듈 game/auction.js)</t>
        </is>
      </c>
    </row>
    <row r="3">
      <c r="A3" s="7" t="inlineStr">
        <is>
          <t>ID</t>
        </is>
      </c>
      <c r="B3" s="7" t="inlineStr">
        <is>
          <t>이름</t>
        </is>
      </c>
      <c r="C3" s="7" t="inlineStr">
        <is>
          <t>기간</t>
        </is>
      </c>
      <c r="D3" s="7" t="inlineStr">
        <is>
          <t>용도</t>
        </is>
      </c>
    </row>
    <row r="4">
      <c r="A4" s="8" t="inlineStr">
        <is>
          <t>short</t>
        </is>
      </c>
      <c r="B4" s="8" t="inlineStr">
        <is>
          <t>단기</t>
        </is>
      </c>
      <c r="C4" s="8" t="inlineStr">
        <is>
          <t>1시간</t>
        </is>
      </c>
      <c r="D4" s="8" t="inlineStr">
        <is>
          <t>빠른 거래용</t>
        </is>
      </c>
    </row>
    <row r="5">
      <c r="A5" s="9" t="inlineStr">
        <is>
          <t>medium</t>
        </is>
      </c>
      <c r="B5" s="9" t="inlineStr">
        <is>
          <t>중기</t>
        </is>
      </c>
      <c r="C5" s="9" t="inlineStr">
        <is>
          <t>6시간</t>
        </is>
      </c>
      <c r="D5" s="9" t="inlineStr">
        <is>
          <t>기본 (권장)</t>
        </is>
      </c>
    </row>
    <row r="6">
      <c r="A6" s="8" t="inlineStr">
        <is>
          <t>long</t>
        </is>
      </c>
      <c r="B6" s="8" t="inlineStr">
        <is>
          <t>장기</t>
        </is>
      </c>
      <c r="C6" s="8" t="inlineStr">
        <is>
          <t>24시간</t>
        </is>
      </c>
      <c r="D6" s="8" t="inlineStr">
        <is>
          <t>고가 아이템</t>
        </is>
      </c>
    </row>
    <row r="9">
      <c r="A9" s="10" t="inlineStr">
        <is>
          <t>수수료 정책</t>
        </is>
      </c>
    </row>
    <row r="10">
      <c r="A10" s="11" t="inlineStr">
        <is>
          <t>항목</t>
        </is>
      </c>
      <c r="B10" s="11" t="inlineStr">
        <is>
          <t>요율</t>
        </is>
      </c>
      <c r="C10" s="11" t="inlineStr">
        <is>
          <t>부담</t>
        </is>
      </c>
      <c r="D10" s="11" t="inlineStr">
        <is>
          <t>비고</t>
        </is>
      </c>
    </row>
    <row r="11">
      <c r="A11" s="3" t="inlineStr">
        <is>
          <t>등록 수수료</t>
        </is>
      </c>
      <c r="B11" s="3" t="inlineStr">
        <is>
          <t>시작가의 2%</t>
        </is>
      </c>
      <c r="C11" s="3" t="inlineStr">
        <is>
          <t>판매자</t>
        </is>
      </c>
      <c r="D11" s="3" t="inlineStr">
        <is>
          <t>등록 시 즉시 차감, 환불 X</t>
        </is>
      </c>
    </row>
    <row r="12">
      <c r="A12" s="3" t="inlineStr">
        <is>
          <t>낙찰 수수료</t>
        </is>
      </c>
      <c r="B12" s="3" t="inlineStr">
        <is>
          <t>낙찰가의 5%</t>
        </is>
      </c>
      <c r="C12" s="3" t="inlineStr">
        <is>
          <t>판매자</t>
        </is>
      </c>
      <c r="D12" s="3" t="inlineStr">
        <is>
          <t>낙찰 시 정산 차감</t>
        </is>
      </c>
    </row>
    <row r="13">
      <c r="A13" s="3" t="inlineStr">
        <is>
          <t>최소 인상폭</t>
        </is>
      </c>
      <c r="B13" s="3" t="inlineStr">
        <is>
          <t>현재가의 5%</t>
        </is>
      </c>
      <c r="C13" s="3" t="inlineStr">
        <is>
          <t>입찰자</t>
        </is>
      </c>
      <c r="D13" s="3" t="inlineStr">
        <is>
          <t>입찰 단위</t>
        </is>
      </c>
    </row>
    <row r="16">
      <c r="A16" s="10" t="inlineStr">
        <is>
          <t>시스템 룰</t>
        </is>
      </c>
    </row>
    <row r="17">
      <c r="A17" s="3" t="inlineStr">
        <is>
          <t>에스크로</t>
        </is>
      </c>
      <c r="B17" s="3" t="inlineStr">
        <is>
          <t>입찰 시 골드 즉시 차감 (이전 입찰자에게 환불)</t>
        </is>
      </c>
    </row>
    <row r="18">
      <c r="A18" s="3" t="inlineStr">
        <is>
          <t>스나이핑 방지</t>
        </is>
      </c>
      <c r="B18" s="3" t="inlineStr">
        <is>
          <t>종료 5분 이내 입찰 → 5분 자동 연장</t>
        </is>
      </c>
    </row>
    <row r="19">
      <c r="A19" s="3" t="inlineStr">
        <is>
          <t>활성 한도</t>
        </is>
      </c>
      <c r="B19" s="3" t="inlineStr">
        <is>
          <t>플레이어당 최대 10개 동시 등록</t>
        </is>
      </c>
    </row>
    <row r="20">
      <c r="A20" s="3" t="inlineStr">
        <is>
          <t>자기 입찰 금지</t>
        </is>
      </c>
      <c r="B20" s="3" t="inlineStr">
        <is>
          <t>자신이 등록한 경매에 입찰 불가</t>
        </is>
      </c>
    </row>
    <row r="21">
      <c r="A21" s="3" t="inlineStr">
        <is>
          <t>유찰 처리</t>
        </is>
      </c>
      <c r="B21" s="3" t="inlineStr">
        <is>
          <t>입찰자 없으면 아이템 반환 (수수료는 환불 안 됨)</t>
        </is>
      </c>
    </row>
    <row r="22">
      <c r="A22" s="3" t="inlineStr">
        <is>
          <t>모듈</t>
        </is>
      </c>
      <c r="B22" s="3" t="inlineStr">
        <is>
          <t>game/auction.js (신규 파일)</t>
        </is>
      </c>
    </row>
    <row r="23">
      <c r="A23" s="3" t="inlineStr">
        <is>
          <t>헬퍼 함수</t>
        </is>
      </c>
      <c r="B23" s="3" t="inlineStr">
        <is>
          <t>listAuction / placeBid / settleAuction / tickAuctions</t>
        </is>
      </c>
    </row>
  </sheetData>
  <mergeCells count="1">
    <mergeCell ref="A1:D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8" customWidth="1" min="1" max="1"/>
    <col width="18" customWidth="1" min="2" max="2"/>
    <col width="8" customWidth="1" min="3" max="3"/>
    <col width="8" customWidth="1" min="4" max="4"/>
    <col width="10" customWidth="1" min="5" max="5"/>
    <col width="10" customWidth="1" min="6" max="6"/>
    <col width="8" customWidth="1" min="7" max="7"/>
    <col width="32" customWidth="1" min="8" max="8"/>
  </cols>
  <sheetData>
    <row r="1">
      <c r="A1" s="6" t="inlineStr">
        <is>
          <t>어종 (11종 — v1.24 신규 모듈 game/fishing.js)</t>
        </is>
      </c>
    </row>
    <row r="3">
      <c r="A3" s="7" t="inlineStr">
        <is>
          <t>ID</t>
        </is>
      </c>
      <c r="B3" s="7" t="inlineStr">
        <is>
          <t>이름</t>
        </is>
      </c>
      <c r="C3" s="7" t="inlineStr">
        <is>
          <t>등급</t>
        </is>
      </c>
      <c r="D3" s="7" t="inlineStr">
        <is>
          <t>색상</t>
        </is>
      </c>
      <c r="E3" s="7" t="inlineStr">
        <is>
          <t>가치(G)</t>
        </is>
      </c>
      <c r="F3" s="7" t="inlineStr">
        <is>
          <t>가중치</t>
        </is>
      </c>
      <c r="G3" s="7" t="inlineStr">
        <is>
          <t>EXP</t>
        </is>
      </c>
      <c r="H3" s="7" t="inlineStr">
        <is>
          <t>조건/특수효과</t>
        </is>
      </c>
    </row>
    <row r="4">
      <c r="A4" s="8" t="inlineStr">
        <is>
          <t>fish_minnow</t>
        </is>
      </c>
      <c r="B4" s="8" t="inlineStr">
        <is>
          <t>송사리</t>
        </is>
      </c>
      <c r="C4" s="8" t="inlineStr">
        <is>
          <t>일반</t>
        </is>
      </c>
      <c r="D4" s="8" t="inlineStr">
        <is>
          <t>회색</t>
        </is>
      </c>
      <c r="E4" s="8" t="n">
        <v>10</v>
      </c>
      <c r="F4" s="8" t="n">
        <v>50</v>
      </c>
      <c r="G4" s="8" t="n">
        <v>5</v>
      </c>
      <c r="H4" s="8" t="inlineStr">
        <is>
          <t>-</t>
        </is>
      </c>
    </row>
    <row r="5">
      <c r="A5" s="9" t="inlineStr">
        <is>
          <t>fish_carp</t>
        </is>
      </c>
      <c r="B5" s="9" t="inlineStr">
        <is>
          <t>잉어</t>
        </is>
      </c>
      <c r="C5" s="9" t="inlineStr">
        <is>
          <t>일반</t>
        </is>
      </c>
      <c r="D5" s="9" t="inlineStr">
        <is>
          <t>회색</t>
        </is>
      </c>
      <c r="E5" s="9" t="n">
        <v>25</v>
      </c>
      <c r="F5" s="9" t="n">
        <v>40</v>
      </c>
      <c r="G5" s="9" t="n">
        <v>8</v>
      </c>
      <c r="H5" s="9" t="inlineStr">
        <is>
          <t>-</t>
        </is>
      </c>
    </row>
    <row r="6">
      <c r="A6" s="8" t="inlineStr">
        <is>
          <t>fish_trout</t>
        </is>
      </c>
      <c r="B6" s="8" t="inlineStr">
        <is>
          <t>송어</t>
        </is>
      </c>
      <c r="C6" s="8" t="inlineStr">
        <is>
          <t>일반</t>
        </is>
      </c>
      <c r="D6" s="8" t="inlineStr">
        <is>
          <t>회색</t>
        </is>
      </c>
      <c r="E6" s="8" t="n">
        <v>35</v>
      </c>
      <c r="F6" s="8" t="n">
        <v>35</v>
      </c>
      <c r="G6" s="8" t="n">
        <v>10</v>
      </c>
      <c r="H6" s="8" t="inlineStr">
        <is>
          <t>-</t>
        </is>
      </c>
    </row>
    <row r="7">
      <c r="A7" s="9" t="inlineStr">
        <is>
          <t>fish_eel</t>
        </is>
      </c>
      <c r="B7" s="9" t="inlineStr">
        <is>
          <t>장어</t>
        </is>
      </c>
      <c r="C7" s="9" t="inlineStr">
        <is>
          <t>고급</t>
        </is>
      </c>
      <c r="D7" s="9" t="inlineStr">
        <is>
          <t>녹색</t>
        </is>
      </c>
      <c r="E7" s="9" t="n">
        <v>80</v>
      </c>
      <c r="F7" s="9" t="n">
        <v>25</v>
      </c>
      <c r="G7" s="9" t="n">
        <v>18</v>
      </c>
      <c r="H7" s="9" t="inlineStr">
        <is>
          <t>-</t>
        </is>
      </c>
    </row>
    <row r="8">
      <c r="A8" s="8" t="inlineStr">
        <is>
          <t>fish_salmon</t>
        </is>
      </c>
      <c r="B8" s="8" t="inlineStr">
        <is>
          <t>연어</t>
        </is>
      </c>
      <c r="C8" s="8" t="inlineStr">
        <is>
          <t>고급</t>
        </is>
      </c>
      <c r="D8" s="8" t="inlineStr">
        <is>
          <t>녹색</t>
        </is>
      </c>
      <c r="E8" s="8" t="n">
        <v>120</v>
      </c>
      <c r="F8" s="8" t="n">
        <v>20</v>
      </c>
      <c r="G8" s="8" t="n">
        <v>25</v>
      </c>
      <c r="H8" s="8" t="inlineStr">
        <is>
          <t>-</t>
        </is>
      </c>
    </row>
    <row r="9">
      <c r="A9" s="9" t="inlineStr">
        <is>
          <t>fish_pike</t>
        </is>
      </c>
      <c r="B9" s="9" t="inlineStr">
        <is>
          <t>창꼬치</t>
        </is>
      </c>
      <c r="C9" s="9" t="inlineStr">
        <is>
          <t>희귀</t>
        </is>
      </c>
      <c r="D9" s="9" t="inlineStr">
        <is>
          <t>파랑</t>
        </is>
      </c>
      <c r="E9" s="9" t="n">
        <v>250</v>
      </c>
      <c r="F9" s="9" t="n">
        <v>12</v>
      </c>
      <c r="G9" s="9" t="n">
        <v>45</v>
      </c>
      <c r="H9" s="9" t="inlineStr">
        <is>
          <t>-</t>
        </is>
      </c>
    </row>
    <row r="10">
      <c r="A10" s="8" t="inlineStr">
        <is>
          <t>fish_sturgeon</t>
        </is>
      </c>
      <c r="B10" s="8" t="inlineStr">
        <is>
          <t>철갑상어</t>
        </is>
      </c>
      <c r="C10" s="8" t="inlineStr">
        <is>
          <t>희귀</t>
        </is>
      </c>
      <c r="D10" s="8" t="inlineStr">
        <is>
          <t>파랑</t>
        </is>
      </c>
      <c r="E10" s="8" t="n">
        <v>400</v>
      </c>
      <c r="F10" s="8" t="n">
        <v>8</v>
      </c>
      <c r="G10" s="8" t="n">
        <v>70</v>
      </c>
      <c r="H10" s="8" t="inlineStr">
        <is>
          <t>-</t>
        </is>
      </c>
    </row>
    <row r="11">
      <c r="A11" s="9" t="inlineStr">
        <is>
          <t>fish_swordfish</t>
        </is>
      </c>
      <c r="B11" s="9" t="inlineStr">
        <is>
          <t>황새치</t>
        </is>
      </c>
      <c r="C11" s="9" t="inlineStr">
        <is>
          <t>영웅</t>
        </is>
      </c>
      <c r="D11" s="9" t="inlineStr">
        <is>
          <t>보라</t>
        </is>
      </c>
      <c r="E11" s="9" t="n">
        <v>800</v>
      </c>
      <c r="F11" s="9" t="n">
        <v>5</v>
      </c>
      <c r="G11" s="9" t="n">
        <v>120</v>
      </c>
      <c r="H11" s="9" t="inlineStr">
        <is>
          <t>미스릴 낚싯대 이상</t>
        </is>
      </c>
    </row>
    <row r="12">
      <c r="A12" s="8" t="inlineStr">
        <is>
          <t>fish_marlin</t>
        </is>
      </c>
      <c r="B12" s="8" t="inlineStr">
        <is>
          <t>청새치</t>
        </is>
      </c>
      <c r="C12" s="8" t="inlineStr">
        <is>
          <t>영웅</t>
        </is>
      </c>
      <c r="D12" s="8" t="inlineStr">
        <is>
          <t>보라</t>
        </is>
      </c>
      <c r="E12" s="8" t="n">
        <v>1200</v>
      </c>
      <c r="F12" s="8" t="n">
        <v>3</v>
      </c>
      <c r="G12" s="8" t="n">
        <v>180</v>
      </c>
      <c r="H12" s="8" t="inlineStr">
        <is>
          <t>미스릴 낚싯대 이상</t>
        </is>
      </c>
    </row>
    <row r="13">
      <c r="A13" s="9" t="inlineStr">
        <is>
          <t>fish_legendary_koi</t>
        </is>
      </c>
      <c r="B13" s="9" t="inlineStr">
        <is>
          <t>전설의 비단잉어</t>
        </is>
      </c>
      <c r="C13" s="9" t="inlineStr">
        <is>
          <t>전설</t>
        </is>
      </c>
      <c r="D13" s="9" t="inlineStr">
        <is>
          <t>주황</t>
        </is>
      </c>
      <c r="E13" s="9" t="n">
        <v>5000</v>
      </c>
      <c r="F13" s="9" t="n">
        <v>1</v>
      </c>
      <c r="G13" s="9" t="n">
        <v>500</v>
      </c>
      <c r="H13" s="9" t="inlineStr">
        <is>
          <t>드래곤 낚싯대 / 평생 행운 +5%</t>
        </is>
      </c>
    </row>
    <row r="14">
      <c r="A14" s="8" t="inlineStr">
        <is>
          <t>fish_mythic_kraken</t>
        </is>
      </c>
      <c r="B14" s="8" t="inlineStr">
        <is>
          <t>신화의 크라켄</t>
        </is>
      </c>
      <c r="C14" s="8" t="inlineStr">
        <is>
          <t>신화</t>
        </is>
      </c>
      <c r="D14" s="8" t="inlineStr">
        <is>
          <t>자홍</t>
        </is>
      </c>
      <c r="E14" s="8" t="n">
        <v>20000</v>
      </c>
      <c r="F14" s="8" t="n">
        <v>0.2</v>
      </c>
      <c r="G14" s="8" t="n">
        <v>2000</v>
      </c>
      <c r="H14" s="8" t="inlineStr">
        <is>
          <t>밤 / 낚시터 / 드래곤 낚싯대 / 바다의 군주 칭호</t>
        </is>
      </c>
    </row>
    <row r="17">
      <c r="A17" s="10" t="inlineStr">
        <is>
          <t>낚싯대 (5등급)</t>
        </is>
      </c>
    </row>
    <row r="18">
      <c r="A18" s="11" t="inlineStr">
        <is>
          <t>ID</t>
        </is>
      </c>
      <c r="B18" s="11" t="inlineStr">
        <is>
          <t>이름</t>
        </is>
      </c>
      <c r="C18" s="11" t="inlineStr">
        <is>
          <t>티어</t>
        </is>
      </c>
      <c r="D18" s="11" t="inlineStr">
        <is>
          <t>품질배수</t>
        </is>
      </c>
      <c r="E18" s="11" t="inlineStr">
        <is>
          <t>희귀 보너스</t>
        </is>
      </c>
      <c r="F18" s="11" t="inlineStr">
        <is>
          <t>가격</t>
        </is>
      </c>
      <c r="G18" s="11" t="inlineStr">
        <is>
          <t>설명</t>
        </is>
      </c>
    </row>
    <row r="19">
      <c r="A19" s="3" t="inlineStr">
        <is>
          <t>rod_wooden</t>
        </is>
      </c>
      <c r="B19" s="3" t="inlineStr">
        <is>
          <t>나무 낚싯대</t>
        </is>
      </c>
      <c r="C19" s="3" t="n">
        <v>1</v>
      </c>
      <c r="D19" s="3" t="inlineStr">
        <is>
          <t>×1.0</t>
        </is>
      </c>
      <c r="E19" s="3" t="inlineStr">
        <is>
          <t>+0%</t>
        </is>
      </c>
      <c r="F19" s="3" t="inlineStr">
        <is>
          <t>200G</t>
        </is>
      </c>
      <c r="G19" s="3" t="inlineStr">
        <is>
          <t>기본 낚싯대</t>
        </is>
      </c>
    </row>
    <row r="20">
      <c r="A20" s="3" t="inlineStr">
        <is>
          <t>rod_iron</t>
        </is>
      </c>
      <c r="B20" s="3" t="inlineStr">
        <is>
          <t>철제 낚싯대</t>
        </is>
      </c>
      <c r="C20" s="3" t="n">
        <v>2</v>
      </c>
      <c r="D20" s="3" t="inlineStr">
        <is>
          <t>×1.2</t>
        </is>
      </c>
      <c r="E20" s="3" t="inlineStr">
        <is>
          <t>+5%</t>
        </is>
      </c>
      <c r="F20" s="3" t="inlineStr">
        <is>
          <t>1500G</t>
        </is>
      </c>
      <c r="G20" s="3" t="inlineStr">
        <is>
          <t>희귀 어종 +5%</t>
        </is>
      </c>
    </row>
    <row r="21">
      <c r="A21" s="3" t="inlineStr">
        <is>
          <t>rod_silver</t>
        </is>
      </c>
      <c r="B21" s="3" t="inlineStr">
        <is>
          <t>은제 낚싯대</t>
        </is>
      </c>
      <c r="C21" s="3" t="n">
        <v>3</v>
      </c>
      <c r="D21" s="3" t="inlineStr">
        <is>
          <t>×1.5</t>
        </is>
      </c>
      <c r="E21" s="3" t="inlineStr">
        <is>
          <t>+12%</t>
        </is>
      </c>
      <c r="F21" s="3" t="inlineStr">
        <is>
          <t>8000G</t>
        </is>
      </c>
      <c r="G21" s="3" t="inlineStr">
        <is>
          <t>희귀 어종 +12%</t>
        </is>
      </c>
    </row>
    <row r="22">
      <c r="A22" s="3" t="inlineStr">
        <is>
          <t>rod_mythril</t>
        </is>
      </c>
      <c r="B22" s="3" t="inlineStr">
        <is>
          <t>미스릴 낚싯대</t>
        </is>
      </c>
      <c r="C22" s="3" t="n">
        <v>4</v>
      </c>
      <c r="D22" s="3" t="inlineStr">
        <is>
          <t>×2.0</t>
        </is>
      </c>
      <c r="E22" s="3" t="inlineStr">
        <is>
          <t>+20%</t>
        </is>
      </c>
      <c r="F22" s="3" t="inlineStr">
        <is>
          <t>200💎</t>
        </is>
      </c>
      <c r="G22" s="3" t="inlineStr">
        <is>
          <t>영웅 어종 가능</t>
        </is>
      </c>
    </row>
    <row r="23">
      <c r="A23" s="3" t="inlineStr">
        <is>
          <t>rod_dragon</t>
        </is>
      </c>
      <c r="B23" s="3" t="inlineStr">
        <is>
          <t>드래곤 낚싯대</t>
        </is>
      </c>
      <c r="C23" s="3" t="n">
        <v>5</v>
      </c>
      <c r="D23" s="3" t="inlineStr">
        <is>
          <t>×3.0</t>
        </is>
      </c>
      <c r="E23" s="3" t="inlineStr">
        <is>
          <t>+35%</t>
        </is>
      </c>
      <c r="F23" s="3" t="inlineStr">
        <is>
          <t>800💎</t>
        </is>
      </c>
      <c r="G23" s="3" t="inlineStr">
        <is>
          <t>전설/신화 어종 가능</t>
        </is>
      </c>
    </row>
    <row r="26">
      <c r="A26" s="10" t="inlineStr">
        <is>
          <t>미끼 (4종)</t>
        </is>
      </c>
    </row>
    <row r="27">
      <c r="A27" s="11" t="inlineStr">
        <is>
          <t>ID</t>
        </is>
      </c>
      <c r="B27" s="11" t="inlineStr">
        <is>
          <t>이름</t>
        </is>
      </c>
      <c r="C27" s="11" t="inlineStr">
        <is>
          <t>효과</t>
        </is>
      </c>
      <c r="D27" s="11" t="inlineStr">
        <is>
          <t>가격</t>
        </is>
      </c>
    </row>
    <row r="28">
      <c r="A28" s="3" t="inlineStr">
        <is>
          <t>bait_worm</t>
        </is>
      </c>
      <c r="B28" s="3" t="inlineStr">
        <is>
          <t>지렁이</t>
        </is>
      </c>
      <c r="C28" s="3" t="inlineStr">
        <is>
          <t>일반 ×1.5</t>
        </is>
      </c>
      <c r="D28" s="3" t="inlineStr">
        <is>
          <t>5G</t>
        </is>
      </c>
    </row>
    <row r="29">
      <c r="A29" s="3" t="inlineStr">
        <is>
          <t>bait_shrimp</t>
        </is>
      </c>
      <c r="B29" s="3" t="inlineStr">
        <is>
          <t>새우</t>
        </is>
      </c>
      <c r="C29" s="3" t="inlineStr">
        <is>
          <t>고급 ×1.5</t>
        </is>
      </c>
      <c r="D29" s="3" t="inlineStr">
        <is>
          <t>30G</t>
        </is>
      </c>
    </row>
    <row r="30">
      <c r="A30" s="3" t="inlineStr">
        <is>
          <t>bait_squid</t>
        </is>
      </c>
      <c r="B30" s="3" t="inlineStr">
        <is>
          <t>오징어</t>
        </is>
      </c>
      <c r="C30" s="3" t="inlineStr">
        <is>
          <t>희귀 ×1.5 / 영웅 ×1.2</t>
        </is>
      </c>
      <c r="D30" s="3" t="inlineStr">
        <is>
          <t>150G</t>
        </is>
      </c>
    </row>
    <row r="31">
      <c r="A31" s="3" t="inlineStr">
        <is>
          <t>bait_glow</t>
        </is>
      </c>
      <c r="B31" s="3" t="inlineStr">
        <is>
          <t>발광 미끼</t>
        </is>
      </c>
      <c r="C31" s="3" t="inlineStr">
        <is>
          <t>전설 ×2.0 / 신화 ×1.5 (밤 전용)</t>
        </is>
      </c>
      <c r="D31" s="3" t="inlineStr">
        <is>
          <t>1000G</t>
        </is>
      </c>
    </row>
    <row r="34">
      <c r="A34" s="10" t="inlineStr">
        <is>
          <t>낚시 시스템</t>
        </is>
      </c>
    </row>
    <row r="35">
      <c r="A35" s="3" t="inlineStr">
        <is>
          <t>지역</t>
        </is>
      </c>
      <c r="B35" s="3" t="inlineStr">
        <is>
          <t>낚시 만 (fishing) / 강변 평야 (riverbank) / 산호초 해안</t>
        </is>
      </c>
    </row>
    <row r="36">
      <c r="A36" s="3" t="inlineStr">
        <is>
          <t>시간 효과</t>
        </is>
      </c>
      <c r="B36" s="3" t="inlineStr">
        <is>
          <t>밤에는 신화 크라켄 출현 가능 (낚시터 한정)</t>
        </is>
      </c>
    </row>
    <row r="37">
      <c r="A37" s="3" t="inlineStr">
        <is>
          <t>업적 연계</t>
        </is>
      </c>
      <c r="B37" s="3" t="inlineStr">
        <is>
          <t>ach_fish50 — 물고기 50마리 잡기</t>
        </is>
      </c>
    </row>
    <row r="38">
      <c r="A38" s="3" t="inlineStr">
        <is>
          <t>모듈</t>
        </is>
      </c>
      <c r="B38" s="3" t="inlineStr">
        <is>
          <t>game/fishing.js (신규 파일)</t>
        </is>
      </c>
    </row>
  </sheetData>
  <mergeCells count="1">
    <mergeCell ref="A1:H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8" customWidth="1" min="1" max="1"/>
    <col width="18" customWidth="1" min="2" max="2"/>
    <col width="12" customWidth="1" min="3" max="3"/>
    <col width="8" customWidth="1" min="4" max="4"/>
    <col width="8" customWidth="1" min="5" max="5"/>
    <col width="10" customWidth="1" min="6" max="6"/>
    <col width="10" customWidth="1" min="7" max="7"/>
    <col width="10" customWidth="1" min="8" max="8"/>
    <col width="10" customWidth="1" min="9" max="9"/>
    <col width="12" customWidth="1" min="10" max="10"/>
    <col width="8" customWidth="1" min="11" max="11"/>
  </cols>
  <sheetData>
    <row r="1">
      <c r="A1" s="6" t="inlineStr">
        <is>
          <t>보스 러시 (20웨이브 — v1.23 신규 모듈 game/boss_rush.js)</t>
        </is>
      </c>
    </row>
    <row r="3">
      <c r="A3" s="7" t="inlineStr">
        <is>
          <t>웨이브</t>
        </is>
      </c>
      <c r="B3" s="7" t="inlineStr">
        <is>
          <t>이름</t>
        </is>
      </c>
      <c r="C3" s="7" t="inlineStr">
        <is>
          <t>HP</t>
        </is>
      </c>
      <c r="D3" s="7" t="inlineStr">
        <is>
          <t>ATK</t>
        </is>
      </c>
      <c r="E3" s="7" t="inlineStr">
        <is>
          <t>DEF</t>
        </is>
      </c>
      <c r="F3" s="7" t="inlineStr">
        <is>
          <t>시간 제한</t>
        </is>
      </c>
      <c r="G3" s="7" t="inlineStr">
        <is>
          <t>골드</t>
        </is>
      </c>
      <c r="H3" s="7" t="inlineStr">
        <is>
          <t>EXP</t>
        </is>
      </c>
      <c r="I3" s="7" t="inlineStr">
        <is>
          <t>다이아</t>
        </is>
      </c>
      <c r="J3" s="7" t="inlineStr">
        <is>
          <t>추가 보상</t>
        </is>
      </c>
      <c r="K3" s="7" t="inlineStr">
        <is>
          <t>등급</t>
        </is>
      </c>
    </row>
    <row r="4">
      <c r="A4" s="8" t="n">
        <v>1</v>
      </c>
      <c r="B4" s="8" t="inlineStr">
        <is>
          <t>1웨이브 보스</t>
        </is>
      </c>
      <c r="C4" s="8" t="inlineStr">
        <is>
          <t>1,000</t>
        </is>
      </c>
      <c r="D4" s="8" t="n">
        <v>30</v>
      </c>
      <c r="E4" s="8" t="n">
        <v>10</v>
      </c>
      <c r="F4" s="8" t="inlineStr">
        <is>
          <t>65초</t>
        </is>
      </c>
      <c r="G4" s="8" t="inlineStr">
        <is>
          <t>200G</t>
        </is>
      </c>
      <c r="H4" s="8" t="inlineStr">
        <is>
          <t>300 EXP</t>
        </is>
      </c>
      <c r="I4" s="8" t="inlineStr">
        <is>
          <t>0💎</t>
        </is>
      </c>
      <c r="J4" s="8" t="inlineStr">
        <is>
          <t>-</t>
        </is>
      </c>
      <c r="K4" s="8" t="inlineStr">
        <is>
          <t>일반</t>
        </is>
      </c>
    </row>
    <row r="5">
      <c r="A5" s="9" t="n">
        <v>2</v>
      </c>
      <c r="B5" s="9" t="inlineStr">
        <is>
          <t>2웨이브 보스</t>
        </is>
      </c>
      <c r="C5" s="9" t="inlineStr">
        <is>
          <t>1,350</t>
        </is>
      </c>
      <c r="D5" s="9" t="n">
        <v>36</v>
      </c>
      <c r="E5" s="9" t="n">
        <v>11</v>
      </c>
      <c r="F5" s="9" t="inlineStr">
        <is>
          <t>70초</t>
        </is>
      </c>
      <c r="G5" s="9" t="inlineStr">
        <is>
          <t>400G</t>
        </is>
      </c>
      <c r="H5" s="9" t="inlineStr">
        <is>
          <t>600 EXP</t>
        </is>
      </c>
      <c r="I5" s="9" t="inlineStr">
        <is>
          <t>0💎</t>
        </is>
      </c>
      <c r="J5" s="9" t="inlineStr">
        <is>
          <t>-</t>
        </is>
      </c>
      <c r="K5" s="9" t="inlineStr">
        <is>
          <t>일반</t>
        </is>
      </c>
    </row>
    <row r="6">
      <c r="A6" s="8" t="n">
        <v>3</v>
      </c>
      <c r="B6" s="8" t="inlineStr">
        <is>
          <t>3웨이브 보스</t>
        </is>
      </c>
      <c r="C6" s="8" t="inlineStr">
        <is>
          <t>1,822</t>
        </is>
      </c>
      <c r="D6" s="8" t="n">
        <v>43</v>
      </c>
      <c r="E6" s="8" t="n">
        <v>13</v>
      </c>
      <c r="F6" s="8" t="inlineStr">
        <is>
          <t>75초</t>
        </is>
      </c>
      <c r="G6" s="8" t="inlineStr">
        <is>
          <t>600G</t>
        </is>
      </c>
      <c r="H6" s="8" t="inlineStr">
        <is>
          <t>900 EXP</t>
        </is>
      </c>
      <c r="I6" s="8" t="inlineStr">
        <is>
          <t>0💎</t>
        </is>
      </c>
      <c r="J6" s="8" t="inlineStr">
        <is>
          <t>-</t>
        </is>
      </c>
      <c r="K6" s="8" t="inlineStr">
        <is>
          <t>일반</t>
        </is>
      </c>
    </row>
    <row r="7">
      <c r="A7" s="9" t="n">
        <v>4</v>
      </c>
      <c r="B7" s="9" t="inlineStr">
        <is>
          <t>4웨이브 보스</t>
        </is>
      </c>
      <c r="C7" s="9" t="inlineStr">
        <is>
          <t>2,460</t>
        </is>
      </c>
      <c r="D7" s="9" t="n">
        <v>51</v>
      </c>
      <c r="E7" s="9" t="n">
        <v>16</v>
      </c>
      <c r="F7" s="9" t="inlineStr">
        <is>
          <t>80초</t>
        </is>
      </c>
      <c r="G7" s="9" t="inlineStr">
        <is>
          <t>800G</t>
        </is>
      </c>
      <c r="H7" s="9" t="inlineStr">
        <is>
          <t>1200 EXP</t>
        </is>
      </c>
      <c r="I7" s="9" t="inlineStr">
        <is>
          <t>0💎</t>
        </is>
      </c>
      <c r="J7" s="9" t="inlineStr">
        <is>
          <t>-</t>
        </is>
      </c>
      <c r="K7" s="9" t="inlineStr">
        <is>
          <t>일반</t>
        </is>
      </c>
    </row>
    <row r="8">
      <c r="A8" s="8" t="n">
        <v>5</v>
      </c>
      <c r="B8" s="8" t="inlineStr">
        <is>
          <t>5웨이브 정예 보스</t>
        </is>
      </c>
      <c r="C8" s="8" t="inlineStr">
        <is>
          <t>3,321</t>
        </is>
      </c>
      <c r="D8" s="8" t="n">
        <v>62</v>
      </c>
      <c r="E8" s="8" t="n">
        <v>19</v>
      </c>
      <c r="F8" s="8" t="inlineStr">
        <is>
          <t>85초</t>
        </is>
      </c>
      <c r="G8" s="8" t="inlineStr">
        <is>
          <t>1000G</t>
        </is>
      </c>
      <c r="H8" s="8" t="inlineStr">
        <is>
          <t>1500 EXP</t>
        </is>
      </c>
      <c r="I8" s="8" t="inlineStr">
        <is>
          <t>30💎</t>
        </is>
      </c>
      <c r="J8" s="8" t="inlineStr">
        <is>
          <t>영혼석 ×3</t>
        </is>
      </c>
      <c r="K8" s="8" t="inlineStr">
        <is>
          <t>정예</t>
        </is>
      </c>
    </row>
    <row r="9">
      <c r="A9" s="9" t="n">
        <v>6</v>
      </c>
      <c r="B9" s="9" t="inlineStr">
        <is>
          <t>6웨이브 보스</t>
        </is>
      </c>
      <c r="C9" s="9" t="inlineStr">
        <is>
          <t>4,484</t>
        </is>
      </c>
      <c r="D9" s="9" t="n">
        <v>74</v>
      </c>
      <c r="E9" s="9" t="n">
        <v>22</v>
      </c>
      <c r="F9" s="9" t="inlineStr">
        <is>
          <t>90초</t>
        </is>
      </c>
      <c r="G9" s="9" t="inlineStr">
        <is>
          <t>1200G</t>
        </is>
      </c>
      <c r="H9" s="9" t="inlineStr">
        <is>
          <t>1800 EXP</t>
        </is>
      </c>
      <c r="I9" s="9" t="inlineStr">
        <is>
          <t>0💎</t>
        </is>
      </c>
      <c r="J9" s="9" t="inlineStr">
        <is>
          <t>-</t>
        </is>
      </c>
      <c r="K9" s="9" t="inlineStr">
        <is>
          <t>일반</t>
        </is>
      </c>
    </row>
    <row r="10">
      <c r="A10" s="8" t="n">
        <v>7</v>
      </c>
      <c r="B10" s="8" t="inlineStr">
        <is>
          <t>7웨이브 보스</t>
        </is>
      </c>
      <c r="C10" s="8" t="inlineStr">
        <is>
          <t>6,053</t>
        </is>
      </c>
      <c r="D10" s="8" t="n">
        <v>89</v>
      </c>
      <c r="E10" s="8" t="n">
        <v>26</v>
      </c>
      <c r="F10" s="8" t="inlineStr">
        <is>
          <t>95초</t>
        </is>
      </c>
      <c r="G10" s="8" t="inlineStr">
        <is>
          <t>1400G</t>
        </is>
      </c>
      <c r="H10" s="8" t="inlineStr">
        <is>
          <t>2100 EXP</t>
        </is>
      </c>
      <c r="I10" s="8" t="inlineStr">
        <is>
          <t>0💎</t>
        </is>
      </c>
      <c r="J10" s="8" t="inlineStr">
        <is>
          <t>-</t>
        </is>
      </c>
      <c r="K10" s="8" t="inlineStr">
        <is>
          <t>일반</t>
        </is>
      </c>
    </row>
    <row r="11">
      <c r="A11" s="9" t="n">
        <v>8</v>
      </c>
      <c r="B11" s="9" t="inlineStr">
        <is>
          <t>8웨이브 보스</t>
        </is>
      </c>
      <c r="C11" s="9" t="inlineStr">
        <is>
          <t>8,172</t>
        </is>
      </c>
      <c r="D11" s="9" t="n">
        <v>107</v>
      </c>
      <c r="E11" s="9" t="n">
        <v>31</v>
      </c>
      <c r="F11" s="9" t="inlineStr">
        <is>
          <t>100초</t>
        </is>
      </c>
      <c r="G11" s="9" t="inlineStr">
        <is>
          <t>1600G</t>
        </is>
      </c>
      <c r="H11" s="9" t="inlineStr">
        <is>
          <t>2400 EXP</t>
        </is>
      </c>
      <c r="I11" s="9" t="inlineStr">
        <is>
          <t>0💎</t>
        </is>
      </c>
      <c r="J11" s="9" t="inlineStr">
        <is>
          <t>-</t>
        </is>
      </c>
      <c r="K11" s="9" t="inlineStr">
        <is>
          <t>일반</t>
        </is>
      </c>
    </row>
    <row r="12">
      <c r="A12" s="8" t="n">
        <v>9</v>
      </c>
      <c r="B12" s="8" t="inlineStr">
        <is>
          <t>9웨이브 보스</t>
        </is>
      </c>
      <c r="C12" s="8" t="inlineStr">
        <is>
          <t>11,032</t>
        </is>
      </c>
      <c r="D12" s="8" t="n">
        <v>128</v>
      </c>
      <c r="E12" s="8" t="n">
        <v>37</v>
      </c>
      <c r="F12" s="8" t="inlineStr">
        <is>
          <t>105초</t>
        </is>
      </c>
      <c r="G12" s="8" t="inlineStr">
        <is>
          <t>1800G</t>
        </is>
      </c>
      <c r="H12" s="8" t="inlineStr">
        <is>
          <t>2700 EXP</t>
        </is>
      </c>
      <c r="I12" s="8" t="inlineStr">
        <is>
          <t>0💎</t>
        </is>
      </c>
      <c r="J12" s="8" t="inlineStr">
        <is>
          <t>-</t>
        </is>
      </c>
      <c r="K12" s="8" t="inlineStr">
        <is>
          <t>일반</t>
        </is>
      </c>
    </row>
    <row r="13">
      <c r="A13" s="9" t="n">
        <v>10</v>
      </c>
      <c r="B13" s="9" t="inlineStr">
        <is>
          <t>10웨이브 정예 보스</t>
        </is>
      </c>
      <c r="C13" s="9" t="inlineStr">
        <is>
          <t>14,893</t>
        </is>
      </c>
      <c r="D13" s="9" t="n">
        <v>154</v>
      </c>
      <c r="E13" s="9" t="n">
        <v>44</v>
      </c>
      <c r="F13" s="9" t="inlineStr">
        <is>
          <t>110초</t>
        </is>
      </c>
      <c r="G13" s="9" t="inlineStr">
        <is>
          <t>2000G</t>
        </is>
      </c>
      <c r="H13" s="9" t="inlineStr">
        <is>
          <t>3000 EXP</t>
        </is>
      </c>
      <c r="I13" s="9" t="inlineStr">
        <is>
          <t>30💎</t>
        </is>
      </c>
      <c r="J13" s="9" t="inlineStr">
        <is>
          <t>영혼석 ×3</t>
        </is>
      </c>
      <c r="K13" s="9" t="inlineStr">
        <is>
          <t>정예</t>
        </is>
      </c>
    </row>
    <row r="14">
      <c r="A14" s="8" t="n">
        <v>11</v>
      </c>
      <c r="B14" s="8" t="inlineStr">
        <is>
          <t>11웨이브 보스</t>
        </is>
      </c>
      <c r="C14" s="8" t="inlineStr">
        <is>
          <t>20,106</t>
        </is>
      </c>
      <c r="D14" s="8" t="n">
        <v>185</v>
      </c>
      <c r="E14" s="8" t="n">
        <v>52</v>
      </c>
      <c r="F14" s="8" t="inlineStr">
        <is>
          <t>115초</t>
        </is>
      </c>
      <c r="G14" s="8" t="inlineStr">
        <is>
          <t>2200G</t>
        </is>
      </c>
      <c r="H14" s="8" t="inlineStr">
        <is>
          <t>3300 EXP</t>
        </is>
      </c>
      <c r="I14" s="8" t="inlineStr">
        <is>
          <t>0💎</t>
        </is>
      </c>
      <c r="J14" s="8" t="inlineStr">
        <is>
          <t>-</t>
        </is>
      </c>
      <c r="K14" s="8" t="inlineStr">
        <is>
          <t>일반</t>
        </is>
      </c>
    </row>
    <row r="15">
      <c r="A15" s="9" t="n">
        <v>12</v>
      </c>
      <c r="B15" s="9" t="inlineStr">
        <is>
          <t>12웨이브 보스</t>
        </is>
      </c>
      <c r="C15" s="9" t="inlineStr">
        <is>
          <t>27,143</t>
        </is>
      </c>
      <c r="D15" s="9" t="n">
        <v>222</v>
      </c>
      <c r="E15" s="9" t="n">
        <v>61</v>
      </c>
      <c r="F15" s="9" t="inlineStr">
        <is>
          <t>120초</t>
        </is>
      </c>
      <c r="G15" s="9" t="inlineStr">
        <is>
          <t>2400G</t>
        </is>
      </c>
      <c r="H15" s="9" t="inlineStr">
        <is>
          <t>3600 EXP</t>
        </is>
      </c>
      <c r="I15" s="9" t="inlineStr">
        <is>
          <t>0💎</t>
        </is>
      </c>
      <c r="J15" s="9" t="inlineStr">
        <is>
          <t>-</t>
        </is>
      </c>
      <c r="K15" s="9" t="inlineStr">
        <is>
          <t>일반</t>
        </is>
      </c>
    </row>
    <row r="16">
      <c r="A16" s="8" t="n">
        <v>13</v>
      </c>
      <c r="B16" s="8" t="inlineStr">
        <is>
          <t>13웨이브 보스</t>
        </is>
      </c>
      <c r="C16" s="8" t="inlineStr">
        <is>
          <t>36,644</t>
        </is>
      </c>
      <c r="D16" s="8" t="n">
        <v>267</v>
      </c>
      <c r="E16" s="8" t="n">
        <v>72</v>
      </c>
      <c r="F16" s="8" t="inlineStr">
        <is>
          <t>125초</t>
        </is>
      </c>
      <c r="G16" s="8" t="inlineStr">
        <is>
          <t>2600G</t>
        </is>
      </c>
      <c r="H16" s="8" t="inlineStr">
        <is>
          <t>3900 EXP</t>
        </is>
      </c>
      <c r="I16" s="8" t="inlineStr">
        <is>
          <t>0💎</t>
        </is>
      </c>
      <c r="J16" s="8" t="inlineStr">
        <is>
          <t>-</t>
        </is>
      </c>
      <c r="K16" s="8" t="inlineStr">
        <is>
          <t>일반</t>
        </is>
      </c>
    </row>
    <row r="17">
      <c r="A17" s="9" t="n">
        <v>14</v>
      </c>
      <c r="B17" s="9" t="inlineStr">
        <is>
          <t>14웨이브 보스</t>
        </is>
      </c>
      <c r="C17" s="9" t="inlineStr">
        <is>
          <t>49,469</t>
        </is>
      </c>
      <c r="D17" s="9" t="n">
        <v>320</v>
      </c>
      <c r="E17" s="9" t="n">
        <v>85</v>
      </c>
      <c r="F17" s="9" t="inlineStr">
        <is>
          <t>130초</t>
        </is>
      </c>
      <c r="G17" s="9" t="inlineStr">
        <is>
          <t>2800G</t>
        </is>
      </c>
      <c r="H17" s="9" t="inlineStr">
        <is>
          <t>4200 EXP</t>
        </is>
      </c>
      <c r="I17" s="9" t="inlineStr">
        <is>
          <t>0💎</t>
        </is>
      </c>
      <c r="J17" s="9" t="inlineStr">
        <is>
          <t>-</t>
        </is>
      </c>
      <c r="K17" s="9" t="inlineStr">
        <is>
          <t>일반</t>
        </is>
      </c>
    </row>
    <row r="18">
      <c r="A18" s="8" t="n">
        <v>15</v>
      </c>
      <c r="B18" s="8" t="inlineStr">
        <is>
          <t>15웨이브 정예 보스</t>
        </is>
      </c>
      <c r="C18" s="8" t="inlineStr">
        <is>
          <t>66,784</t>
        </is>
      </c>
      <c r="D18" s="8" t="n">
        <v>385</v>
      </c>
      <c r="E18" s="8" t="n">
        <v>101</v>
      </c>
      <c r="F18" s="8" t="inlineStr">
        <is>
          <t>135초</t>
        </is>
      </c>
      <c r="G18" s="8" t="inlineStr">
        <is>
          <t>3000G</t>
        </is>
      </c>
      <c r="H18" s="8" t="inlineStr">
        <is>
          <t>4500 EXP</t>
        </is>
      </c>
      <c r="I18" s="8" t="inlineStr">
        <is>
          <t>30💎</t>
        </is>
      </c>
      <c r="J18" s="8" t="inlineStr">
        <is>
          <t>영혼석 ×3</t>
        </is>
      </c>
      <c r="K18" s="8" t="inlineStr">
        <is>
          <t>정예</t>
        </is>
      </c>
    </row>
    <row r="19">
      <c r="A19" s="9" t="n">
        <v>16</v>
      </c>
      <c r="B19" s="9" t="inlineStr">
        <is>
          <t>16웨이브 보스</t>
        </is>
      </c>
      <c r="C19" s="9" t="inlineStr">
        <is>
          <t>90,158</t>
        </is>
      </c>
      <c r="D19" s="9" t="n">
        <v>462</v>
      </c>
      <c r="E19" s="9" t="n">
        <v>119</v>
      </c>
      <c r="F19" s="9" t="inlineStr">
        <is>
          <t>140초</t>
        </is>
      </c>
      <c r="G19" s="9" t="inlineStr">
        <is>
          <t>3200G</t>
        </is>
      </c>
      <c r="H19" s="9" t="inlineStr">
        <is>
          <t>4800 EXP</t>
        </is>
      </c>
      <c r="I19" s="9" t="inlineStr">
        <is>
          <t>0💎</t>
        </is>
      </c>
      <c r="J19" s="9" t="inlineStr">
        <is>
          <t>-</t>
        </is>
      </c>
      <c r="K19" s="9" t="inlineStr">
        <is>
          <t>일반</t>
        </is>
      </c>
    </row>
    <row r="20">
      <c r="A20" s="8" t="n">
        <v>17</v>
      </c>
      <c r="B20" s="8" t="inlineStr">
        <is>
          <t>17웨이브 보스</t>
        </is>
      </c>
      <c r="C20" s="8" t="inlineStr">
        <is>
          <t>121,713</t>
        </is>
      </c>
      <c r="D20" s="8" t="n">
        <v>554</v>
      </c>
      <c r="E20" s="8" t="n">
        <v>141</v>
      </c>
      <c r="F20" s="8" t="inlineStr">
        <is>
          <t>145초</t>
        </is>
      </c>
      <c r="G20" s="8" t="inlineStr">
        <is>
          <t>3400G</t>
        </is>
      </c>
      <c r="H20" s="8" t="inlineStr">
        <is>
          <t>5100 EXP</t>
        </is>
      </c>
      <c r="I20" s="8" t="inlineStr">
        <is>
          <t>0💎</t>
        </is>
      </c>
      <c r="J20" s="8" t="inlineStr">
        <is>
          <t>-</t>
        </is>
      </c>
      <c r="K20" s="8" t="inlineStr">
        <is>
          <t>일반</t>
        </is>
      </c>
    </row>
    <row r="21">
      <c r="A21" s="9" t="n">
        <v>18</v>
      </c>
      <c r="B21" s="9" t="inlineStr">
        <is>
          <t>18웨이브 보스</t>
        </is>
      </c>
      <c r="C21" s="9" t="inlineStr">
        <is>
          <t>164,313</t>
        </is>
      </c>
      <c r="D21" s="9" t="n">
        <v>665</v>
      </c>
      <c r="E21" s="9" t="n">
        <v>166</v>
      </c>
      <c r="F21" s="9" t="inlineStr">
        <is>
          <t>150초</t>
        </is>
      </c>
      <c r="G21" s="9" t="inlineStr">
        <is>
          <t>3600G</t>
        </is>
      </c>
      <c r="H21" s="9" t="inlineStr">
        <is>
          <t>5400 EXP</t>
        </is>
      </c>
      <c r="I21" s="9" t="inlineStr">
        <is>
          <t>0💎</t>
        </is>
      </c>
      <c r="J21" s="9" t="inlineStr">
        <is>
          <t>-</t>
        </is>
      </c>
      <c r="K21" s="9" t="inlineStr">
        <is>
          <t>일반</t>
        </is>
      </c>
    </row>
    <row r="22">
      <c r="A22" s="8" t="n">
        <v>19</v>
      </c>
      <c r="B22" s="8" t="inlineStr">
        <is>
          <t>19웨이브 보스</t>
        </is>
      </c>
      <c r="C22" s="8" t="inlineStr">
        <is>
          <t>221,823</t>
        </is>
      </c>
      <c r="D22" s="8" t="n">
        <v>798</v>
      </c>
      <c r="E22" s="8" t="n">
        <v>196</v>
      </c>
      <c r="F22" s="8" t="inlineStr">
        <is>
          <t>155초</t>
        </is>
      </c>
      <c r="G22" s="8" t="inlineStr">
        <is>
          <t>3800G</t>
        </is>
      </c>
      <c r="H22" s="8" t="inlineStr">
        <is>
          <t>5700 EXP</t>
        </is>
      </c>
      <c r="I22" s="8" t="inlineStr">
        <is>
          <t>0💎</t>
        </is>
      </c>
      <c r="J22" s="8" t="inlineStr">
        <is>
          <t>-</t>
        </is>
      </c>
      <c r="K22" s="8" t="inlineStr">
        <is>
          <t>일반</t>
        </is>
      </c>
    </row>
    <row r="23">
      <c r="A23" s="9" t="n">
        <v>20</v>
      </c>
      <c r="B23" s="9" t="inlineStr">
        <is>
          <t>심연의 군주</t>
        </is>
      </c>
      <c r="C23" s="9" t="inlineStr">
        <is>
          <t>299,461</t>
        </is>
      </c>
      <c r="D23" s="9" t="n">
        <v>958</v>
      </c>
      <c r="E23" s="9" t="n">
        <v>232</v>
      </c>
      <c r="F23" s="9" t="inlineStr">
        <is>
          <t>160초</t>
        </is>
      </c>
      <c r="G23" s="9" t="inlineStr">
        <is>
          <t>4000G</t>
        </is>
      </c>
      <c r="H23" s="9" t="inlineStr">
        <is>
          <t>6000 EXP</t>
        </is>
      </c>
      <c r="I23" s="9" t="inlineStr">
        <is>
          <t>200💎</t>
        </is>
      </c>
      <c r="J23" s="9" t="inlineStr">
        <is>
          <t>용재료 ×5</t>
        </is>
      </c>
      <c r="K23" s="9" t="inlineStr">
        <is>
          <t>최종</t>
        </is>
      </c>
    </row>
    <row r="26">
      <c r="A26" s="10" t="inlineStr">
        <is>
          <t>보스 러시 시스템</t>
        </is>
      </c>
    </row>
    <row r="27">
      <c r="A27" s="3" t="inlineStr">
        <is>
          <t>스케일링</t>
        </is>
      </c>
      <c r="B27" s="3" t="inlineStr">
        <is>
          <t>HP ×1.35^(웨이브-1) / ATK ×1.20 / DEF ×1.18</t>
        </is>
      </c>
    </row>
    <row r="28">
      <c r="A28" s="3" t="inlineStr">
        <is>
          <t>총 HP (20웨이브)</t>
        </is>
      </c>
      <c r="B28" s="3" t="inlineStr">
        <is>
          <t>약 35만 (심연의 군주)</t>
        </is>
      </c>
    </row>
    <row r="29">
      <c r="A29" s="3" t="inlineStr">
        <is>
          <t>시간 제한</t>
        </is>
      </c>
      <c r="B29" s="3" t="inlineStr">
        <is>
          <t>웨이브 1: 65초 → 웨이브 20: 165초</t>
        </is>
      </c>
    </row>
    <row r="30">
      <c r="A30" s="3" t="inlineStr">
        <is>
          <t>보스 웨이브</t>
        </is>
      </c>
      <c r="B30" s="3" t="inlineStr">
        <is>
          <t>5/10/15/20 (다이아 + 영혼석 보너스)</t>
        </is>
      </c>
    </row>
    <row r="31">
      <c r="A31" s="3" t="inlineStr">
        <is>
          <t>최종 보상</t>
        </is>
      </c>
      <c r="B31" s="3" t="inlineStr">
        <is>
          <t>심연의 군주: 4000G + 6000EXP + 200💎 + 용재료×5</t>
        </is>
      </c>
    </row>
    <row r="32">
      <c r="A32" s="3" t="inlineStr">
        <is>
          <t>입장</t>
        </is>
      </c>
      <c r="B32" s="3" t="inlineStr">
        <is>
          <t>매일 무료 3회 / 골드 1000G / 다이아 30💎</t>
        </is>
      </c>
    </row>
    <row r="33">
      <c r="A33" s="3" t="inlineStr">
        <is>
          <t>랭킹 1위 보상</t>
        </is>
      </c>
      <c r="B33" s="3" t="inlineStr">
        <is>
          <t>500💎 + 보스 러시 챔피언 칭호</t>
        </is>
      </c>
    </row>
    <row r="34">
      <c r="A34" s="3" t="inlineStr">
        <is>
          <t>모듈</t>
        </is>
      </c>
      <c r="B34" s="3" t="inlineStr">
        <is>
          <t>game/boss_rush.js (신규 파일)</t>
        </is>
      </c>
    </row>
  </sheetData>
  <mergeCells count="1">
    <mergeCell ref="A1:K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6" customWidth="1" min="1" max="1"/>
    <col width="18" customWidth="1" min="2" max="2"/>
    <col width="8" customWidth="1" min="3" max="3"/>
    <col width="8" customWidth="1" min="4" max="4"/>
    <col width="10" customWidth="1" min="5" max="5"/>
    <col width="10" customWidth="1" min="6" max="6"/>
    <col width="18" customWidth="1" min="7" max="7"/>
  </cols>
  <sheetData>
    <row r="1">
      <c r="A1" s="6" t="inlineStr">
        <is>
          <t>행운의 룰렛 (10종 — v1.22 신규 모듈 game/lottery.js)</t>
        </is>
      </c>
    </row>
    <row r="3">
      <c r="A3" s="7" t="inlineStr">
        <is>
          <t>ID</t>
        </is>
      </c>
      <c r="B3" s="7" t="inlineStr">
        <is>
          <t>보상명</t>
        </is>
      </c>
      <c r="C3" s="7" t="inlineStr">
        <is>
          <t>등급</t>
        </is>
      </c>
      <c r="D3" s="7" t="inlineStr">
        <is>
          <t>색상</t>
        </is>
      </c>
      <c r="E3" s="7" t="inlineStr">
        <is>
          <t>가중치</t>
        </is>
      </c>
      <c r="F3" s="7" t="inlineStr">
        <is>
          <t>확률</t>
        </is>
      </c>
      <c r="G3" s="7" t="inlineStr">
        <is>
          <t>상세</t>
        </is>
      </c>
    </row>
    <row r="4">
      <c r="A4" s="8" t="inlineStr">
        <is>
          <t>common_gold</t>
        </is>
      </c>
      <c r="B4" s="8" t="inlineStr">
        <is>
          <t>100 골드</t>
        </is>
      </c>
      <c r="C4" s="8" t="inlineStr">
        <is>
          <t>일반</t>
        </is>
      </c>
      <c r="D4" s="8" t="inlineStr">
        <is>
          <t>회색</t>
        </is>
      </c>
      <c r="E4" s="8" t="n">
        <v>350</v>
      </c>
      <c r="F4" s="8" t="inlineStr">
        <is>
          <t>35.0%</t>
        </is>
      </c>
      <c r="G4" s="8" t="inlineStr">
        <is>
          <t>100 G</t>
        </is>
      </c>
    </row>
    <row r="5">
      <c r="A5" s="9" t="inlineStr">
        <is>
          <t>common_mat</t>
        </is>
      </c>
      <c r="B5" s="9" t="inlineStr">
        <is>
          <t>마법재료 ×3</t>
        </is>
      </c>
      <c r="C5" s="9" t="inlineStr">
        <is>
          <t>일반</t>
        </is>
      </c>
      <c r="D5" s="9" t="inlineStr">
        <is>
          <t>회색</t>
        </is>
      </c>
      <c r="E5" s="9" t="n">
        <v>250</v>
      </c>
      <c r="F5" s="9" t="inlineStr">
        <is>
          <t>25.0%</t>
        </is>
      </c>
      <c r="G5" s="9" t="inlineStr">
        <is>
          <t>마법재료 ×3</t>
        </is>
      </c>
    </row>
    <row r="6">
      <c r="A6" s="8" t="inlineStr">
        <is>
          <t>uncommon_gold</t>
        </is>
      </c>
      <c r="B6" s="8" t="inlineStr">
        <is>
          <t>500 골드</t>
        </is>
      </c>
      <c r="C6" s="8" t="inlineStr">
        <is>
          <t>고급</t>
        </is>
      </c>
      <c r="D6" s="8" t="inlineStr">
        <is>
          <t>녹색</t>
        </is>
      </c>
      <c r="E6" s="8" t="n">
        <v>150</v>
      </c>
      <c r="F6" s="8" t="inlineStr">
        <is>
          <t>15.0%</t>
        </is>
      </c>
      <c r="G6" s="8" t="inlineStr">
        <is>
          <t>500 G</t>
        </is>
      </c>
    </row>
    <row r="7">
      <c r="A7" s="9" t="inlineStr">
        <is>
          <t>uncommon_food</t>
        </is>
      </c>
      <c r="B7" s="9" t="inlineStr">
        <is>
          <t>용의 만찬 ×1</t>
        </is>
      </c>
      <c r="C7" s="9" t="inlineStr">
        <is>
          <t>고급</t>
        </is>
      </c>
      <c r="D7" s="9" t="inlineStr">
        <is>
          <t>녹색</t>
        </is>
      </c>
      <c r="E7" s="9" t="n">
        <v>80</v>
      </c>
      <c r="F7" s="9" t="inlineStr">
        <is>
          <t>8.0%</t>
        </is>
      </c>
      <c r="G7" s="9" t="inlineStr">
        <is>
          <t>용의 만찬 ×1</t>
        </is>
      </c>
    </row>
    <row r="8">
      <c r="A8" s="8" t="inlineStr">
        <is>
          <t>rare_diamond</t>
        </is>
      </c>
      <c r="B8" s="8" t="inlineStr">
        <is>
          <t>20 다이아</t>
        </is>
      </c>
      <c r="C8" s="8" t="inlineStr">
        <is>
          <t>희귀</t>
        </is>
      </c>
      <c r="D8" s="8" t="inlineStr">
        <is>
          <t>파랑</t>
        </is>
      </c>
      <c r="E8" s="8" t="n">
        <v>60</v>
      </c>
      <c r="F8" s="8" t="inlineStr">
        <is>
          <t>6.0%</t>
        </is>
      </c>
      <c r="G8" s="8" t="inlineStr">
        <is>
          <t>20 💎</t>
        </is>
      </c>
    </row>
    <row r="9">
      <c r="A9" s="9" t="inlineStr">
        <is>
          <t>rare_soul</t>
        </is>
      </c>
      <c r="B9" s="9" t="inlineStr">
        <is>
          <t>영혼석 ×5</t>
        </is>
      </c>
      <c r="C9" s="9" t="inlineStr">
        <is>
          <t>희귀</t>
        </is>
      </c>
      <c r="D9" s="9" t="inlineStr">
        <is>
          <t>파랑</t>
        </is>
      </c>
      <c r="E9" s="9" t="n">
        <v>50</v>
      </c>
      <c r="F9" s="9" t="inlineStr">
        <is>
          <t>5.0%</t>
        </is>
      </c>
      <c r="G9" s="9" t="inlineStr">
        <is>
          <t>영혼석 ×5</t>
        </is>
      </c>
    </row>
    <row r="10">
      <c r="A10" s="8" t="inlineStr">
        <is>
          <t>epic_dragon</t>
        </is>
      </c>
      <c r="B10" s="8" t="inlineStr">
        <is>
          <t>용재료 ×3</t>
        </is>
      </c>
      <c r="C10" s="8" t="inlineStr">
        <is>
          <t>영웅</t>
        </is>
      </c>
      <c r="D10" s="8" t="inlineStr">
        <is>
          <t>보라</t>
        </is>
      </c>
      <c r="E10" s="8" t="n">
        <v>30</v>
      </c>
      <c r="F10" s="8" t="inlineStr">
        <is>
          <t>3.0%</t>
        </is>
      </c>
      <c r="G10" s="8" t="inlineStr">
        <is>
          <t>용재료 ×3</t>
        </is>
      </c>
    </row>
    <row r="11">
      <c r="A11" s="9" t="inlineStr">
        <is>
          <t>epic_box</t>
        </is>
      </c>
      <c r="B11" s="9" t="inlineStr">
        <is>
          <t>희귀 상자 ×1</t>
        </is>
      </c>
      <c r="C11" s="9" t="inlineStr">
        <is>
          <t>영웅</t>
        </is>
      </c>
      <c r="D11" s="9" t="inlineStr">
        <is>
          <t>보라</t>
        </is>
      </c>
      <c r="E11" s="9" t="n">
        <v>20</v>
      </c>
      <c r="F11" s="9" t="inlineStr">
        <is>
          <t>2.0%</t>
        </is>
      </c>
      <c r="G11" s="9" t="inlineStr">
        <is>
          <t>희귀 상자 ×1</t>
        </is>
      </c>
    </row>
    <row r="12">
      <c r="A12" s="8" t="inlineStr">
        <is>
          <t>legend_diamond</t>
        </is>
      </c>
      <c r="B12" s="8" t="inlineStr">
        <is>
          <t>200 다이아</t>
        </is>
      </c>
      <c r="C12" s="8" t="inlineStr">
        <is>
          <t>전설</t>
        </is>
      </c>
      <c r="D12" s="8" t="inlineStr">
        <is>
          <t>주황</t>
        </is>
      </c>
      <c r="E12" s="8" t="n">
        <v>8</v>
      </c>
      <c r="F12" s="8" t="inlineStr">
        <is>
          <t>0.8%</t>
        </is>
      </c>
      <c r="G12" s="8" t="inlineStr">
        <is>
          <t>200 💎</t>
        </is>
      </c>
    </row>
    <row r="13">
      <c r="A13" s="9" t="inlineStr">
        <is>
          <t>legend_equip</t>
        </is>
      </c>
      <c r="B13" s="9" t="inlineStr">
        <is>
          <t>영웅 장비 상자</t>
        </is>
      </c>
      <c r="C13" s="9" t="inlineStr">
        <is>
          <t>전설</t>
        </is>
      </c>
      <c r="D13" s="9" t="inlineStr">
        <is>
          <t>주황</t>
        </is>
      </c>
      <c r="E13" s="9" t="n">
        <v>2</v>
      </c>
      <c r="F13" s="9" t="inlineStr">
        <is>
          <t>0.2%</t>
        </is>
      </c>
      <c r="G13" s="9" t="inlineStr">
        <is>
          <t>영웅 장비 상자</t>
        </is>
      </c>
    </row>
    <row r="16">
      <c r="A16" s="10" t="inlineStr">
        <is>
          <t>룰렛 시스템</t>
        </is>
      </c>
    </row>
    <row r="17">
      <c r="A17" s="3" t="inlineStr">
        <is>
          <t>무료 스핀</t>
        </is>
      </c>
      <c r="B17" s="3" t="inlineStr">
        <is>
          <t>매일 1회 (자정 초기화)</t>
        </is>
      </c>
    </row>
    <row r="18">
      <c r="A18" s="3" t="inlineStr">
        <is>
          <t>유료 스핀</t>
        </is>
      </c>
      <c r="B18" s="3" t="inlineStr">
        <is>
          <t>50 다이아 / 회</t>
        </is>
      </c>
    </row>
    <row r="19">
      <c r="A19" s="3" t="inlineStr">
        <is>
          <t>10연속 스핀</t>
        </is>
      </c>
      <c r="B19" s="3" t="inlineStr">
        <is>
          <t>450 다이아 (회당 45💎, 10% 할인)</t>
        </is>
      </c>
    </row>
    <row r="20">
      <c r="A20" s="3" t="inlineStr">
        <is>
          <t>총 가중치</t>
        </is>
      </c>
      <c r="B20" s="3" t="inlineStr">
        <is>
          <t>1,000 (확률 합계 100%)</t>
        </is>
      </c>
    </row>
    <row r="21">
      <c r="A21" s="3" t="inlineStr">
        <is>
          <t>최고 보상</t>
        </is>
      </c>
      <c r="B21" s="3" t="inlineStr">
        <is>
          <t>영웅 장비 상자 (0.2%)</t>
        </is>
      </c>
    </row>
    <row r="22">
      <c r="A22" s="3" t="inlineStr">
        <is>
          <t>모듈</t>
        </is>
      </c>
      <c r="B22" s="3" t="inlineStr">
        <is>
          <t>game/lottery.js (신규 파일)</t>
        </is>
      </c>
    </row>
    <row r="23">
      <c r="A23" s="3" t="inlineStr">
        <is>
          <t>업적 연계</t>
        </is>
      </c>
      <c r="B23" s="3" t="inlineStr">
        <is>
          <t>행운의 룰렛 30회 → ach_lucky 업적 (기존)</t>
        </is>
      </c>
    </row>
  </sheetData>
  <mergeCells count="1">
    <mergeCell ref="A1:G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6" customWidth="1" min="1" max="1"/>
    <col width="18" customWidth="1" min="2" max="2"/>
    <col width="14" customWidth="1" min="3" max="3"/>
    <col width="8" customWidth="1" min="4" max="4"/>
    <col width="28" customWidth="1" min="5" max="5"/>
    <col width="30" customWidth="1" min="6" max="6"/>
    <col width="24" customWidth="1" min="7" max="7"/>
  </cols>
  <sheetData>
    <row r="1">
      <c r="A1" s="6" t="inlineStr">
        <is>
          <t>축제 이벤트 (5종 — v1.21 신규 모듈 game/event.js)</t>
        </is>
      </c>
    </row>
    <row r="3">
      <c r="A3" s="7" t="inlineStr">
        <is>
          <t>ID</t>
        </is>
      </c>
      <c r="B3" s="7" t="inlineStr">
        <is>
          <t>축제명</t>
        </is>
      </c>
      <c r="C3" s="7" t="inlineStr">
        <is>
          <t>기간</t>
        </is>
      </c>
      <c r="D3" s="7" t="inlineStr">
        <is>
          <t>색상</t>
        </is>
      </c>
      <c r="E3" s="7" t="inlineStr">
        <is>
          <t>글로벌 버프</t>
        </is>
      </c>
      <c r="F3" s="7" t="inlineStr">
        <is>
          <t>한정 보상</t>
        </is>
      </c>
      <c r="G3" s="7" t="inlineStr">
        <is>
          <t>NPC 인사</t>
        </is>
      </c>
    </row>
    <row r="4">
      <c r="A4" s="8" t="inlineStr">
        <is>
          <t>new_year</t>
        </is>
      </c>
      <c r="B4" s="8" t="inlineStr">
        <is>
          <t>신년 축제</t>
        </is>
      </c>
      <c r="C4" s="8" t="inlineStr">
        <is>
          <t>1/1 ~ 1/7</t>
        </is>
      </c>
      <c r="D4" s="8" t="inlineStr">
        <is>
          <t>금색</t>
        </is>
      </c>
      <c r="E4" s="8" t="inlineStr">
        <is>
          <t>골드 +50% / EXP +30%</t>
        </is>
      </c>
      <c r="F4" s="8" t="inlineStr">
        <is>
          <t>새해 칭호 / 황금마 / 천상 스킨</t>
        </is>
      </c>
      <c r="G4" s="8" t="inlineStr">
        <is>
          <t>새해 복 많이 받으세요!</t>
        </is>
      </c>
    </row>
    <row r="5">
      <c r="A5" s="9" t="inlineStr">
        <is>
          <t>spring_blossom</t>
        </is>
      </c>
      <c r="B5" s="9" t="inlineStr">
        <is>
          <t>봄꽃 축제</t>
        </is>
      </c>
      <c r="C5" s="9" t="inlineStr">
        <is>
          <t>4/1 ~ 4/14</t>
        </is>
      </c>
      <c r="D5" s="9" t="inlineStr">
        <is>
          <t>연분홍</t>
        </is>
      </c>
      <c r="E5" s="9" t="inlineStr">
        <is>
          <t>HP재생 +30% / 드롭률 +20%</t>
        </is>
      </c>
      <c r="F5" s="9" t="inlineStr">
        <is>
          <t>벚꽃 칭호 / 체리 요정 펫 / 벚꽃차</t>
        </is>
      </c>
      <c r="G5" s="9" t="inlineStr">
        <is>
          <t>꽃잎이 흩날리는 계절...</t>
        </is>
      </c>
    </row>
    <row r="6">
      <c r="A6" s="8" t="inlineStr">
        <is>
          <t>midsummer</t>
        </is>
      </c>
      <c r="B6" s="8" t="inlineStr">
        <is>
          <t>한여름 밤의 축제</t>
        </is>
      </c>
      <c r="C6" s="8" t="inlineStr">
        <is>
          <t>7/15 ~ 8/15</t>
        </is>
      </c>
      <c r="D6" s="8" t="inlineStr">
        <is>
          <t>주황</t>
        </is>
      </c>
      <c r="E6" s="8" t="inlineStr">
        <is>
          <t>화염 DMG +30% / PvP 보상 +50%</t>
        </is>
      </c>
      <c r="F6" s="8" t="inlineStr">
        <is>
          <t>여름왕 칭호 / 화염 스킨 / 타이탄 엘릭서</t>
        </is>
      </c>
      <c r="G6" s="8" t="inlineStr">
        <is>
          <t>뜨거운 밤이군요!</t>
        </is>
      </c>
    </row>
    <row r="7">
      <c r="A7" s="9" t="inlineStr">
        <is>
          <t>halloween</t>
        </is>
      </c>
      <c r="B7" s="9" t="inlineStr">
        <is>
          <t>할로윈 축제</t>
        </is>
      </c>
      <c r="C7" s="9" t="inlineStr">
        <is>
          <t>10/25 ~ 11/1</t>
        </is>
      </c>
      <c r="D7" s="9" t="inlineStr">
        <is>
          <t>오렌지</t>
        </is>
      </c>
      <c r="E7" s="9" t="inlineStr">
        <is>
          <t>크리티컬 +10% / 언데드 DMG +50%</t>
        </is>
      </c>
      <c r="F7" s="9" t="inlineStr">
        <is>
          <t>호박 칭호 / 유령 펫 / 공허 스킨</t>
        </is>
      </c>
      <c r="G7" s="9" t="inlineStr">
        <is>
          <t>Trick or Treat!</t>
        </is>
      </c>
    </row>
    <row r="8">
      <c r="A8" s="8" t="inlineStr">
        <is>
          <t>winter_festival</t>
        </is>
      </c>
      <c r="B8" s="8" t="inlineStr">
        <is>
          <t>겨울 축제</t>
        </is>
      </c>
      <c r="C8" s="8" t="inlineStr">
        <is>
          <t>12/20 ~ 12/31</t>
        </is>
      </c>
      <c r="D8" s="8" t="inlineStr">
        <is>
          <t>하늘색</t>
        </is>
      </c>
      <c r="E8" s="8" t="inlineStr">
        <is>
          <t>골드 +30% / EXP +30% / 드롭 +30%</t>
        </is>
      </c>
      <c r="F8" s="8" t="inlineStr">
        <is>
          <t>겨울 전설 칭호 / 순록 / 오로라 스킨</t>
        </is>
      </c>
      <c r="G8" s="8" t="inlineStr">
        <is>
          <t>메리 크리스마스!</t>
        </is>
      </c>
    </row>
    <row r="11">
      <c r="A11" s="10" t="inlineStr">
        <is>
          <t>축제 이벤트 시스템</t>
        </is>
      </c>
    </row>
    <row r="12">
      <c r="A12" s="3" t="inlineStr">
        <is>
          <t>활성화</t>
        </is>
      </c>
      <c r="B12" s="3" t="inlineStr">
        <is>
          <t>실제 달력 기준 자동 (서버 시간)</t>
        </is>
      </c>
    </row>
    <row r="13">
      <c r="A13" s="3" t="inlineStr">
        <is>
          <t>글로벌 버프</t>
        </is>
      </c>
      <c r="B13" s="3" t="inlineStr">
        <is>
          <t>모든 플레이어에게 자동 적용</t>
        </is>
      </c>
    </row>
    <row r="14">
      <c r="A14" s="3" t="inlineStr">
        <is>
          <t>한정 보상</t>
        </is>
      </c>
      <c r="B14" s="3" t="inlineStr">
        <is>
          <t>이벤트 기간 중에만 획득 가능 (영구 소지)</t>
        </is>
      </c>
    </row>
    <row r="15">
      <c r="A15" s="3" t="inlineStr">
        <is>
          <t>NPC 대사</t>
        </is>
      </c>
      <c r="B15" s="3" t="inlineStr">
        <is>
          <t>이벤트 기간 중 모든 NPC에 인사 추가</t>
        </is>
      </c>
    </row>
    <row r="16">
      <c r="A16" s="3" t="inlineStr">
        <is>
          <t>모듈</t>
        </is>
      </c>
      <c r="B16" s="3" t="inlineStr">
        <is>
          <t>game/event.js (신규 파일)</t>
        </is>
      </c>
    </row>
    <row r="17">
      <c r="A17" s="3" t="inlineStr">
        <is>
          <t>헬퍼 함수</t>
        </is>
      </c>
      <c r="B17" s="3" t="inlineStr">
        <is>
          <t>getActiveEvent() / getEventBuff() / isExclusiveRewardActive()</t>
        </is>
      </c>
    </row>
  </sheetData>
  <mergeCells count="1">
    <mergeCell ref="A1:G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6" customWidth="1" min="1" max="1"/>
    <col width="10" customWidth="1" min="2" max="2"/>
    <col width="28" customWidth="1" min="3" max="3"/>
    <col width="32" customWidth="1" min="4" max="4"/>
  </cols>
  <sheetData>
    <row r="1">
      <c r="A1" s="6" t="inlineStr">
        <is>
          <t>시즌 패스 (15티어 — v1.20 신규 모듈)</t>
        </is>
      </c>
    </row>
    <row r="3">
      <c r="A3" s="7" t="inlineStr">
        <is>
          <t>티어</t>
        </is>
      </c>
      <c r="B3" s="7" t="inlineStr">
        <is>
          <t>필요 XP</t>
        </is>
      </c>
      <c r="C3" s="7" t="inlineStr">
        <is>
          <t>무료 트랙</t>
        </is>
      </c>
      <c r="D3" s="7" t="inlineStr">
        <is>
          <t>프리미엄 트랙</t>
        </is>
      </c>
    </row>
    <row r="4">
      <c r="A4" s="8" t="n">
        <v>1</v>
      </c>
      <c r="B4" s="8" t="n">
        <v>100</v>
      </c>
      <c r="C4" s="8" t="inlineStr">
        <is>
          <t>500G</t>
        </is>
      </c>
      <c r="D4" s="8" t="inlineStr">
        <is>
          <t>50💎</t>
        </is>
      </c>
    </row>
    <row r="5">
      <c r="A5" s="9" t="n">
        <v>2</v>
      </c>
      <c r="B5" s="9" t="n">
        <v>250</v>
      </c>
      <c r="C5" s="9" t="inlineStr">
        <is>
          <t>마법재료 ×5</t>
        </is>
      </c>
      <c r="D5" s="9" t="inlineStr">
        <is>
          <t>용재료 ×2</t>
        </is>
      </c>
    </row>
    <row r="6">
      <c r="A6" s="8" t="n">
        <v>3</v>
      </c>
      <c r="B6" s="8" t="n">
        <v>500</v>
      </c>
      <c r="C6" s="8" t="inlineStr">
        <is>
          <t>1000G</t>
        </is>
      </c>
      <c r="D6" s="8" t="inlineStr">
        <is>
          <t>시즌 글로우 스킨</t>
        </is>
      </c>
    </row>
    <row r="7">
      <c r="A7" s="9" t="n">
        <v>4</v>
      </c>
      <c r="B7" s="9" t="n">
        <v>800</v>
      </c>
      <c r="C7" s="9" t="inlineStr">
        <is>
          <t>EXP 부스터 ×1</t>
        </is>
      </c>
      <c r="D7" s="9" t="inlineStr">
        <is>
          <t>메가 EXP ×1</t>
        </is>
      </c>
    </row>
    <row r="8">
      <c r="A8" s="8" t="n">
        <v>5</v>
      </c>
      <c r="B8" s="8" t="n">
        <v>1200</v>
      </c>
      <c r="C8" s="8" t="inlineStr">
        <is>
          <t>2000G + 30💎</t>
        </is>
      </c>
      <c r="D8" s="8" t="inlineStr">
        <is>
          <t>희귀 상자 ×1</t>
        </is>
      </c>
    </row>
    <row r="9">
      <c r="A9" s="9" t="n">
        <v>6</v>
      </c>
      <c r="B9" s="9" t="n">
        <v>1700</v>
      </c>
      <c r="C9" s="9" t="inlineStr">
        <is>
          <t>영혼석 ×5</t>
        </is>
      </c>
      <c r="D9" s="9" t="inlineStr">
        <is>
          <t>영혼석 ×15</t>
        </is>
      </c>
    </row>
    <row r="10">
      <c r="A10" s="8" t="n">
        <v>7</v>
      </c>
      <c r="B10" s="8" t="n">
        <v>2300</v>
      </c>
      <c r="C10" s="8" t="inlineStr">
        <is>
          <t>황금 수프 ×3</t>
        </is>
      </c>
      <c r="D10" s="8" t="inlineStr">
        <is>
          <t>왕의 연회 ×3</t>
        </is>
      </c>
    </row>
    <row r="11">
      <c r="A11" s="9" t="n">
        <v>8</v>
      </c>
      <c r="B11" s="9" t="n">
        <v>3000</v>
      </c>
      <c r="C11" s="9" t="inlineStr">
        <is>
          <t>3000G</t>
        </is>
      </c>
      <c r="D11" s="9" t="inlineStr">
        <is>
          <t>100💎</t>
        </is>
      </c>
    </row>
    <row r="12">
      <c r="A12" s="8" t="n">
        <v>9</v>
      </c>
      <c r="B12" s="8" t="n">
        <v>3800</v>
      </c>
      <c r="C12" s="8" t="inlineStr">
        <is>
          <t>용재료 ×1</t>
        </is>
      </c>
      <c r="D12" s="8" t="inlineStr">
        <is>
          <t>용재료 ×5</t>
        </is>
      </c>
    </row>
    <row r="13">
      <c r="A13" s="9" t="n">
        <v>10</v>
      </c>
      <c r="B13" s="9" t="n">
        <v>4700</v>
      </c>
      <c r="C13" s="9" t="inlineStr">
        <is>
          <t>5000G + 50💎</t>
        </is>
      </c>
      <c r="D13" s="9" t="inlineStr">
        <is>
          <t>영웅의 갑옷</t>
        </is>
      </c>
    </row>
    <row r="14">
      <c r="A14" s="8" t="n">
        <v>11</v>
      </c>
      <c r="B14" s="8" t="n">
        <v>5700</v>
      </c>
      <c r="C14" s="8" t="inlineStr">
        <is>
          <t>보호 주문서 ×1</t>
        </is>
      </c>
      <c r="D14" s="8" t="inlineStr">
        <is>
          <t>보호 주문서 ×3</t>
        </is>
      </c>
    </row>
    <row r="15">
      <c r="A15" s="9" t="n">
        <v>12</v>
      </c>
      <c r="B15" s="9" t="n">
        <v>6800</v>
      </c>
      <c r="C15" s="9" t="inlineStr">
        <is>
          <t>마법재료 ×10</t>
        </is>
      </c>
      <c r="D15" s="9" t="inlineStr">
        <is>
          <t>타이탄 엘릭서 ×2</t>
        </is>
      </c>
    </row>
    <row r="16">
      <c r="A16" s="8" t="n">
        <v>13</v>
      </c>
      <c r="B16" s="8" t="n">
        <v>8000</v>
      </c>
      <c r="C16" s="8" t="inlineStr">
        <is>
          <t>8000G</t>
        </is>
      </c>
      <c r="D16" s="8" t="inlineStr">
        <is>
          <t>영웅의 검</t>
        </is>
      </c>
    </row>
    <row r="17">
      <c r="A17" s="9" t="n">
        <v>14</v>
      </c>
      <c r="B17" s="9" t="n">
        <v>9300</v>
      </c>
      <c r="C17" s="9" t="inlineStr">
        <is>
          <t>80💎</t>
        </is>
      </c>
      <c r="D17" s="9" t="inlineStr">
        <is>
          <t>200💎</t>
        </is>
      </c>
    </row>
    <row r="18">
      <c r="A18" s="8" t="n">
        <v>15</v>
      </c>
      <c r="B18" s="8" t="n">
        <v>10700</v>
      </c>
      <c r="C18" s="8" t="inlineStr">
        <is>
          <t>15000G + 100💎</t>
        </is>
      </c>
      <c r="D18" s="8" t="inlineStr">
        <is>
          <t>태초의 반지 + 시즌 전설 칭호</t>
        </is>
      </c>
    </row>
    <row r="21">
      <c r="A21" s="10" t="inlineStr">
        <is>
          <t>시즌 패스 시스템</t>
        </is>
      </c>
    </row>
    <row r="22">
      <c r="A22" s="3" t="inlineStr">
        <is>
          <t>시즌 기간</t>
        </is>
      </c>
      <c r="B22" s="3" t="inlineStr">
        <is>
          <t>30일 사이클</t>
        </is>
      </c>
    </row>
    <row r="23">
      <c r="A23" s="3" t="inlineStr">
        <is>
          <t>프리미엄 가격</t>
        </is>
      </c>
      <c r="B23" s="3" t="inlineStr">
        <is>
          <t>1500 다이아 (시즌당)</t>
        </is>
      </c>
    </row>
    <row r="24">
      <c r="A24" s="3" t="inlineStr">
        <is>
          <t>XP 획득</t>
        </is>
      </c>
      <c r="B24" s="3" t="inlineStr">
        <is>
          <t>일일퀘 +200 / 주간퀘 +800 / 보스 +50 / PvP승 +30 / 월드보스 +500 / 던전 +150 / 제작 +20</t>
        </is>
      </c>
    </row>
    <row r="25">
      <c r="A25" s="3" t="inlineStr">
        <is>
          <t>총 필요 XP</t>
        </is>
      </c>
      <c r="B25" s="3" t="inlineStr">
        <is>
          <t>10,700 (15티어 만렙)</t>
        </is>
      </c>
    </row>
    <row r="26">
      <c r="A26" s="3" t="inlineStr">
        <is>
          <t>보상 트랙</t>
        </is>
      </c>
      <c r="B26" s="3" t="inlineStr">
        <is>
          <t>무료 (모두 획득) + 프리미엄 (구매자 전용)</t>
        </is>
      </c>
    </row>
    <row r="27">
      <c r="A27" s="3" t="inlineStr">
        <is>
          <t>모듈</t>
        </is>
      </c>
      <c r="B27" s="3" t="inlineStr">
        <is>
          <t>game/season.js (신규 파일, 데이터 + 헬퍼 함수)</t>
        </is>
      </c>
    </row>
  </sheetData>
  <mergeCells count="1">
    <mergeCell ref="A1:D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8" customWidth="1" min="1" max="1"/>
    <col width="22" customWidth="1" min="2" max="2"/>
    <col width="12" customWidth="1" min="3" max="3"/>
    <col width="10" customWidth="1" min="4" max="4"/>
    <col width="18" customWidth="1" min="5" max="5"/>
  </cols>
  <sheetData>
    <row r="1">
      <c r="A1" s="6" t="inlineStr">
        <is>
          <t>무료 다이아 획득 (13종 — v1.19 마일스톤 5종 신규)</t>
        </is>
      </c>
    </row>
    <row r="3">
      <c r="A3" s="7" t="inlineStr">
        <is>
          <t>ID</t>
        </is>
      </c>
      <c r="B3" s="7" t="inlineStr">
        <is>
          <t>조건</t>
        </is>
      </c>
      <c r="C3" s="7" t="inlineStr">
        <is>
          <t>반복</t>
        </is>
      </c>
      <c r="D3" s="7" t="inlineStr">
        <is>
          <t>보상</t>
        </is>
      </c>
      <c r="E3" s="7" t="inlineStr">
        <is>
          <t>비고</t>
        </is>
      </c>
    </row>
    <row r="4">
      <c r="A4" s="8" t="inlineStr">
        <is>
          <t>daily_login</t>
        </is>
      </c>
      <c r="B4" s="8" t="inlineStr">
        <is>
          <t>매일 접속</t>
        </is>
      </c>
      <c r="C4" s="8" t="inlineStr">
        <is>
          <t>매일</t>
        </is>
      </c>
      <c r="D4" s="8" t="inlineStr">
        <is>
          <t>10💎</t>
        </is>
      </c>
      <c r="E4" s="8" t="inlineStr">
        <is>
          <t>반복</t>
        </is>
      </c>
    </row>
    <row r="5">
      <c r="A5" s="9" t="inlineStr">
        <is>
          <t>first_boss_kill</t>
        </is>
      </c>
      <c r="B5" s="9" t="inlineStr">
        <is>
          <t>첫 보스 처치</t>
        </is>
      </c>
      <c r="C5" s="9" t="inlineStr">
        <is>
          <t>일회성</t>
        </is>
      </c>
      <c r="D5" s="9" t="inlineStr">
        <is>
          <t>50💎</t>
        </is>
      </c>
      <c r="E5" s="9" t="inlineStr">
        <is>
          <t>-</t>
        </is>
      </c>
    </row>
    <row r="6">
      <c r="A6" s="8" t="inlineStr">
        <is>
          <t>level_10</t>
        </is>
      </c>
      <c r="B6" s="8" t="inlineStr">
        <is>
          <t>Lv.10 달성</t>
        </is>
      </c>
      <c r="C6" s="8" t="inlineStr">
        <is>
          <t>일회성</t>
        </is>
      </c>
      <c r="D6" s="8" t="inlineStr">
        <is>
          <t>30💎</t>
        </is>
      </c>
      <c r="E6" s="8" t="inlineStr">
        <is>
          <t>-</t>
        </is>
      </c>
    </row>
    <row r="7">
      <c r="A7" s="9" t="inlineStr">
        <is>
          <t>level_20</t>
        </is>
      </c>
      <c r="B7" s="9" t="inlineStr">
        <is>
          <t>Lv.20 달성 (전직)</t>
        </is>
      </c>
      <c r="C7" s="9" t="inlineStr">
        <is>
          <t>일회성</t>
        </is>
      </c>
      <c r="D7" s="9" t="inlineStr">
        <is>
          <t>50💎</t>
        </is>
      </c>
      <c r="E7" s="9" t="inlineStr">
        <is>
          <t>-</t>
        </is>
      </c>
    </row>
    <row r="8">
      <c r="A8" s="8" t="inlineStr">
        <is>
          <t>level_30</t>
        </is>
      </c>
      <c r="B8" s="8" t="inlineStr">
        <is>
          <t>Lv.30 달성</t>
        </is>
      </c>
      <c r="C8" s="8" t="inlineStr">
        <is>
          <t>일회성</t>
        </is>
      </c>
      <c r="D8" s="8" t="inlineStr">
        <is>
          <t>100💎</t>
        </is>
      </c>
      <c r="E8" s="8" t="inlineStr">
        <is>
          <t>-</t>
        </is>
      </c>
    </row>
    <row r="9">
      <c r="A9" s="9" t="inlineStr">
        <is>
          <t>pvp_10_wins</t>
        </is>
      </c>
      <c r="B9" s="9" t="inlineStr">
        <is>
          <t>PvP 10승</t>
        </is>
      </c>
      <c r="C9" s="9" t="inlineStr">
        <is>
          <t>일회성</t>
        </is>
      </c>
      <c r="D9" s="9" t="inlineStr">
        <is>
          <t>30💎</t>
        </is>
      </c>
      <c r="E9" s="9" t="inlineStr">
        <is>
          <t>-</t>
        </is>
      </c>
    </row>
    <row r="10">
      <c r="A10" s="8" t="inlineStr">
        <is>
          <t>pvp_100_wins</t>
        </is>
      </c>
      <c r="B10" s="8" t="inlineStr">
        <is>
          <t>PvP 100승</t>
        </is>
      </c>
      <c r="C10" s="8" t="inlineStr">
        <is>
          <t>일회성</t>
        </is>
      </c>
      <c r="D10" s="8" t="inlineStr">
        <is>
          <t>100💎</t>
        </is>
      </c>
      <c r="E10" s="8" t="inlineStr">
        <is>
          <t>-</t>
        </is>
      </c>
    </row>
    <row r="11">
      <c r="A11" s="9" t="inlineStr">
        <is>
          <t>weekly_quest</t>
        </is>
      </c>
      <c r="B11" s="9" t="inlineStr">
        <is>
          <t>주간 퀘스트 완료</t>
        </is>
      </c>
      <c r="C11" s="9" t="inlineStr">
        <is>
          <t>매주</t>
        </is>
      </c>
      <c r="D11" s="9" t="inlineStr">
        <is>
          <t>50💎</t>
        </is>
      </c>
      <c r="E11" s="9" t="inlineStr">
        <is>
          <t>반복</t>
        </is>
      </c>
    </row>
    <row r="12">
      <c r="A12" s="8" t="inlineStr">
        <is>
          <t>level_40</t>
        </is>
      </c>
      <c r="B12" s="8" t="inlineStr">
        <is>
          <t>Lv.40 달성 (각성기 해금)</t>
        </is>
      </c>
      <c r="C12" s="8" t="inlineStr">
        <is>
          <t>일회성</t>
        </is>
      </c>
      <c r="D12" s="8" t="inlineStr">
        <is>
          <t>150💎</t>
        </is>
      </c>
      <c r="E12" s="8" t="inlineStr">
        <is>
          <t>v1.19 신규</t>
        </is>
      </c>
    </row>
    <row r="13">
      <c r="A13" s="9" t="inlineStr">
        <is>
          <t>level_50</t>
        </is>
      </c>
      <c r="B13" s="9" t="inlineStr">
        <is>
          <t>Lv.50 달성 (환생 가능)</t>
        </is>
      </c>
      <c r="C13" s="9" t="inlineStr">
        <is>
          <t>일회성</t>
        </is>
      </c>
      <c r="D13" s="9" t="inlineStr">
        <is>
          <t>250💎</t>
        </is>
      </c>
      <c r="E13" s="9" t="inlineStr">
        <is>
          <t>v1.19 신규</t>
        </is>
      </c>
    </row>
    <row r="14">
      <c r="A14" s="8" t="inlineStr">
        <is>
          <t>first_prestige</t>
        </is>
      </c>
      <c r="B14" s="8" t="inlineStr">
        <is>
          <t>첫 환생</t>
        </is>
      </c>
      <c r="C14" s="8" t="inlineStr">
        <is>
          <t>일회성</t>
        </is>
      </c>
      <c r="D14" s="8" t="inlineStr">
        <is>
          <t>500💎</t>
        </is>
      </c>
      <c r="E14" s="8" t="inlineStr">
        <is>
          <t>v1.19 신규</t>
        </is>
      </c>
    </row>
    <row r="15">
      <c r="A15" s="9" t="inlineStr">
        <is>
          <t>worldboss_first</t>
        </is>
      </c>
      <c r="B15" s="9" t="inlineStr">
        <is>
          <t>첫 월드 보스 처치</t>
        </is>
      </c>
      <c r="C15" s="9" t="inlineStr">
        <is>
          <t>일회성</t>
        </is>
      </c>
      <c r="D15" s="9" t="inlineStr">
        <is>
          <t>100💎</t>
        </is>
      </c>
      <c r="E15" s="9" t="inlineStr">
        <is>
          <t>v1.19 신규</t>
        </is>
      </c>
    </row>
    <row r="16">
      <c r="A16" s="8" t="inlineStr">
        <is>
          <t>achievement_50</t>
        </is>
      </c>
      <c r="B16" s="8" t="inlineStr">
        <is>
          <t>업적 50개 달성</t>
        </is>
      </c>
      <c r="C16" s="8" t="inlineStr">
        <is>
          <t>일회성</t>
        </is>
      </c>
      <c r="D16" s="8" t="inlineStr">
        <is>
          <t>200💎</t>
        </is>
      </c>
      <c r="E16" s="8" t="inlineStr">
        <is>
          <t>v1.19 신규</t>
        </is>
      </c>
    </row>
    <row r="19">
      <c r="A19" s="10" t="inlineStr">
        <is>
          <t>수치 요약</t>
        </is>
      </c>
    </row>
    <row r="20">
      <c r="A20" s="3" t="inlineStr">
        <is>
          <t>일회성 합계 (v1.19 포함)</t>
        </is>
      </c>
      <c r="B20" s="3" t="inlineStr">
        <is>
          <t>30+50+100+30+100+150+250+500+100+200 + 첫 보스 50 = 1,560💎</t>
        </is>
      </c>
    </row>
    <row r="21">
      <c r="A21" s="3" t="inlineStr">
        <is>
          <t>반복</t>
        </is>
      </c>
      <c r="B21" s="3" t="inlineStr">
        <is>
          <t>매일 10💎 + 매주 50💎 → 월 약 500💎</t>
        </is>
      </c>
    </row>
    <row r="22">
      <c r="A22" s="3" t="inlineStr">
        <is>
          <t>수익화 균형</t>
        </is>
      </c>
      <c r="B22" s="3" t="inlineStr">
        <is>
          <t>초반 무료 1500💎 → 28일 출석 + 패치 콘텐츠로 추가 확보 가능</t>
        </is>
      </c>
    </row>
  </sheetData>
  <mergeCells count="1">
    <mergeCell ref="A1:E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22" customWidth="1" min="5" max="5"/>
  </cols>
  <sheetData>
    <row r="1">
      <c r="A1" s="6" t="inlineStr">
        <is>
          <t>혈맹 (10단계 — v1.17 Lv.6-10 신규)</t>
        </is>
      </c>
    </row>
    <row r="3">
      <c r="A3" s="7" t="inlineStr">
        <is>
          <t>혈맹 Lv.</t>
        </is>
      </c>
      <c r="B3" s="7" t="inlineStr">
        <is>
          <t>최대 인원</t>
        </is>
      </c>
      <c r="C3" s="7" t="inlineStr">
        <is>
          <t>스킬명</t>
        </is>
      </c>
      <c r="D3" s="7" t="inlineStr">
        <is>
          <t>효과</t>
        </is>
      </c>
      <c r="E3" s="7" t="inlineStr">
        <is>
          <t>비고</t>
        </is>
      </c>
    </row>
    <row r="4">
      <c r="A4" s="8" t="n">
        <v>1</v>
      </c>
      <c r="B4" s="8" t="inlineStr">
        <is>
          <t>10명</t>
        </is>
      </c>
      <c r="C4" s="8" t="inlineStr">
        <is>
          <t>혈맹의 힘</t>
        </is>
      </c>
      <c r="D4" s="8" t="inlineStr">
        <is>
          <t>ATK +5%</t>
        </is>
      </c>
      <c r="E4" s="8" t="inlineStr">
        <is>
          <t>기본 결성</t>
        </is>
      </c>
    </row>
    <row r="5">
      <c r="A5" s="9" t="n">
        <v>2</v>
      </c>
      <c r="B5" s="9" t="inlineStr">
        <is>
          <t>20명</t>
        </is>
      </c>
      <c r="C5" s="9" t="inlineStr">
        <is>
          <t>혈맹의 방패</t>
        </is>
      </c>
      <c r="D5" s="9" t="inlineStr">
        <is>
          <t>DEF +5%</t>
        </is>
      </c>
      <c r="E5" s="9" t="inlineStr">
        <is>
          <t>-</t>
        </is>
      </c>
    </row>
    <row r="6">
      <c r="A6" s="8" t="n">
        <v>3</v>
      </c>
      <c r="B6" s="8" t="inlineStr">
        <is>
          <t>30명</t>
        </is>
      </c>
      <c r="C6" s="8" t="inlineStr">
        <is>
          <t>혈맹의 지혜</t>
        </is>
      </c>
      <c r="D6" s="8" t="inlineStr">
        <is>
          <t>EXP +10%</t>
        </is>
      </c>
      <c r="E6" s="8" t="inlineStr">
        <is>
          <t>-</t>
        </is>
      </c>
    </row>
    <row r="7">
      <c r="A7" s="9" t="n">
        <v>4</v>
      </c>
      <c r="B7" s="9" t="inlineStr">
        <is>
          <t>40명</t>
        </is>
      </c>
      <c r="C7" s="9" t="inlineStr">
        <is>
          <t>혈맹의 축복</t>
        </is>
      </c>
      <c r="D7" s="9" t="inlineStr">
        <is>
          <t>HP +10%</t>
        </is>
      </c>
      <c r="E7" s="9" t="inlineStr">
        <is>
          <t>-</t>
        </is>
      </c>
    </row>
    <row r="8">
      <c r="A8" s="8" t="n">
        <v>5</v>
      </c>
      <c r="B8" s="8" t="inlineStr">
        <is>
          <t>50명</t>
        </is>
      </c>
      <c r="C8" s="8" t="inlineStr">
        <is>
          <t>혈맹의 영광</t>
        </is>
      </c>
      <c r="D8" s="8" t="inlineStr">
        <is>
          <t>골드 +10%</t>
        </is>
      </c>
      <c r="E8" s="8" t="inlineStr">
        <is>
          <t>혈맹의 별 칭호 획득</t>
        </is>
      </c>
    </row>
    <row r="9">
      <c r="A9" s="9" t="n">
        <v>6</v>
      </c>
      <c r="B9" s="9" t="inlineStr">
        <is>
          <t>60명</t>
        </is>
      </c>
      <c r="C9" s="9" t="inlineStr">
        <is>
          <t>혈맹의 분노</t>
        </is>
      </c>
      <c r="D9" s="9" t="inlineStr">
        <is>
          <t>크리티컬 +5%</t>
        </is>
      </c>
      <c r="E9" s="9" t="inlineStr">
        <is>
          <t>v1.17 신규</t>
        </is>
      </c>
    </row>
    <row r="10">
      <c r="A10" s="8" t="n">
        <v>7</v>
      </c>
      <c r="B10" s="8" t="inlineStr">
        <is>
          <t>70명</t>
        </is>
      </c>
      <c r="C10" s="8" t="inlineStr">
        <is>
          <t>혈맹의 신속</t>
        </is>
      </c>
      <c r="D10" s="8" t="inlineStr">
        <is>
          <t>이동속도 +10%</t>
        </is>
      </c>
      <c r="E10" s="8" t="inlineStr">
        <is>
          <t>v1.17 신규</t>
        </is>
      </c>
    </row>
    <row r="11">
      <c r="A11" s="9" t="n">
        <v>8</v>
      </c>
      <c r="B11" s="9" t="inlineStr">
        <is>
          <t>80명</t>
        </is>
      </c>
      <c r="C11" s="9" t="inlineStr">
        <is>
          <t>혈맹의 회복</t>
        </is>
      </c>
      <c r="D11" s="9" t="inlineStr">
        <is>
          <t>HP 재생 +50%</t>
        </is>
      </c>
      <c r="E11" s="9" t="inlineStr">
        <is>
          <t>v1.17 신규</t>
        </is>
      </c>
    </row>
    <row r="12">
      <c r="A12" s="8" t="n">
        <v>9</v>
      </c>
      <c r="B12" s="8" t="inlineStr">
        <is>
          <t>90명</t>
        </is>
      </c>
      <c r="C12" s="8" t="inlineStr">
        <is>
          <t>혈맹의 운명</t>
        </is>
      </c>
      <c r="D12" s="8" t="inlineStr">
        <is>
          <t>회피 +5%</t>
        </is>
      </c>
      <c r="E12" s="8" t="inlineStr">
        <is>
          <t>v1.17 신규</t>
        </is>
      </c>
    </row>
    <row r="13">
      <c r="A13" s="9" t="n">
        <v>10</v>
      </c>
      <c r="B13" s="9" t="inlineStr">
        <is>
          <t>100명</t>
        </is>
      </c>
      <c r="C13" s="9" t="inlineStr">
        <is>
          <t>혈맹의 전설</t>
        </is>
      </c>
      <c r="D13" s="9" t="inlineStr">
        <is>
          <t>전 스탯 +5%</t>
        </is>
      </c>
      <c r="E13" s="9" t="inlineStr">
        <is>
          <t>v1.17 신규 — 최종 단계</t>
        </is>
      </c>
    </row>
    <row r="16">
      <c r="A16" s="10" t="inlineStr">
        <is>
          <t>혈맹 시스템 요소</t>
        </is>
      </c>
    </row>
    <row r="17">
      <c r="A17" s="3" t="inlineStr">
        <is>
          <t>역할</t>
        </is>
      </c>
      <c r="B17" s="3" t="inlineStr">
        <is>
          <t>혈맹주(leader) / 간부(officers) / 일반 멤버</t>
        </is>
      </c>
    </row>
    <row r="18">
      <c r="A18" s="3" t="inlineStr">
        <is>
          <t>혈맹 창고</t>
        </is>
      </c>
      <c r="B18" s="3" t="inlineStr">
        <is>
          <t>공유 인벤토리 (입출고 권한)</t>
        </is>
      </c>
    </row>
    <row r="19">
      <c r="A19" s="3" t="inlineStr">
        <is>
          <t>혈맹 스킬</t>
        </is>
      </c>
      <c r="B19" s="3" t="inlineStr">
        <is>
          <t>혈맹 레벨에 따라 자동 적용 (전 멤버 효과)</t>
        </is>
      </c>
    </row>
    <row r="20">
      <c r="A20" s="3" t="inlineStr">
        <is>
          <t>혈맹 전쟁</t>
        </is>
      </c>
      <c r="B20" s="3" t="inlineStr">
        <is>
          <t>다른 혈맹과 PvP / 영토 점령</t>
        </is>
      </c>
    </row>
    <row r="21">
      <c r="A21" s="3" t="inlineStr">
        <is>
          <t>혈맹 레이드</t>
        </is>
      </c>
      <c r="B21" s="3" t="inlineStr">
        <is>
          <t>혈맹 단위 던전 / 보스 레이드</t>
        </is>
      </c>
    </row>
    <row r="22">
      <c r="A22" s="3" t="inlineStr">
        <is>
          <t>공성전</t>
        </is>
      </c>
      <c r="B22" s="3" t="inlineStr">
        <is>
          <t>하늘의 성채 / 북부 요새 점령</t>
        </is>
      </c>
    </row>
  </sheetData>
  <mergeCells count="1">
    <mergeCell ref="A1:E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2" customWidth="1" min="1" max="1"/>
    <col width="10" customWidth="1" min="2" max="2"/>
    <col width="18" customWidth="1" min="3" max="3"/>
    <col width="28" customWidth="1" min="4" max="4"/>
    <col width="30" customWidth="1" min="5" max="5"/>
  </cols>
  <sheetData>
    <row r="1">
      <c r="A1" s="6" t="inlineStr">
        <is>
          <t>NPC (11종 — v1.16 점쟁이/감정사/수집가 신규)</t>
        </is>
      </c>
    </row>
    <row r="3">
      <c r="A3" s="7" t="inlineStr">
        <is>
          <t>NPC명</t>
        </is>
      </c>
      <c r="B3" s="7" t="inlineStr">
        <is>
          <t>타입</t>
        </is>
      </c>
      <c r="C3" s="7" t="inlineStr">
        <is>
          <t>역할</t>
        </is>
      </c>
      <c r="D3" s="7" t="inlineStr">
        <is>
          <t>기본 대사</t>
        </is>
      </c>
      <c r="E3" s="7" t="inlineStr">
        <is>
          <t>특수 대사 / 비고</t>
        </is>
      </c>
    </row>
    <row r="4">
      <c r="A4" s="8" t="inlineStr">
        <is>
          <t>상점</t>
        </is>
      </c>
      <c r="B4" s="8" t="inlineStr">
        <is>
          <t>shop</t>
        </is>
      </c>
      <c r="C4" s="8" t="inlineStr">
        <is>
          <t>일반 상점 운영</t>
        </is>
      </c>
      <c r="D4" s="8" t="inlineStr">
        <is>
          <t>어서오세요! 좋은 물건 많습니다!</t>
        </is>
      </c>
      <c r="E4" s="8" t="inlineStr">
        <is>
          <t>부자 손님 / 골드 부족 시 다른 대사</t>
        </is>
      </c>
    </row>
    <row r="5">
      <c r="A5" s="9" t="inlineStr">
        <is>
          <t>대장장이</t>
        </is>
      </c>
      <c r="B5" s="9" t="inlineStr">
        <is>
          <t>smith</t>
        </is>
      </c>
      <c r="C5" s="9" t="inlineStr">
        <is>
          <t>장비 강화</t>
        </is>
      </c>
      <c r="D5" s="9" t="inlineStr">
        <is>
          <t>장비를 강화해드리겠습니다.</t>
        </is>
      </c>
      <c r="E5" s="9" t="inlineStr">
        <is>
          <t>레벨 10/30/40 시 다른 대사</t>
        </is>
      </c>
    </row>
    <row r="6">
      <c r="A6" s="8" t="inlineStr">
        <is>
          <t>힐러</t>
        </is>
      </c>
      <c r="B6" s="8" t="inlineStr">
        <is>
          <t>healer</t>
        </is>
      </c>
      <c r="C6" s="8" t="inlineStr">
        <is>
          <t>HP 회복</t>
        </is>
      </c>
      <c r="D6" s="8" t="inlineStr">
        <is>
          <t>치료해드릴까요?</t>
        </is>
      </c>
      <c r="E6" s="8" t="inlineStr">
        <is>
          <t>HP 부상도 / 시간대(밤) 별 대사</t>
        </is>
      </c>
    </row>
    <row r="7">
      <c r="A7" s="9" t="inlineStr">
        <is>
          <t>낚시꾼</t>
        </is>
      </c>
      <c r="B7" s="9" t="inlineStr">
        <is>
          <t>fisher</t>
        </is>
      </c>
      <c r="C7" s="9" t="inlineStr">
        <is>
          <t>낚시 안내</t>
        </is>
      </c>
      <c r="D7" s="9" t="inlineStr">
        <is>
          <t>오늘 낚시 하기 좋은 날이에요!</t>
        </is>
      </c>
      <c r="E7" s="9" t="inlineStr">
        <is>
          <t>날씨/시간대 별 대사 (비/밤)</t>
        </is>
      </c>
    </row>
    <row r="8">
      <c r="A8" s="8" t="inlineStr">
        <is>
          <t>요리사</t>
        </is>
      </c>
      <c r="B8" s="8" t="inlineStr">
        <is>
          <t>cook</t>
        </is>
      </c>
      <c r="C8" s="8" t="inlineStr">
        <is>
          <t>음식 제작</t>
        </is>
      </c>
      <c r="D8" s="8" t="inlineStr">
        <is>
          <t>재료를 가져오시면 요리를 만들어드립니다.</t>
        </is>
      </c>
      <c r="E8" s="8" t="inlineStr">
        <is>
          <t>요리 버프 부여</t>
        </is>
      </c>
    </row>
    <row r="9">
      <c r="A9" s="9" t="inlineStr">
        <is>
          <t>항해사</t>
        </is>
      </c>
      <c r="B9" s="9" t="inlineStr">
        <is>
          <t>travel</t>
        </is>
      </c>
      <c r="C9" s="9" t="inlineStr">
        <is>
          <t>지역 이동</t>
        </is>
      </c>
      <c r="D9" s="9" t="inlineStr">
        <is>
          <t>어디로 떠나시겠습니까?</t>
        </is>
      </c>
      <c r="E9" s="9" t="inlineStr">
        <is>
          <t>날씨/시간대 별 대사</t>
        </is>
      </c>
    </row>
    <row r="10">
      <c r="A10" s="8" t="inlineStr">
        <is>
          <t>펫 상인</t>
        </is>
      </c>
      <c r="B10" s="8" t="inlineStr">
        <is>
          <t>shop</t>
        </is>
      </c>
      <c r="C10" s="8" t="inlineStr">
        <is>
          <t>펫 판매</t>
        </is>
      </c>
      <c r="D10" s="8" t="inlineStr">
        <is>
          <t>귀여운 친구를 찾고 계신가요?</t>
        </is>
      </c>
      <c r="E10" s="8" t="inlineStr">
        <is>
          <t>펫 구매 가능</t>
        </is>
      </c>
    </row>
    <row r="11">
      <c r="A11" s="9" t="inlineStr">
        <is>
          <t>제작소</t>
        </is>
      </c>
      <c r="B11" s="9" t="inlineStr">
        <is>
          <t>cook</t>
        </is>
      </c>
      <c r="C11" s="9" t="inlineStr">
        <is>
          <t>장비 제작</t>
        </is>
      </c>
      <c r="D11" s="9" t="inlineStr">
        <is>
          <t>무엇을 제작하시겠습니까?</t>
        </is>
      </c>
      <c r="E11" s="9" t="inlineStr">
        <is>
          <t>제작 레시피 제공</t>
        </is>
      </c>
    </row>
    <row r="12">
      <c r="A12" s="8" t="inlineStr">
        <is>
          <t>점쟁이</t>
        </is>
      </c>
      <c r="B12" s="8" t="inlineStr">
        <is>
          <t>fortune</t>
        </is>
      </c>
      <c r="C12" s="8" t="inlineStr">
        <is>
          <t>운세 / 행운 버프</t>
        </is>
      </c>
      <c r="D12" s="8" t="inlineStr">
        <is>
          <t>오늘의 운세를 봐드릴까요?</t>
        </is>
      </c>
      <c r="E12" s="8" t="inlineStr">
        <is>
          <t>v1.16 신규 — 밤/카르마별 대사</t>
        </is>
      </c>
    </row>
    <row r="13">
      <c r="A13" s="9" t="inlineStr">
        <is>
          <t>감정사</t>
        </is>
      </c>
      <c r="B13" s="9" t="inlineStr">
        <is>
          <t>appraise</t>
        </is>
      </c>
      <c r="C13" s="9" t="inlineStr">
        <is>
          <t>미감정 장비 감정</t>
        </is>
      </c>
      <c r="D13" s="9" t="inlineStr">
        <is>
          <t>미감정 장비를 가져오셨군요?</t>
        </is>
      </c>
      <c r="E13" s="9" t="inlineStr">
        <is>
          <t>v1.16 신규 — Lv.30+ 특수 대사</t>
        </is>
      </c>
    </row>
    <row r="14">
      <c r="A14" s="8" t="inlineStr">
        <is>
          <t>수집가</t>
        </is>
      </c>
      <c r="B14" s="8" t="inlineStr">
        <is>
          <t>collect</t>
        </is>
      </c>
      <c r="C14" s="8" t="inlineStr">
        <is>
          <t>희귀 아이템 매입</t>
        </is>
      </c>
      <c r="D14" s="8" t="inlineStr">
        <is>
          <t>희귀한 아이템을 찾고 있어요!</t>
        </is>
      </c>
      <c r="E14" s="8" t="inlineStr">
        <is>
          <t>v1.16 신규 — 골드 50000+ 특별 거래</t>
        </is>
      </c>
    </row>
    <row r="17">
      <c r="A17" s="10" t="inlineStr">
        <is>
          <t>NPC 상황별 대사 시스템</t>
        </is>
      </c>
    </row>
    <row r="18">
      <c r="A18" s="3" t="inlineStr">
        <is>
          <t>우선순위</t>
        </is>
      </c>
      <c r="B18" s="3" t="inlineStr">
        <is>
          <t>상황별 특수 대사 → 기본 대사 (랜덤)</t>
        </is>
      </c>
    </row>
    <row r="19">
      <c r="A19" s="3" t="inlineStr">
        <is>
          <t>상황 변수</t>
        </is>
      </c>
      <c r="B19" s="3" t="inlineStr">
        <is>
          <t>HP %, 골드, 레벨, 카르마, 시간대(낮/밤), 날씨, 환생 차수, 진영</t>
        </is>
      </c>
    </row>
    <row r="20">
      <c r="A20" s="3" t="inlineStr">
        <is>
          <t>신규 v1.16</t>
        </is>
      </c>
      <c r="B20" s="3" t="inlineStr">
        <is>
          <t>점쟁이는 카르마 200+ 시 경고 대사 / 수집가는 골드 50000+ 시 특별 거래 제안</t>
        </is>
      </c>
    </row>
  </sheetData>
  <mergeCells count="1">
    <mergeCell ref="A1:E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6" customWidth="1" min="1" max="1"/>
    <col width="12" customWidth="1" min="2" max="2"/>
    <col width="8" customWidth="1" min="3" max="3"/>
    <col width="8" customWidth="1" min="4" max="4"/>
    <col width="12" customWidth="1" min="5" max="5"/>
    <col width="12" customWidth="1" min="6" max="6"/>
    <col width="8" customWidth="1" min="7" max="7"/>
    <col width="30" customWidth="1" min="8" max="8"/>
  </cols>
  <sheetData>
    <row r="1">
      <c r="A1" s="6" t="inlineStr">
        <is>
          <t>월드 보스 (5종 — v1.13 폭풍의 거인 / 시간의 수호자 신규)</t>
        </is>
      </c>
    </row>
    <row r="3">
      <c r="A3" s="7" t="inlineStr">
        <is>
          <t>보스명</t>
        </is>
      </c>
      <c r="B3" s="7" t="inlineStr">
        <is>
          <t>HP</t>
        </is>
      </c>
      <c r="C3" s="7" t="inlineStr">
        <is>
          <t>ATK</t>
        </is>
      </c>
      <c r="D3" s="7" t="inlineStr">
        <is>
          <t>DEF</t>
        </is>
      </c>
      <c r="E3" s="7" t="inlineStr">
        <is>
          <t>EXP 보상</t>
        </is>
      </c>
      <c r="F3" s="7" t="inlineStr">
        <is>
          <t>골드 보상</t>
        </is>
      </c>
      <c r="G3" s="7" t="inlineStr">
        <is>
          <t>색상</t>
        </is>
      </c>
      <c r="H3" s="7" t="inlineStr">
        <is>
          <t>비고</t>
        </is>
      </c>
    </row>
    <row r="4">
      <c r="A4" s="8" t="inlineStr">
        <is>
          <t>태고의 드래곤</t>
        </is>
      </c>
      <c r="B4" s="8" t="inlineStr">
        <is>
          <t>50,000</t>
        </is>
      </c>
      <c r="C4" s="8" t="inlineStr">
        <is>
          <t>120</t>
        </is>
      </c>
      <c r="D4" s="8" t="inlineStr">
        <is>
          <t>50</t>
        </is>
      </c>
      <c r="E4" s="8" t="inlineStr">
        <is>
          <t>5,000</t>
        </is>
      </c>
      <c r="F4" s="8" t="inlineStr">
        <is>
          <t>3,000</t>
        </is>
      </c>
      <c r="G4" s="8" t="inlineStr">
        <is>
          <t>빨강</t>
        </is>
      </c>
      <c r="H4" s="8" t="inlineStr">
        <is>
          <t>기존</t>
        </is>
      </c>
    </row>
    <row r="5">
      <c r="A5" s="9" t="inlineStr">
        <is>
          <t>심연의 군주</t>
        </is>
      </c>
      <c r="B5" s="9" t="inlineStr">
        <is>
          <t>80,000</t>
        </is>
      </c>
      <c r="C5" s="9" t="inlineStr">
        <is>
          <t>150</t>
        </is>
      </c>
      <c r="D5" s="9" t="inlineStr">
        <is>
          <t>70</t>
        </is>
      </c>
      <c r="E5" s="9" t="inlineStr">
        <is>
          <t>8,000</t>
        </is>
      </c>
      <c r="F5" s="9" t="inlineStr">
        <is>
          <t>5,000</t>
        </is>
      </c>
      <c r="G5" s="9" t="inlineStr">
        <is>
          <t>보라</t>
        </is>
      </c>
      <c r="H5" s="9" t="inlineStr">
        <is>
          <t>기존</t>
        </is>
      </c>
    </row>
    <row r="6">
      <c r="A6" s="8" t="inlineStr">
        <is>
          <t>불멸의 피닉스</t>
        </is>
      </c>
      <c r="B6" s="8" t="inlineStr">
        <is>
          <t>60,000</t>
        </is>
      </c>
      <c r="C6" s="8" t="inlineStr">
        <is>
          <t>130</t>
        </is>
      </c>
      <c r="D6" s="8" t="inlineStr">
        <is>
          <t>40</t>
        </is>
      </c>
      <c r="E6" s="8" t="inlineStr">
        <is>
          <t>6,000</t>
        </is>
      </c>
      <c r="F6" s="8" t="inlineStr">
        <is>
          <t>4,000</t>
        </is>
      </c>
      <c r="G6" s="8" t="inlineStr">
        <is>
          <t>주황</t>
        </is>
      </c>
      <c r="H6" s="8" t="inlineStr">
        <is>
          <t>기존</t>
        </is>
      </c>
    </row>
    <row r="7">
      <c r="A7" s="9" t="inlineStr">
        <is>
          <t>폭풍의 거인</t>
        </is>
      </c>
      <c r="B7" s="9" t="inlineStr">
        <is>
          <t>100,000</t>
        </is>
      </c>
      <c r="C7" s="9" t="inlineStr">
        <is>
          <t>140</t>
        </is>
      </c>
      <c r="D7" s="9" t="inlineStr">
        <is>
          <t>90</t>
        </is>
      </c>
      <c r="E7" s="9" t="inlineStr">
        <is>
          <t>10,000</t>
        </is>
      </c>
      <c r="F7" s="9" t="inlineStr">
        <is>
          <t>6,000</t>
        </is>
      </c>
      <c r="G7" s="9" t="inlineStr">
        <is>
          <t>시안</t>
        </is>
      </c>
      <c r="H7" s="9" t="inlineStr">
        <is>
          <t>v1.13 신규 — 최대 HP, 강력 방어</t>
        </is>
      </c>
    </row>
    <row r="8">
      <c r="A8" s="8" t="inlineStr">
        <is>
          <t>시간의 수호자</t>
        </is>
      </c>
      <c r="B8" s="8" t="inlineStr">
        <is>
          <t>70,000</t>
        </is>
      </c>
      <c r="C8" s="8" t="inlineStr">
        <is>
          <t>170</t>
        </is>
      </c>
      <c r="D8" s="8" t="inlineStr">
        <is>
          <t>60</t>
        </is>
      </c>
      <c r="E8" s="8" t="inlineStr">
        <is>
          <t>9,000</t>
        </is>
      </c>
      <c r="F8" s="8" t="inlineStr">
        <is>
          <t>7,000</t>
        </is>
      </c>
      <c r="G8" s="8" t="inlineStr">
        <is>
          <t>금색</t>
        </is>
      </c>
      <c r="H8" s="8" t="inlineStr">
        <is>
          <t>v1.13 신규 — 최강 ATK, 최고 골드 보상</t>
        </is>
      </c>
    </row>
    <row r="11">
      <c r="A11" s="10" t="inlineStr">
        <is>
          <t>월드 보스 시스템</t>
        </is>
      </c>
    </row>
    <row r="12">
      <c r="A12" s="3" t="inlineStr">
        <is>
          <t>스폰 주기</t>
        </is>
      </c>
      <c r="B12" s="3" t="inlineStr">
        <is>
          <t>주기적으로 랜덤 보스 1마리 출현 (다음 보스는 처치 후)</t>
        </is>
      </c>
    </row>
    <row r="13">
      <c r="A13" s="3" t="inlineStr">
        <is>
          <t>MVP 보상</t>
        </is>
      </c>
      <c r="B13" s="3" t="inlineStr">
        <is>
          <t>데미지 1위 플레이어에게 추가 보상 + MVP 카운트</t>
        </is>
      </c>
    </row>
    <row r="14">
      <c r="A14" s="3" t="inlineStr">
        <is>
          <t>전 서버 알림</t>
        </is>
      </c>
      <c r="B14" s="3" t="inlineStr">
        <is>
          <t>출현 시 전 서버에 알림 메시지 송출</t>
        </is>
      </c>
    </row>
    <row r="15">
      <c r="A15" s="3" t="inlineStr">
        <is>
          <t>칭호 연계</t>
        </is>
      </c>
      <c r="B15" s="3" t="inlineStr">
        <is>
          <t>월드 보스 10회 처치 시 천공의 군주 칭호 (v1.9)</t>
        </is>
      </c>
    </row>
  </sheetData>
  <mergeCells count="1">
    <mergeCell ref="A1:H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6" customWidth="1" min="1" max="1"/>
    <col width="18" customWidth="1" min="2" max="2"/>
    <col width="12" customWidth="1" min="3" max="3"/>
    <col width="8" customWidth="1" min="4" max="4"/>
    <col width="32" customWidth="1" min="5" max="5"/>
    <col width="10" customWidth="1" min="6" max="6"/>
    <col width="10" customWidth="1" min="7" max="7"/>
  </cols>
  <sheetData>
    <row r="1">
      <c r="A1" s="6" t="inlineStr">
        <is>
          <t>연금술 — 엘릭서 (5종 — v1.12 신규)</t>
        </is>
      </c>
    </row>
    <row r="3">
      <c r="A3" s="7" t="inlineStr">
        <is>
          <t>ID</t>
        </is>
      </c>
      <c r="B3" s="7" t="inlineStr">
        <is>
          <t>엘릭서명</t>
        </is>
      </c>
      <c r="C3" s="7" t="inlineStr">
        <is>
          <t>효과</t>
        </is>
      </c>
      <c r="D3" s="7" t="inlineStr">
        <is>
          <t>지속</t>
        </is>
      </c>
      <c r="E3" s="7" t="inlineStr">
        <is>
          <t>재료</t>
        </is>
      </c>
      <c r="F3" s="7" t="inlineStr">
        <is>
          <t>비용</t>
        </is>
      </c>
      <c r="G3" s="7" t="inlineStr">
        <is>
          <t>성공률</t>
        </is>
      </c>
    </row>
    <row r="4">
      <c r="A4" s="8" t="inlineStr">
        <is>
          <t>elixir_titan</t>
        </is>
      </c>
      <c r="B4" s="8" t="inlineStr">
        <is>
          <t>타이탄의 엘릭서</t>
        </is>
      </c>
      <c r="C4" s="8" t="inlineStr">
        <is>
          <t>ATK ×1.5</t>
        </is>
      </c>
      <c r="D4" s="8" t="inlineStr">
        <is>
          <t>30분</t>
        </is>
      </c>
      <c r="E4" s="8" t="inlineStr">
        <is>
          <t>용재료×3, 마법재료×10, 물약원료×5</t>
        </is>
      </c>
      <c r="F4" s="8" t="inlineStr">
        <is>
          <t>5000G</t>
        </is>
      </c>
      <c r="G4" s="8" t="inlineStr">
        <is>
          <t>40%</t>
        </is>
      </c>
    </row>
    <row r="5">
      <c r="A5" s="9" t="inlineStr">
        <is>
          <t>elixir_iron</t>
        </is>
      </c>
      <c r="B5" s="9" t="inlineStr">
        <is>
          <t>강철 엘릭서</t>
        </is>
      </c>
      <c r="C5" s="9" t="inlineStr">
        <is>
          <t>DEF ×1.5</t>
        </is>
      </c>
      <c r="D5" s="9" t="inlineStr">
        <is>
          <t>30분</t>
        </is>
      </c>
      <c r="E5" s="9" t="inlineStr">
        <is>
          <t>철광석×30, 마법재료×10, 물약원료×5</t>
        </is>
      </c>
      <c r="F5" s="9" t="inlineStr">
        <is>
          <t>4000G</t>
        </is>
      </c>
      <c r="G5" s="9" t="inlineStr">
        <is>
          <t>50%</t>
        </is>
      </c>
    </row>
    <row r="6">
      <c r="A6" s="8" t="inlineStr">
        <is>
          <t>elixir_swift</t>
        </is>
      </c>
      <c r="B6" s="8" t="inlineStr">
        <is>
          <t>질풍 엘릭서</t>
        </is>
      </c>
      <c r="C6" s="8" t="inlineStr">
        <is>
          <t>SPD ×1.4</t>
        </is>
      </c>
      <c r="D6" s="8" t="inlineStr">
        <is>
          <t>20분</t>
        </is>
      </c>
      <c r="E6" s="8" t="inlineStr">
        <is>
          <t>약초×20, 마법재료×8, 물약원료×5</t>
        </is>
      </c>
      <c r="F6" s="8" t="inlineStr">
        <is>
          <t>3500G</t>
        </is>
      </c>
      <c r="G6" s="8" t="inlineStr">
        <is>
          <t>50%</t>
        </is>
      </c>
    </row>
    <row r="7">
      <c r="A7" s="9" t="inlineStr">
        <is>
          <t>elixir_wisdom</t>
        </is>
      </c>
      <c r="B7" s="9" t="inlineStr">
        <is>
          <t>지혜 엘릭서</t>
        </is>
      </c>
      <c r="C7" s="9" t="inlineStr">
        <is>
          <t>EXP ×2.5</t>
        </is>
      </c>
      <c r="D7" s="9" t="inlineStr">
        <is>
          <t>15분</t>
        </is>
      </c>
      <c r="E7" s="9" t="inlineStr">
        <is>
          <t>마법수정×5, 영혼재료×5, 물약원료×8</t>
        </is>
      </c>
      <c r="F7" s="9" t="inlineStr">
        <is>
          <t>6000G</t>
        </is>
      </c>
      <c r="G7" s="9" t="inlineStr">
        <is>
          <t>40%</t>
        </is>
      </c>
    </row>
    <row r="8">
      <c r="A8" s="8" t="inlineStr">
        <is>
          <t>elixir_fortune</t>
        </is>
      </c>
      <c r="B8" s="8" t="inlineStr">
        <is>
          <t>행운 엘릭서</t>
        </is>
      </c>
      <c r="C8" s="8" t="inlineStr">
        <is>
          <t>GOLD ×2.0</t>
        </is>
      </c>
      <c r="D8" s="8" t="inlineStr">
        <is>
          <t>15분</t>
        </is>
      </c>
      <c r="E8" s="8" t="inlineStr">
        <is>
          <t>보석×10, 마법재료×5, 물약원료×5</t>
        </is>
      </c>
      <c r="F8" s="8" t="inlineStr">
        <is>
          <t>5500G</t>
        </is>
      </c>
      <c r="G8" s="8" t="inlineStr">
        <is>
          <t>40%</t>
        </is>
      </c>
    </row>
    <row r="11">
      <c r="A11" s="10" t="inlineStr">
        <is>
          <t>엘릭서 vs 음식 차이</t>
        </is>
      </c>
    </row>
    <row r="12">
      <c r="A12" s="3" t="inlineStr">
        <is>
          <t>지속시간</t>
        </is>
      </c>
      <c r="B12" s="3" t="inlineStr">
        <is>
          <t>음식: 1~5분</t>
        </is>
      </c>
      <c r="C12" s="3" t="inlineStr">
        <is>
          <t>엘릭서: 15~30분</t>
        </is>
      </c>
    </row>
    <row r="13">
      <c r="A13" s="3" t="inlineStr">
        <is>
          <t>효과 강도</t>
        </is>
      </c>
      <c r="B13" s="3" t="inlineStr">
        <is>
          <t>음식: 작음 (+5~20)</t>
        </is>
      </c>
      <c r="C13" s="3" t="inlineStr">
        <is>
          <t>엘릭서: 큼 (×1.4~2.5)</t>
        </is>
      </c>
    </row>
    <row r="14">
      <c r="A14" s="3" t="inlineStr">
        <is>
          <t>재료 난이도</t>
        </is>
      </c>
      <c r="B14" s="3" t="inlineStr">
        <is>
          <t>음식: 일반 식재료</t>
        </is>
      </c>
      <c r="C14" s="3" t="inlineStr">
        <is>
          <t>엘릭서: 보스 재료 + 영혼/마법재료</t>
        </is>
      </c>
    </row>
    <row r="15">
      <c r="A15" s="3" t="inlineStr">
        <is>
          <t>용도</t>
        </is>
      </c>
      <c r="B15" s="3" t="inlineStr">
        <is>
          <t>음식: 일반 사냥</t>
        </is>
      </c>
      <c r="C15" s="3" t="inlineStr">
        <is>
          <t>엘릭서: 보스/레이드/이벤트</t>
        </is>
      </c>
    </row>
  </sheetData>
  <mergeCells count="1">
    <mergeCell ref="A1:G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86"/>
  <sheetViews>
    <sheetView workbookViewId="0">
      <selection activeCell="A1" sqref="A1"/>
    </sheetView>
  </sheetViews>
  <sheetFormatPr baseColWidth="8" defaultRowHeight="15"/>
  <cols>
    <col width="10" customWidth="1" min="1" max="1"/>
    <col width="12" customWidth="1" min="2" max="2"/>
    <col width="12" customWidth="1" min="3" max="3"/>
    <col width="55" customWidth="1" min="4" max="4"/>
  </cols>
  <sheetData>
    <row r="1">
      <c r="A1" s="6" t="inlineStr">
        <is>
          <t>패치 노트 히스토리</t>
        </is>
      </c>
    </row>
    <row r="3">
      <c r="A3" s="7" t="inlineStr">
        <is>
          <t>버전</t>
        </is>
      </c>
      <c r="B3" s="7" t="inlineStr">
        <is>
          <t>일자</t>
        </is>
      </c>
      <c r="C3" s="7" t="inlineStr">
        <is>
          <t>분류</t>
        </is>
      </c>
      <c r="D3" s="7" t="inlineStr">
        <is>
          <t>내용</t>
        </is>
      </c>
    </row>
    <row r="4">
      <c r="A4" s="8" t="inlineStr">
        <is>
          <t>v2.18</t>
        </is>
      </c>
      <c r="B4" s="8" t="inlineStr">
        <is>
          <t>2026-04-09</t>
        </is>
      </c>
      <c r="C4" s="8" t="inlineStr">
        <is>
          <t>신기능</t>
        </is>
      </c>
      <c r="D4" s="8" t="inlineStr">
        <is>
          <t>정원 — game/garden.js (8 꽃, 12 슬롯, 5 단계 성장)</t>
        </is>
      </c>
    </row>
    <row r="5">
      <c r="A5" s="9" t="inlineStr">
        <is>
          <t>v2.17</t>
        </is>
      </c>
      <c r="B5" s="9" t="inlineStr">
        <is>
          <t>2026-04-09</t>
        </is>
      </c>
      <c r="C5" s="9" t="inlineStr">
        <is>
          <t>신기능</t>
        </is>
      </c>
      <c r="D5" s="9" t="inlineStr">
        <is>
          <t>차원 균열 — game/rift.js (5 웨이브, F~SSS 등급, 보스 가호)</t>
        </is>
      </c>
    </row>
    <row r="6">
      <c r="A6" s="8" t="inlineStr">
        <is>
          <t>v2.16</t>
        </is>
      </c>
      <c r="B6" s="8" t="inlineStr">
        <is>
          <t>2026-04-09</t>
        </is>
      </c>
      <c r="C6" s="8" t="inlineStr">
        <is>
          <t>신기능</t>
        </is>
      </c>
      <c r="D6" s="8" t="inlineStr">
        <is>
          <t>가문 문장 — game/heraldry.js (10 동물 × 8 색 × 8 모토)</t>
        </is>
      </c>
    </row>
    <row r="7">
      <c r="A7" s="9" t="inlineStr">
        <is>
          <t>v2.15</t>
        </is>
      </c>
      <c r="B7" s="9" t="inlineStr">
        <is>
          <t>2026-04-09</t>
        </is>
      </c>
      <c r="C7" s="9" t="inlineStr">
        <is>
          <t>신기능</t>
        </is>
      </c>
      <c r="D7" s="9" t="inlineStr">
        <is>
          <t>가면 — game/mask.js (11 가면, 페르소나, 4 등급)</t>
        </is>
      </c>
    </row>
    <row r="8">
      <c r="A8" s="8" t="inlineStr">
        <is>
          <t>v2.14</t>
        </is>
      </c>
      <c r="B8" s="8" t="inlineStr">
        <is>
          <t>2026-04-09</t>
        </is>
      </c>
      <c r="C8" s="8" t="inlineStr">
        <is>
          <t>신기능</t>
        </is>
      </c>
      <c r="D8" s="8" t="inlineStr">
        <is>
          <t>소원의 우물 — game/wishing_well.js (8 결과, 가중확률, jackpot 10×)</t>
        </is>
      </c>
    </row>
    <row r="9">
      <c r="A9" s="9" t="inlineStr">
        <is>
          <t>v2.13</t>
        </is>
      </c>
      <c r="B9" s="9" t="inlineStr">
        <is>
          <t>2026-04-09</t>
        </is>
      </c>
      <c r="C9" s="9" t="inlineStr">
        <is>
          <t>신기능</t>
        </is>
      </c>
      <c r="D9" s="9" t="inlineStr">
        <is>
          <t>부적 — game/talisman.js (8 종류, 슬롯 3, 사용 횟수)</t>
        </is>
      </c>
    </row>
    <row r="10">
      <c r="A10" s="8" t="inlineStr">
        <is>
          <t>v2.12</t>
        </is>
      </c>
      <c r="B10" s="8" t="inlineStr">
        <is>
          <t>2026-04-09</t>
        </is>
      </c>
      <c r="C10" s="8" t="inlineStr">
        <is>
          <t>신기능</t>
        </is>
      </c>
      <c r="D10" s="8" t="inlineStr">
        <is>
          <t>타로 — game/tarot.js (22 메이저 아르카나, 일일 3장, 운명선)</t>
        </is>
      </c>
    </row>
    <row r="11">
      <c r="A11" s="9" t="inlineStr">
        <is>
          <t>v2.11</t>
        </is>
      </c>
      <c r="B11" s="9" t="inlineStr">
        <is>
          <t>2026-04-09</t>
        </is>
      </c>
      <c r="C11" s="9" t="inlineStr">
        <is>
          <t>신기능</t>
        </is>
      </c>
      <c r="D11" s="9" t="inlineStr">
        <is>
          <t>음악/연주 — game/music.js (6 악기, 8 곡, 공명 1.5×)</t>
        </is>
      </c>
    </row>
    <row r="12">
      <c r="A12" s="8" t="inlineStr">
        <is>
          <t>v2.10</t>
        </is>
      </c>
      <c r="B12" s="8" t="inlineStr">
        <is>
          <t>2026-04-09</t>
        </is>
      </c>
      <c r="C12" s="8" t="inlineStr">
        <is>
          <t>신기능</t>
        </is>
      </c>
      <c r="D12" s="8" t="inlineStr">
        <is>
          <t>꿈 시스템 — game/dream.js (6 꿈 × 3 선택지, 영구 보너스/골드)</t>
        </is>
      </c>
    </row>
    <row r="13">
      <c r="A13" s="9" t="inlineStr">
        <is>
          <t>v2.09</t>
        </is>
      </c>
      <c r="B13" s="9" t="inlineStr">
        <is>
          <t>2026-04-09</t>
        </is>
      </c>
      <c r="C13" s="9" t="inlineStr">
        <is>
          <t>신기능</t>
        </is>
      </c>
      <c r="D13" s="9" t="inlineStr">
        <is>
          <t>유물 발굴 — game/excavation.js (5 사이트, 6 등급, 박물관 기증)</t>
        </is>
      </c>
    </row>
    <row r="14">
      <c r="A14" s="8" t="inlineStr">
        <is>
          <t>v2.08</t>
        </is>
      </c>
      <c r="B14" s="8" t="inlineStr">
        <is>
          <t>2026-04-09</t>
        </is>
      </c>
      <c r="C14" s="8" t="inlineStr">
        <is>
          <t>신기능</t>
        </is>
      </c>
      <c r="D14" s="8" t="inlineStr">
        <is>
          <t>항해 — game/sailing.js (4 배, 5 섬, 7 조우)</t>
        </is>
      </c>
    </row>
    <row r="15">
      <c r="A15" s="9" t="inlineStr">
        <is>
          <t>v2.07</t>
        </is>
      </c>
      <c r="B15" s="9" t="inlineStr">
        <is>
          <t>2026-04-09</t>
        </is>
      </c>
      <c r="C15" s="9" t="inlineStr">
        <is>
          <t>신기능</t>
        </is>
      </c>
      <c r="D15" s="9" t="inlineStr">
        <is>
          <t>미궁 — game/labyrinth.js (5x5, 일일 결정론적, 보물/몬스터/함정/출구)</t>
        </is>
      </c>
    </row>
    <row r="16">
      <c r="A16" s="8" t="inlineStr">
        <is>
          <t>v2.06</t>
        </is>
      </c>
      <c r="B16" s="8" t="inlineStr">
        <is>
          <t>2026-04-09</t>
        </is>
      </c>
      <c r="C16" s="8" t="inlineStr">
        <is>
          <t>신기능</t>
        </is>
      </c>
      <c r="D16" s="8" t="inlineStr">
        <is>
          <t>이모트 — game/emote.js (15 감정, 4 해금경로, 브로드캐스트)</t>
        </is>
      </c>
    </row>
    <row r="17">
      <c r="A17" s="9" t="inlineStr">
        <is>
          <t>v2.05</t>
        </is>
      </c>
      <c r="B17" s="9" t="inlineStr">
        <is>
          <t>2026-04-09</t>
        </is>
      </c>
      <c r="C17" s="9" t="inlineStr">
        <is>
          <t>신기능</t>
        </is>
      </c>
      <c r="D17" s="9" t="inlineStr">
        <is>
          <t>카지노 — game/casino.js (슬롯/주사위/동전, 통계 추적)</t>
        </is>
      </c>
    </row>
    <row r="18">
      <c r="A18" s="8" t="inlineStr">
        <is>
          <t>v2.04</t>
        </is>
      </c>
      <c r="B18" s="8" t="inlineStr">
        <is>
          <t>2026-04-09</t>
        </is>
      </c>
      <c r="C18" s="8" t="inlineStr">
        <is>
          <t>신기능</t>
        </is>
      </c>
      <c r="D18" s="8" t="inlineStr">
        <is>
          <t>프로필 카드 — game/profile.js (8 테마, 8 뱃지, 한줄소개, 조회수)</t>
        </is>
      </c>
    </row>
    <row r="19">
      <c r="A19" s="9" t="inlineStr">
        <is>
          <t>v2.03</t>
        </is>
      </c>
      <c r="B19" s="9" t="inlineStr">
        <is>
          <t>2026-04-09</t>
        </is>
      </c>
      <c r="C19" s="9" t="inlineStr">
        <is>
          <t>신기능</t>
        </is>
      </c>
      <c r="D19" s="9" t="inlineStr">
        <is>
          <t>친구/우정 — game/friends.js (50 슬롯, 6 친밀도 등급, 일일 선물)</t>
        </is>
      </c>
    </row>
    <row r="20">
      <c r="A20" s="8" t="inlineStr">
        <is>
          <t>v2.02</t>
        </is>
      </c>
      <c r="B20" s="8" t="inlineStr">
        <is>
          <t>2026-04-09</t>
        </is>
      </c>
      <c r="C20" s="8" t="inlineStr">
        <is>
          <t>신기능</t>
        </is>
      </c>
      <c r="D20" s="8" t="inlineStr">
        <is>
          <t>차원문 — game/waypoint.js (8 거점, 잠금해제 + 거리 비례 텔레포트)</t>
        </is>
      </c>
    </row>
    <row r="21">
      <c r="A21" s="9" t="inlineStr">
        <is>
          <t>v2.01</t>
        </is>
      </c>
      <c r="B21" s="9" t="inlineStr">
        <is>
          <t>2026-04-09</t>
        </is>
      </c>
      <c r="C21" s="9" t="inlineStr">
        <is>
          <t>신기능</t>
        </is>
      </c>
      <c r="D21" s="9" t="inlineStr">
        <is>
          <t>변신 시스템 — game/morph.js (7 형상, 에센스 드롭, aggregator 7번째)</t>
        </is>
      </c>
    </row>
    <row r="22">
      <c r="A22" s="8" t="inlineStr">
        <is>
          <t>v2.0</t>
        </is>
      </c>
      <c r="B22" s="8" t="inlineStr">
        <is>
          <t>2026-04-09</t>
        </is>
      </c>
      <c r="C22" s="8" t="inlineStr">
        <is>
          <t>마일스톤</t>
        </is>
      </c>
      <c r="D22" s="8" t="inlineStr">
        <is>
          <t>🎉 보너스 집계기 — bonus_aggregator.js (v1.91~v1.99 6개 소스 통합)</t>
        </is>
      </c>
    </row>
    <row r="23">
      <c r="A23" s="9" t="inlineStr">
        <is>
          <t>v2.0</t>
        </is>
      </c>
      <c r="B23" s="9" t="inlineStr">
        <is>
          <t>2026-04-09</t>
        </is>
      </c>
      <c r="C23" s="9" t="inlineStr">
        <is>
          <t>수정</t>
        </is>
      </c>
      <c r="D23" s="9" t="inlineStr">
        <is>
          <t>meditation.getActiveBonuses 별칭 추가 (aggregator 호환)</t>
        </is>
      </c>
    </row>
    <row r="24">
      <c r="A24" s="8" t="inlineStr">
        <is>
          <t>v1.99</t>
        </is>
      </c>
      <c r="B24" s="8" t="inlineStr">
        <is>
          <t>2026-04-09</t>
        </is>
      </c>
      <c r="C24" s="8" t="inlineStr">
        <is>
          <t>신기능</t>
        </is>
      </c>
      <c r="D24" s="8" t="inlineStr">
        <is>
          <t>위인 전당 — game/legends.js (12 위인, 일일 학습, 영구+24h 버프)</t>
        </is>
      </c>
    </row>
    <row r="25">
      <c r="A25" s="9" t="inlineStr">
        <is>
          <t>v1.98</t>
        </is>
      </c>
      <c r="B25" s="9" t="inlineStr">
        <is>
          <t>2026-04-09</t>
        </is>
      </c>
      <c r="C25" s="9" t="inlineStr">
        <is>
          <t>신기능</t>
        </is>
      </c>
      <c r="D25" s="9" t="inlineStr">
        <is>
          <t>제련 시스템 — game/forge.js (7 레시피, 큐 5슬롯, 다이아 즉시완료)</t>
        </is>
      </c>
    </row>
    <row r="26">
      <c r="A26" s="8" t="inlineStr">
        <is>
          <t>v1.97</t>
        </is>
      </c>
      <c r="B26" s="8" t="inlineStr">
        <is>
          <t>2026-04-09</t>
        </is>
      </c>
      <c r="C26" s="8" t="inlineStr">
        <is>
          <t>신기능</t>
        </is>
      </c>
      <c r="D26" s="8" t="inlineStr">
        <is>
          <t>채집 시스템 — game/gathering.js (8 노드, 4 스킬, 도구 등급)</t>
        </is>
      </c>
    </row>
    <row r="27">
      <c r="A27" s="9" t="inlineStr">
        <is>
          <t>v1.96</t>
        </is>
      </c>
      <c r="B27" s="9" t="inlineStr">
        <is>
          <t>2026-04-09</t>
        </is>
      </c>
      <c r="C27" s="9" t="inlineStr">
        <is>
          <t>신기능</t>
        </is>
      </c>
      <c r="D27" s="9" t="inlineStr">
        <is>
          <t>신탁 시스템 — game/oracle.js (10 예언, 8 수수께끼, 일일 신탁)</t>
        </is>
      </c>
    </row>
    <row r="28">
      <c r="A28" s="8" t="inlineStr">
        <is>
          <t>v1.95</t>
        </is>
      </c>
      <c r="B28" s="8" t="inlineStr">
        <is>
          <t>2026-04-09</t>
        </is>
      </c>
      <c r="C28" s="8" t="inlineStr">
        <is>
          <t>신기능</t>
        </is>
      </c>
      <c r="D28" s="8" t="inlineStr">
        <is>
          <t>보석 세공 시스템 — game/gemcraft.js (5 원석, 5 세공등급, 가중 확률)</t>
        </is>
      </c>
    </row>
    <row r="29">
      <c r="A29" s="9" t="inlineStr">
        <is>
          <t>v1.94</t>
        </is>
      </c>
      <c r="B29" s="9" t="inlineStr">
        <is>
          <t>2026-04-09</t>
        </is>
      </c>
      <c r="C29" s="9" t="inlineStr">
        <is>
          <t>신기능</t>
        </is>
      </c>
      <c r="D29" s="9" t="inlineStr">
        <is>
          <t>기상 시스템 — game/weather.js (8 날씨, 4시간 회전, 글로벌 효과)</t>
        </is>
      </c>
    </row>
    <row r="30">
      <c r="A30" s="8" t="inlineStr">
        <is>
          <t>v1.93</t>
        </is>
      </c>
      <c r="B30" s="8" t="inlineStr">
        <is>
          <t>2026-04-09</t>
        </is>
      </c>
      <c r="C30" s="8" t="inlineStr">
        <is>
          <t>신기능</t>
        </is>
      </c>
      <c r="D30" s="8" t="inlineStr">
        <is>
          <t>별자리 시스템 — game/constellation.js (12 별자리, 일일 관측, 마스터 보너스)</t>
        </is>
      </c>
    </row>
    <row r="31">
      <c r="A31" s="9" t="inlineStr">
        <is>
          <t>v1.92</t>
        </is>
      </c>
      <c r="B31" s="9" t="inlineStr">
        <is>
          <t>2026-04-09</t>
        </is>
      </c>
      <c r="C31" s="9" t="inlineStr">
        <is>
          <t>신기능</t>
        </is>
      </c>
      <c r="D31" s="9" t="inlineStr">
        <is>
          <t>요리 시스템 — game/cooking.js (9 재료, 7 레시피, 일시 버프)</t>
        </is>
      </c>
    </row>
    <row r="32">
      <c r="A32" s="8" t="inlineStr">
        <is>
          <t>v1.91</t>
        </is>
      </c>
      <c r="B32" s="8" t="inlineStr">
        <is>
          <t>2026-04-09</t>
        </is>
      </c>
      <c r="C32" s="8" t="inlineStr">
        <is>
          <t>신기능</t>
        </is>
      </c>
      <c r="D32" s="8" t="inlineStr">
        <is>
          <t>명상 시스템 — game/meditation.js (4 신성장소, 5 패시브 퍽)</t>
        </is>
      </c>
    </row>
    <row r="33">
      <c r="A33" s="9" t="inlineStr">
        <is>
          <t>v1.90</t>
        </is>
      </c>
      <c r="B33" s="9" t="inlineStr">
        <is>
          <t>2026-04-09</t>
        </is>
      </c>
      <c r="C33" s="9" t="inlineStr">
        <is>
          <t>신기능</t>
        </is>
      </c>
      <c r="D33" s="9" t="inlineStr">
        <is>
          <t>일기장 시스템 — game/diary.js (22 이벤트 타입, 개인 타임라인)</t>
        </is>
      </c>
    </row>
    <row r="34">
      <c r="A34" s="8" t="inlineStr">
        <is>
          <t>v1.89</t>
        </is>
      </c>
      <c r="B34" s="8" t="inlineStr">
        <is>
          <t>2026-04-09</t>
        </is>
      </c>
      <c r="C34" s="8" t="inlineStr">
        <is>
          <t>리팩토링</t>
        </is>
      </c>
      <c r="D34" s="8" t="inlineStr">
        <is>
          <t>잡다 20개 핸들러 일괄 분리 → misc_handlers.js (-377줄)</t>
        </is>
      </c>
    </row>
    <row r="35">
      <c r="A35" s="9" t="inlineStr">
        <is>
          <t>v1.89</t>
        </is>
      </c>
      <c r="B35" s="9" t="inlineStr">
        <is>
          <t>2026-04-09</t>
        </is>
      </c>
      <c r="C35" s="9" t="inlineStr">
        <is>
          <t>마일스톤</t>
        </is>
      </c>
      <c r="D35" s="9" t="inlineStr">
        <is>
          <t>🎉 핸들러 분리 완료 — server.js 9869→8195 (-1674줄, -17%)</t>
        </is>
      </c>
    </row>
    <row r="36">
      <c r="A36" s="8" t="inlineStr">
        <is>
          <t>v1.88</t>
        </is>
      </c>
      <c r="B36" s="8" t="inlineStr">
        <is>
          <t>2026-04-09</t>
        </is>
      </c>
      <c r="C36" s="8" t="inlineStr">
        <is>
          <t>리팩토링</t>
        </is>
      </c>
      <c r="D36" s="8" t="inlineStr">
        <is>
          <t>companion/world_event/postoffice/transmog/fortune/insurance 6개 분리 (-175줄)</t>
        </is>
      </c>
    </row>
    <row r="37">
      <c r="A37" s="9" t="inlineStr">
        <is>
          <t>v1.87</t>
        </is>
      </c>
      <c r="B37" s="9" t="inlineStr">
        <is>
          <t>2026-04-09</t>
        </is>
      </c>
      <c r="C37" s="9" t="inlineStr">
        <is>
          <t>리팩토링</t>
        </is>
      </c>
      <c r="D37" s="9" t="inlineStr">
        <is>
          <t>expedition/raid/transmutation/jobs/black_market/leaderboard 6개 분리 (-212줄)</t>
        </is>
      </c>
    </row>
    <row r="38">
      <c r="A38" s="8" t="inlineStr">
        <is>
          <t>v1.86</t>
        </is>
      </c>
      <c r="B38" s="8" t="inlineStr">
        <is>
          <t>2026-04-09</t>
        </is>
      </c>
      <c r="C38" s="8" t="inlineStr">
        <is>
          <t>리팩토링</t>
        </is>
      </c>
      <c r="D38" s="8" t="inlineStr">
        <is>
          <t>runes/breeding/relic/treasure_map/training/pet_battle 6개 분리 (-253줄)</t>
        </is>
      </c>
    </row>
    <row r="39">
      <c r="A39" s="9" t="inlineStr">
        <is>
          <t>v1.85</t>
        </is>
      </c>
      <c r="B39" s="9" t="inlineStr">
        <is>
          <t>2026-04-08</t>
        </is>
      </c>
      <c r="C39" s="9" t="inlineStr">
        <is>
          <t>리팩토링</t>
        </is>
      </c>
      <c r="D39" s="9" t="inlineStr">
        <is>
          <t>farm/skill_tree/mail/codex/daily_shop 핸들러 5개 분리 (-228줄)</t>
        </is>
      </c>
    </row>
    <row r="40">
      <c r="A40" s="8" t="inlineStr">
        <is>
          <t>v1.84</t>
        </is>
      </c>
      <c r="B40" s="8" t="inlineStr">
        <is>
          <t>2026-04-08</t>
        </is>
      </c>
      <c r="C40" s="8" t="inlineStr">
        <is>
          <t>리팩토링</t>
        </is>
      </c>
      <c r="D40" s="8" t="inlineStr">
        <is>
          <t>event/auction/boss_rush/season 핸들러 4개 동시 분리 (-240줄)</t>
        </is>
      </c>
    </row>
    <row r="41">
      <c r="A41" s="9" t="inlineStr">
        <is>
          <t>v1.84</t>
        </is>
      </c>
      <c r="B41" s="9" t="inlineStr">
        <is>
          <t>2026-04-08</t>
        </is>
      </c>
      <c r="C41" s="9" t="inlineStr">
        <is>
          <t>리팩토링</t>
        </is>
      </c>
      <c r="D41" s="9" t="inlineStr">
        <is>
          <t>game/handlers/ 4 신규 파일</t>
        </is>
      </c>
    </row>
    <row r="42">
      <c r="A42" s="8" t="inlineStr">
        <is>
          <t>v1.83</t>
        </is>
      </c>
      <c r="B42" s="8" t="inlineStr">
        <is>
          <t>2026-04-08</t>
        </is>
      </c>
      <c r="C42" s="8" t="inlineStr">
        <is>
          <t>리팩토링</t>
        </is>
      </c>
      <c r="D42" s="8" t="inlineStr">
        <is>
          <t>fishing 핸들러 분리 (-116줄)</t>
        </is>
      </c>
    </row>
    <row r="43">
      <c r="A43" s="9" t="inlineStr">
        <is>
          <t>v1.83</t>
        </is>
      </c>
      <c r="B43" s="9" t="inlineStr">
        <is>
          <t>2026-04-08</t>
        </is>
      </c>
      <c r="C43" s="9" t="inlineStr">
        <is>
          <t>리팩토링</t>
        </is>
      </c>
      <c r="D43" s="9" t="inlineStr">
        <is>
          <t>game/handlers/fishing_handlers.js (130줄)</t>
        </is>
      </c>
    </row>
    <row r="44">
      <c r="A44" s="8" t="inlineStr">
        <is>
          <t>v1.82</t>
        </is>
      </c>
      <c r="B44" s="8" t="inlineStr">
        <is>
          <t>2026-04-08</t>
        </is>
      </c>
      <c r="C44" s="8" t="inlineStr">
        <is>
          <t>리팩토링</t>
        </is>
      </c>
      <c r="D44" s="8" t="inlineStr">
        <is>
          <t>핸들러 분리 시작 — game/handlers/lottery_handlers.js</t>
        </is>
      </c>
    </row>
    <row r="45">
      <c r="A45" s="9" t="inlineStr">
        <is>
          <t>v1.82</t>
        </is>
      </c>
      <c r="B45" s="9" t="inlineStr">
        <is>
          <t>2026-04-08</t>
        </is>
      </c>
      <c r="C45" s="9" t="inlineStr">
        <is>
          <t>패턴</t>
        </is>
      </c>
      <c r="D45" s="9" t="inlineStr">
        <is>
          <t>registerXxxHandlers(socket, ctx) 형태로 분리, server.js -73줄</t>
        </is>
      </c>
    </row>
    <row r="46">
      <c r="A46" s="8" t="inlineStr">
        <is>
          <t>v1.82</t>
        </is>
      </c>
      <c r="B46" s="8" t="inlineStr">
        <is>
          <t>2026-04-08</t>
        </is>
      </c>
      <c r="C46" s="8" t="inlineStr">
        <is>
          <t>첫 단계</t>
        </is>
      </c>
      <c r="D46" s="8" t="inlineStr">
        <is>
          <t>lottery만 분리하여 패턴 검증, 다음에 더 많은 모듈 동일 패턴 적용</t>
        </is>
      </c>
    </row>
    <row r="47">
      <c r="A47" s="9" t="inlineStr">
        <is>
          <t>v1.81</t>
        </is>
      </c>
      <c r="B47" s="9" t="inlineStr">
        <is>
          <t>2026-04-08</t>
        </is>
      </c>
      <c r="C47" s="9" t="inlineStr">
        <is>
          <t>신규 모듈</t>
        </is>
      </c>
      <c r="D47" s="9" t="inlineStr">
        <is>
          <t>game/statistics.js — 서버 통계 (5 카테고리)</t>
        </is>
      </c>
    </row>
    <row r="48">
      <c r="A48" s="8" t="inlineStr">
        <is>
          <t>v1.81</t>
        </is>
      </c>
      <c r="B48" s="8" t="inlineStr">
        <is>
          <t>2026-04-08</t>
        </is>
      </c>
      <c r="C48" s="8" t="inlineStr">
        <is>
          <t>통계</t>
        </is>
      </c>
      <c r="D48" s="8" t="inlineStr">
        <is>
          <t>전투/경제/컬렉션/진행/펫 카테고리별 합계/평균/최대</t>
        </is>
      </c>
    </row>
    <row r="49">
      <c r="A49" s="9" t="inlineStr">
        <is>
          <t>v1.81</t>
        </is>
      </c>
      <c r="B49" s="9" t="inlineStr">
        <is>
          <t>2026-04-08</t>
        </is>
      </c>
      <c r="C49" s="9" t="inlineStr">
        <is>
          <t>캐시</t>
        </is>
      </c>
      <c r="D49" s="9" t="inlineStr">
        <is>
          <t>30초 스냅샷 (실시간 부담 최소화)</t>
        </is>
      </c>
    </row>
    <row r="50">
      <c r="A50" s="8" t="inlineStr">
        <is>
          <t>v1.80</t>
        </is>
      </c>
      <c r="B50" s="8" t="inlineStr">
        <is>
          <t>2026-04-08</t>
        </is>
      </c>
      <c r="C50" s="8" t="inlineStr">
        <is>
          <t>🎯 마일스톤</t>
        </is>
      </c>
      <c r="D50" s="8" t="inlineStr">
        <is>
          <t>80번째 패치 — 시간 캡슐 (game/time_capsule.js)</t>
        </is>
      </c>
    </row>
    <row r="51">
      <c r="A51" s="9" t="inlineStr">
        <is>
          <t>v1.80</t>
        </is>
      </c>
      <c r="B51" s="9" t="inlineStr">
        <is>
          <t>2026-04-08</t>
        </is>
      </c>
      <c r="C51" s="9" t="inlineStr">
        <is>
          <t>캡슐</t>
        </is>
      </c>
      <c r="D51" s="9" t="inlineStr">
        <is>
          <t>단기7d/중기30d/장기90d/전설365d × 이자 10%~500%</t>
        </is>
      </c>
    </row>
    <row r="52">
      <c r="A52" s="8" t="inlineStr">
        <is>
          <t>v1.80</t>
        </is>
      </c>
      <c r="B52" s="8" t="inlineStr">
        <is>
          <t>2026-04-08</t>
        </is>
      </c>
      <c r="C52" s="8" t="inlineStr">
        <is>
          <t>시스템</t>
        </is>
      </c>
      <c r="D52" s="8" t="inlineStr">
        <is>
          <t>조기 회수 페널티 20~50% / 주말 만기 보너스 +5%</t>
        </is>
      </c>
    </row>
    <row r="53">
      <c r="A53" s="9" t="inlineStr">
        <is>
          <t>v1.79</t>
        </is>
      </c>
      <c r="B53" s="9" t="inlineStr">
        <is>
          <t>2026-04-08</t>
        </is>
      </c>
      <c r="C53" s="9" t="inlineStr">
        <is>
          <t>신규 모듈</t>
        </is>
      </c>
      <c r="D53" s="9" t="inlineStr">
        <is>
          <t>game/invitation.js — 초대 시스템 (5 마일스톤)</t>
        </is>
      </c>
    </row>
    <row r="54">
      <c r="A54" s="8" t="inlineStr">
        <is>
          <t>v1.79</t>
        </is>
      </c>
      <c r="B54" s="8" t="inlineStr">
        <is>
          <t>2026-04-08</t>
        </is>
      </c>
      <c r="C54" s="8" t="inlineStr">
        <is>
          <t>초대</t>
        </is>
      </c>
      <c r="D54" s="8" t="inlineStr">
        <is>
          <t>코드 생성 → Lv5/10/20/30/50 도달 시 양쪽 보상</t>
        </is>
      </c>
    </row>
    <row r="55">
      <c r="A55" s="9" t="inlineStr">
        <is>
          <t>v1.79</t>
        </is>
      </c>
      <c r="B55" s="9" t="inlineStr">
        <is>
          <t>2026-04-08</t>
        </is>
      </c>
      <c r="C55" s="9" t="inlineStr">
        <is>
          <t>만렙 보상</t>
        </is>
      </c>
      <c r="D55" s="9" t="inlineStr">
        <is>
          <t>초대자: 50000G + 500💎 + mentor 칭호</t>
        </is>
      </c>
    </row>
    <row r="56">
      <c r="A56" s="8" t="inlineStr">
        <is>
          <t>v1.78</t>
        </is>
      </c>
      <c r="B56" s="8" t="inlineStr">
        <is>
          <t>2026-04-08</t>
        </is>
      </c>
      <c r="C56" s="8" t="inlineStr">
        <is>
          <t>신규 모듈</t>
        </is>
      </c>
      <c r="D56" s="8" t="inlineStr">
        <is>
          <t>game/honor.js — 명예 시스템 (PvP 전용 화폐 + 상점 + 7 계급)</t>
        </is>
      </c>
    </row>
    <row r="57">
      <c r="A57" s="9" t="inlineStr">
        <is>
          <t>v1.78</t>
        </is>
      </c>
      <c r="B57" s="9" t="inlineStr">
        <is>
          <t>2026-04-08</t>
        </is>
      </c>
      <c r="C57" s="9" t="inlineStr">
        <is>
          <t>명예 획득</t>
        </is>
      </c>
      <c r="D57" s="9" t="inlineStr">
        <is>
          <t>PvP/아레나/결투/길드전쟁/토너먼트</t>
        </is>
      </c>
    </row>
    <row r="58">
      <c r="A58" s="8" t="inlineStr">
        <is>
          <t>v1.78</t>
        </is>
      </c>
      <c r="B58" s="8" t="inlineStr">
        <is>
          <t>2026-04-08</t>
        </is>
      </c>
      <c r="C58" s="8" t="inlineStr">
        <is>
          <t>명예 상점</t>
        </is>
      </c>
      <c r="D58" s="8" t="inlineStr">
        <is>
          <t>검/갑옷/칭호/오라/불멸의 증표</t>
        </is>
      </c>
    </row>
    <row r="59">
      <c r="A59" s="9" t="inlineStr">
        <is>
          <t>v1.77</t>
        </is>
      </c>
      <c r="B59" s="9" t="inlineStr">
        <is>
          <t>2026-04-08</t>
        </is>
      </c>
      <c r="C59" s="9" t="inlineStr">
        <is>
          <t>신규 모듈</t>
        </is>
      </c>
      <c r="D59" s="9" t="inlineStr">
        <is>
          <t>game/passport.js — 여행자의 여권 (6 지역 × 4 마일스톤)</t>
        </is>
      </c>
    </row>
    <row r="60">
      <c r="A60" s="8" t="inlineStr">
        <is>
          <t>v1.77</t>
        </is>
      </c>
      <c r="B60" s="8" t="inlineStr">
        <is>
          <t>2026-04-08</t>
        </is>
      </c>
      <c r="C60" s="8" t="inlineStr">
        <is>
          <t>지역</t>
        </is>
      </c>
      <c r="D60" s="8" t="inlineStr">
        <is>
          <t>중앙서부/중앙/동부/서부/엔드게임/신규지역 (51 zones 그룹화)</t>
        </is>
      </c>
    </row>
    <row r="61">
      <c r="A61" s="9" t="inlineStr">
        <is>
          <t>v1.77</t>
        </is>
      </c>
      <c r="B61" s="9" t="inlineStr">
        <is>
          <t>2026-04-08</t>
        </is>
      </c>
      <c r="C61" s="9" t="inlineStr">
        <is>
          <t>보상</t>
        </is>
      </c>
      <c r="D61" s="9" t="inlineStr">
        <is>
          <t>첫 방문 골드/EXP + region 완성 배지 + 51개 마스터 보상</t>
        </is>
      </c>
    </row>
    <row r="62">
      <c r="A62" s="8" t="inlineStr">
        <is>
          <t>v1.76</t>
        </is>
      </c>
      <c r="B62" s="8" t="inlineStr">
        <is>
          <t>2026-04-08</t>
        </is>
      </c>
      <c r="C62" s="8" t="inlineStr">
        <is>
          <t>신규 모듈</t>
        </is>
      </c>
      <c r="D62" s="8" t="inlineStr">
        <is>
          <t>game/aura.js — 오라 시스템 (10종)</t>
        </is>
      </c>
    </row>
    <row r="63">
      <c r="A63" s="9" t="inlineStr">
        <is>
          <t>v1.76</t>
        </is>
      </c>
      <c r="B63" s="9" t="inlineStr">
        <is>
          <t>2026-04-08</t>
        </is>
      </c>
      <c r="C63" s="9" t="inlineStr">
        <is>
          <t>오라</t>
        </is>
      </c>
      <c r="D63" s="9" t="inlineStr">
        <is>
          <t>입자 이펙트 + 전투 보너스, 1개 활성</t>
        </is>
      </c>
    </row>
    <row r="64">
      <c r="A64" s="8" t="inlineStr">
        <is>
          <t>v1.76</t>
        </is>
      </c>
      <c r="B64" s="8" t="inlineStr">
        <is>
          <t>2026-04-08</t>
        </is>
      </c>
      <c r="C64" s="8" t="inlineStr">
        <is>
          <t>신화</t>
        </is>
      </c>
      <c r="D64" s="8" t="inlineStr">
        <is>
          <t>우주 오라 (태초 처치) — 전스탯 +3% / EXP +10% / 드롭 +5%</t>
        </is>
      </c>
    </row>
    <row r="65">
      <c r="A65" s="9" t="inlineStr">
        <is>
          <t>v1.75</t>
        </is>
      </c>
      <c r="B65" s="9" t="inlineStr">
        <is>
          <t>2026-04-08</t>
        </is>
      </c>
      <c r="C65" s="9" t="inlineStr">
        <is>
          <t>🎉 마일스톤</t>
        </is>
      </c>
      <c r="D65" s="9" t="inlineStr">
        <is>
          <t>50 모듈 마일스톤 — 통합 대시보드 (game/dashboard.js)</t>
        </is>
      </c>
    </row>
    <row r="66">
      <c r="A66" s="8" t="inlineStr">
        <is>
          <t>v1.75</t>
        </is>
      </c>
      <c r="B66" s="8" t="inlineStr">
        <is>
          <t>2026-04-08</t>
        </is>
      </c>
      <c r="C66" s="8" t="inlineStr">
        <is>
          <t>대시보드</t>
        </is>
      </c>
      <c r="D66" s="8" t="inlineStr">
        <is>
          <t>8 카테고리 (캐릭터/전투/컬렉션/진행/사회/경제/펫/활동) 통합 조회</t>
        </is>
      </c>
    </row>
    <row r="67">
      <c r="A67" s="9" t="inlineStr">
        <is>
          <t>v1.75</t>
        </is>
      </c>
      <c r="B67" s="9" t="inlineStr">
        <is>
          <t>2026-04-08</t>
        </is>
      </c>
      <c r="C67" s="9" t="inlineStr">
        <is>
          <t>완성도 점수</t>
        </is>
      </c>
      <c r="D67" s="9" t="inlineStr">
        <is>
          <t>레벨/칭호/도감/시즌/보스러시 합산해서 0~100%</t>
        </is>
      </c>
    </row>
    <row r="68">
      <c r="A68" s="8" t="inlineStr">
        <is>
          <t>v1.74</t>
        </is>
      </c>
      <c r="B68" s="8" t="inlineStr">
        <is>
          <t>2026-04-08</t>
        </is>
      </c>
      <c r="C68" s="8" t="inlineStr">
        <is>
          <t>신규 모듈</t>
        </is>
      </c>
      <c r="D68" s="8" t="inlineStr">
        <is>
          <t>game/inn.js — 여관/휴식 (5 등급)</t>
        </is>
      </c>
    </row>
    <row r="69">
      <c r="A69" s="9" t="inlineStr">
        <is>
          <t>v1.74</t>
        </is>
      </c>
      <c r="B69" s="9" t="inlineStr">
        <is>
          <t>2026-04-08</t>
        </is>
      </c>
      <c r="C69" s="9" t="inlineStr">
        <is>
          <t>여관</t>
        </is>
      </c>
      <c r="D69" s="9" t="inlineStr">
        <is>
          <t>낡은/일반/아늑한/고급/왕실 호텔</t>
        </is>
      </c>
    </row>
    <row r="70">
      <c r="A70" s="8" t="inlineStr">
        <is>
          <t>v1.74</t>
        </is>
      </c>
      <c r="B70" s="8" t="inlineStr">
        <is>
          <t>2026-04-08</t>
        </is>
      </c>
      <c r="C70" s="8" t="inlineStr">
        <is>
          <t>시스템</t>
        </is>
      </c>
      <c r="D70" s="8" t="inlineStr">
        <is>
          <t>HP/MP 즉시 회복 + Rested Bonus (EXP +50%)</t>
        </is>
      </c>
    </row>
    <row r="71">
      <c r="A71" s="9" t="inlineStr">
        <is>
          <t>v1.73</t>
        </is>
      </c>
      <c r="B71" s="9" t="inlineStr">
        <is>
          <t>2026-04-08</t>
        </is>
      </c>
      <c r="C71" s="9" t="inlineStr">
        <is>
          <t>신규 모듈</t>
        </is>
      </c>
      <c r="D71" s="9" t="inlineStr">
        <is>
          <t>game/territory.js — 영토 통제 (10 영토 × 길드 점유)</t>
        </is>
      </c>
    </row>
    <row r="72">
      <c r="A72" s="8" t="inlineStr">
        <is>
          <t>v1.73</t>
        </is>
      </c>
      <c r="B72" s="8" t="inlineStr">
        <is>
          <t>2026-04-08</t>
        </is>
      </c>
      <c r="C72" s="8" t="inlineStr">
        <is>
          <t>영토</t>
        </is>
      </c>
      <c r="D72" s="8" t="inlineStr">
        <is>
          <t>cave/ruins/volcano/dragon/abyss/ancient/crystal_mine/celestial/void_rift/graveyard</t>
        </is>
      </c>
    </row>
    <row r="73">
      <c r="A73" s="9" t="inlineStr">
        <is>
          <t>v1.73</t>
        </is>
      </c>
      <c r="B73" s="9" t="inlineStr">
        <is>
          <t>2026-04-08</t>
        </is>
      </c>
      <c r="C73" s="9" t="inlineStr">
        <is>
          <t>시스템</t>
        </is>
      </c>
      <c r="D73" s="9" t="inlineStr">
        <is>
          <t>7일 점유, 만료 24시간 전 도전 가능, 길드원 전체 보너스</t>
        </is>
      </c>
    </row>
    <row r="74">
      <c r="A74" s="8" t="inlineStr">
        <is>
          <t>v1.72</t>
        </is>
      </c>
      <c r="B74" s="8" t="inlineStr">
        <is>
          <t>2026-04-08</t>
        </is>
      </c>
      <c r="C74" s="8" t="inlineStr">
        <is>
          <t>신규 모듈</t>
        </is>
      </c>
      <c r="D74" s="8" t="inlineStr">
        <is>
          <t>game/blueprint.js — 비밀 도면 (5종 × 1회 제작)</t>
        </is>
      </c>
    </row>
    <row r="75">
      <c r="A75" s="9" t="inlineStr">
        <is>
          <t>v1.72</t>
        </is>
      </c>
      <c r="B75" s="9" t="inlineStr">
        <is>
          <t>2026-04-08</t>
        </is>
      </c>
      <c r="C75" s="9" t="inlineStr">
        <is>
          <t>도면</t>
        </is>
      </c>
      <c r="D75" s="9" t="inlineStr">
        <is>
          <t>화염검/서리갑옷/공허단검/별의활/태초구슬</t>
        </is>
      </c>
    </row>
    <row r="76">
      <c r="A76" s="8" t="inlineStr">
        <is>
          <t>v1.72</t>
        </is>
      </c>
      <c r="B76" s="8" t="inlineStr">
        <is>
          <t>2026-04-08</t>
        </is>
      </c>
      <c r="C76" s="8" t="inlineStr">
        <is>
          <t>특징</t>
        </is>
      </c>
      <c r="D76" s="8" t="inlineStr">
        <is>
          <t>몬스터/던전 드롭으로 발견 → 1회만 제작 가능</t>
        </is>
      </c>
    </row>
    <row r="77">
      <c r="A77" s="9" t="inlineStr">
        <is>
          <t>v1.71</t>
        </is>
      </c>
      <c r="B77" s="9" t="inlineStr">
        <is>
          <t>2026-04-08</t>
        </is>
      </c>
      <c r="C77" s="9" t="inlineStr">
        <is>
          <t>신규 모듈</t>
        </is>
      </c>
      <c r="D77" s="9" t="inlineStr">
        <is>
          <t>game/contracts.js — 계약 게시판 (8 종 × 6h 갱신)</t>
        </is>
      </c>
    </row>
    <row r="78">
      <c r="A78" s="8" t="inlineStr">
        <is>
          <t>v1.71</t>
        </is>
      </c>
      <c r="B78" s="8" t="inlineStr">
        <is>
          <t>2026-04-08</t>
        </is>
      </c>
      <c r="C78" s="8" t="inlineStr">
        <is>
          <t>계약</t>
        </is>
      </c>
      <c r="D78" s="8" t="inlineStr">
        <is>
          <t>일반/엘리트/레어/보스 사냥 + PvP 현상금 + 약초/보석 수집 + 배송</t>
        </is>
      </c>
    </row>
    <row r="79">
      <c r="A79" s="9" t="inlineStr">
        <is>
          <t>v1.71</t>
        </is>
      </c>
      <c r="B79" s="9" t="inlineStr">
        <is>
          <t>2026-04-08</t>
        </is>
      </c>
      <c r="C79" s="9" t="inlineStr">
        <is>
          <t>난이도</t>
        </is>
      </c>
      <c r="D79" s="9" t="inlineStr">
        <is>
          <t>easy/normal/hard/risky</t>
        </is>
      </c>
    </row>
    <row r="80">
      <c r="A80" s="8" t="inlineStr">
        <is>
          <t>v1.70</t>
        </is>
      </c>
      <c r="B80" s="8" t="inlineStr">
        <is>
          <t>2026-04-08</t>
        </is>
      </c>
      <c r="C80" s="8" t="inlineStr">
        <is>
          <t>🎯 마일스톤</t>
        </is>
      </c>
      <c r="D80" s="8" t="inlineStr">
        <is>
          <t>70번째 패치 — 서버 뉴스 보드 (game/news_board.js)</t>
        </is>
      </c>
    </row>
    <row r="81">
      <c r="A81" s="9" t="inlineStr">
        <is>
          <t>v1.70</t>
        </is>
      </c>
      <c r="B81" s="9" t="inlineStr">
        <is>
          <t>2026-04-08</t>
        </is>
      </c>
      <c r="C81" s="9" t="inlineStr">
        <is>
          <t>뉴스</t>
        </is>
      </c>
      <c r="D81" s="9" t="inlineStr">
        <is>
          <t>5 카테고리 (전투/경제/사회/월드/업적) × 18 이벤트 템플릿</t>
        </is>
      </c>
    </row>
    <row r="82">
      <c r="A82" s="8" t="inlineStr">
        <is>
          <t>v1.70</t>
        </is>
      </c>
      <c r="B82" s="8" t="inlineStr">
        <is>
          <t>2026-04-08</t>
        </is>
      </c>
      <c r="C82" s="8" t="inlineStr">
        <is>
          <t>시스템</t>
        </is>
      </c>
      <c r="D82" s="8" t="inlineStr">
        <is>
          <t>우선순위별 보관 (high 7d / mid 3d / low 1d), 필터/하이라이트</t>
        </is>
      </c>
    </row>
    <row r="83">
      <c r="A83" s="9" t="inlineStr">
        <is>
          <t>v1.69</t>
        </is>
      </c>
      <c r="B83" s="9" t="inlineStr">
        <is>
          <t>2026-04-08</t>
        </is>
      </c>
      <c r="C83" s="9" t="inlineStr">
        <is>
          <t>신규 모듈</t>
        </is>
      </c>
      <c r="D83" s="9" t="inlineStr">
        <is>
          <t>game/blessing.js — 신의 축복 (6 신 + 일일 기도)</t>
        </is>
      </c>
    </row>
    <row r="84">
      <c r="A84" s="8" t="inlineStr">
        <is>
          <t>v1.69</t>
        </is>
      </c>
      <c r="B84" s="8" t="inlineStr">
        <is>
          <t>2026-04-08</t>
        </is>
      </c>
      <c r="C84" s="8" t="inlineStr">
        <is>
          <t>신</t>
        </is>
      </c>
      <c r="D84" s="8" t="inlineStr">
        <is>
          <t>아레스/아테나/헤르메스/아르테미스/헤파이스토스/아폴로</t>
        </is>
      </c>
    </row>
    <row r="85">
      <c r="A85" s="9" t="inlineStr">
        <is>
          <t>v1.69</t>
        </is>
      </c>
      <c r="B85" s="9" t="inlineStr">
        <is>
          <t>2026-04-08</t>
        </is>
      </c>
      <c r="C85" s="9" t="inlineStr">
        <is>
          <t>시스템</t>
        </is>
      </c>
      <c r="D85" s="9" t="inlineStr">
        <is>
          <t>후원신 영구 패시브 + 일일 기도 랜덤 축복 + 신앙 100+ 시 위대한 축복 해금</t>
        </is>
      </c>
    </row>
    <row r="86">
      <c r="A86" s="8" t="inlineStr">
        <is>
          <t>v1.68</t>
        </is>
      </c>
      <c r="B86" s="8" t="inlineStr">
        <is>
          <t>2026-04-08</t>
        </is>
      </c>
      <c r="C86" s="8" t="inlineStr">
        <is>
          <t>신규 모듈</t>
        </is>
      </c>
      <c r="D86" s="8" t="inlineStr">
        <is>
          <t>game/library.js — 도서관 (8권 × 영구 보너스)</t>
        </is>
      </c>
    </row>
    <row r="87">
      <c r="A87" s="9" t="inlineStr">
        <is>
          <t>v1.68</t>
        </is>
      </c>
      <c r="B87" s="9" t="inlineStr">
        <is>
          <t>2026-04-08</t>
        </is>
      </c>
      <c r="C87" s="9" t="inlineStr">
        <is>
          <t>책</t>
        </is>
      </c>
      <c r="D87" s="9" t="inlineStr">
        <is>
          <t>전사 강령/수호자 맹세/연금술 일지/별 지도/용 전승/공허서/태초 문서/금단 마도서</t>
        </is>
      </c>
    </row>
    <row r="88">
      <c r="A88" s="8" t="inlineStr">
        <is>
          <t>v1.68</t>
        </is>
      </c>
      <c r="B88" s="8" t="inlineStr">
        <is>
          <t>2026-04-08</t>
        </is>
      </c>
      <c r="C88" s="8" t="inlineStr">
        <is>
          <t>연계</t>
        </is>
      </c>
      <c r="D88" s="8" t="inlineStr">
        <is>
          <t>wisdom 시스템 book_read 소스와 자동 연동</t>
        </is>
      </c>
    </row>
    <row r="89">
      <c r="A89" s="9" t="inlineStr">
        <is>
          <t>v1.67</t>
        </is>
      </c>
      <c r="B89" s="9" t="inlineStr">
        <is>
          <t>2026-04-08</t>
        </is>
      </c>
      <c r="C89" s="9" t="inlineStr">
        <is>
          <t>신규 모듈</t>
        </is>
      </c>
      <c r="D89" s="9" t="inlineStr">
        <is>
          <t>game/dungeon_keys.js — 던전 열쇠 (4등급)</t>
        </is>
      </c>
    </row>
    <row r="90">
      <c r="A90" s="8" t="inlineStr">
        <is>
          <t>v1.67</t>
        </is>
      </c>
      <c r="B90" s="8" t="inlineStr">
        <is>
          <t>2026-04-08</t>
        </is>
      </c>
      <c r="C90" s="8" t="inlineStr">
        <is>
          <t>열쇠</t>
        </is>
      </c>
      <c r="D90" s="8" t="inlineStr">
        <is>
          <t>청동(주7)/은(주4)/황금(주2)/공허(주1) — 주간 한도</t>
        </is>
      </c>
    </row>
    <row r="91">
      <c r="A91" s="9" t="inlineStr">
        <is>
          <t>v1.67</t>
        </is>
      </c>
      <c r="B91" s="9" t="inlineStr">
        <is>
          <t>2026-04-08</t>
        </is>
      </c>
      <c r="C91" s="9" t="inlineStr">
        <is>
          <t>보상</t>
        </is>
      </c>
      <c r="D91" s="9" t="inlineStr">
        <is>
          <t>보상 배수 1.5x/2x/3x/5x 던전 입장 시</t>
        </is>
      </c>
    </row>
    <row r="92">
      <c r="A92" s="8" t="inlineStr">
        <is>
          <t>v1.66</t>
        </is>
      </c>
      <c r="B92" s="8" t="inlineStr">
        <is>
          <t>2026-04-08</t>
        </is>
      </c>
      <c r="C92" s="8" t="inlineStr">
        <is>
          <t>신규 모듈</t>
        </is>
      </c>
      <c r="D92" s="8" t="inlineStr">
        <is>
          <t>game/lottery_jackpot.js — 주간 잭팟 복권 (서버 누적)</t>
        </is>
      </c>
    </row>
    <row r="93">
      <c r="A93" s="9" t="inlineStr">
        <is>
          <t>v1.66</t>
        </is>
      </c>
      <c r="B93" s="9" t="inlineStr">
        <is>
          <t>2026-04-08</t>
        </is>
      </c>
      <c r="C93" s="9" t="inlineStr">
        <is>
          <t>잭팟</t>
        </is>
      </c>
      <c r="D93" s="9" t="inlineStr">
        <is>
          <t>티켓 1000G/10💎, 80% 풀 적립, 주간 추첨 단 1명 우승</t>
        </is>
      </c>
    </row>
    <row r="94">
      <c r="A94" s="8" t="inlineStr">
        <is>
          <t>v1.66</t>
        </is>
      </c>
      <c r="B94" s="8" t="inlineStr">
        <is>
          <t>2026-04-08</t>
        </is>
      </c>
      <c r="C94" s="8" t="inlineStr">
        <is>
          <t>보상</t>
        </is>
      </c>
      <c r="D94" s="8" t="inlineStr">
        <is>
          <t>당첨금 + 위로상 5% × 5명 (티켓 많은 순)</t>
        </is>
      </c>
    </row>
    <row r="95">
      <c r="A95" s="9" t="inlineStr">
        <is>
          <t>v1.65</t>
        </is>
      </c>
      <c r="B95" s="9" t="inlineStr">
        <is>
          <t>2026-04-08</t>
        </is>
      </c>
      <c r="C95" s="9" t="inlineStr">
        <is>
          <t>신규 모듈</t>
        </is>
      </c>
      <c r="D95" s="9" t="inlineStr">
        <is>
          <t>game/title_collection.js — 칭호 컬렉션 메타 (8 마일스톤 + 4 카테고리)</t>
        </is>
      </c>
    </row>
    <row r="96">
      <c r="A96" s="8" t="inlineStr">
        <is>
          <t>v1.65</t>
        </is>
      </c>
      <c r="B96" s="8" t="inlineStr">
        <is>
          <t>2026-04-08</t>
        </is>
      </c>
      <c r="C96" s="8" t="inlineStr">
        <is>
          <t>마일스톤</t>
        </is>
      </c>
      <c r="D96" s="8" t="inlineStr">
        <is>
          <t>3/5/8/12/16/20/25/30 보유 시 영구 보너스</t>
        </is>
      </c>
    </row>
    <row r="97">
      <c r="A97" s="9" t="inlineStr">
        <is>
          <t>v1.65</t>
        </is>
      </c>
      <c r="B97" s="9" t="inlineStr">
        <is>
          <t>2026-04-08</t>
        </is>
      </c>
      <c r="C97" s="9" t="inlineStr">
        <is>
          <t>카테고리</t>
        </is>
      </c>
      <c r="D97" s="9" t="inlineStr">
        <is>
          <t>전투/경제/소셜/전설 컬렉션 완성 추가 보너스</t>
        </is>
      </c>
    </row>
    <row r="98">
      <c r="A98" s="8" t="inlineStr">
        <is>
          <t>v1.64</t>
        </is>
      </c>
      <c r="B98" s="8" t="inlineStr">
        <is>
          <t>2026-04-08</t>
        </is>
      </c>
      <c r="C98" s="8" t="inlineStr">
        <is>
          <t>신규 모듈</t>
        </is>
      </c>
      <c r="D98" s="8" t="inlineStr">
        <is>
          <t>game/guild_war.js — 길드 전쟁 (7일 시즌)</t>
        </is>
      </c>
    </row>
    <row r="99">
      <c r="A99" s="9" t="inlineStr">
        <is>
          <t>v1.64</t>
        </is>
      </c>
      <c r="B99" s="9" t="inlineStr">
        <is>
          <t>2026-04-08</t>
        </is>
      </c>
      <c r="C99" s="9" t="inlineStr">
        <is>
          <t>전쟁</t>
        </is>
      </c>
      <c r="D99" s="9" t="inlineStr">
        <is>
          <t>선전포고 50000G / 7일 / 길드당 동시 3개</t>
        </is>
      </c>
    </row>
    <row r="100">
      <c r="A100" s="8" t="inlineStr">
        <is>
          <t>v1.64</t>
        </is>
      </c>
      <c r="B100" s="8" t="inlineStr">
        <is>
          <t>2026-04-08</t>
        </is>
      </c>
      <c r="C100" s="8" t="inlineStr">
        <is>
          <t>점수</t>
        </is>
      </c>
      <c r="D100" s="8" t="inlineStr">
        <is>
          <t>킬 10점 / 거점 점령 50점</t>
        </is>
      </c>
    </row>
    <row r="101">
      <c r="A101" s="9" t="inlineStr">
        <is>
          <t>v1.64</t>
        </is>
      </c>
      <c r="B101" s="9" t="inlineStr">
        <is>
          <t>2026-04-08</t>
        </is>
      </c>
      <c r="C101" s="9" t="inlineStr">
        <is>
          <t>보상</t>
        </is>
      </c>
      <c r="D101" s="9" t="inlineStr">
        <is>
          <t>승리 100000G+500💎+칭호 / 최다 킬러 30000G+100💎</t>
        </is>
      </c>
    </row>
    <row r="102">
      <c r="A102" s="8" t="inlineStr">
        <is>
          <t>v1.63</t>
        </is>
      </c>
      <c r="B102" s="8" t="inlineStr">
        <is>
          <t>2026-04-08</t>
        </is>
      </c>
      <c r="C102" s="8" t="inlineStr">
        <is>
          <t>신규 모듈</t>
        </is>
      </c>
      <c r="D102" s="8" t="inlineStr">
        <is>
          <t>game/pvp_tournament.js — 16강 토너먼트</t>
        </is>
      </c>
    </row>
    <row r="103">
      <c r="A103" s="9" t="inlineStr">
        <is>
          <t>v1.63</t>
        </is>
      </c>
      <c r="B103" s="9" t="inlineStr">
        <is>
          <t>2026-04-08</t>
        </is>
      </c>
      <c r="C103" s="9" t="inlineStr">
        <is>
          <t>토너먼트</t>
        </is>
      </c>
      <c r="D103" s="9" t="inlineStr">
        <is>
          <t>매일 12시/18시/21시 / 등록비 1000G / 우승 50000G+500💎+칭호</t>
        </is>
      </c>
    </row>
    <row r="104">
      <c r="A104" s="8" t="inlineStr">
        <is>
          <t>v1.63</t>
        </is>
      </c>
      <c r="B104" s="8" t="inlineStr">
        <is>
          <t>2026-04-08</t>
        </is>
      </c>
      <c r="C104" s="8" t="inlineStr">
        <is>
          <t>시스템</t>
        </is>
      </c>
      <c r="D104" s="8" t="inlineStr">
        <is>
          <t>자동 브래킷 셔플 / 매치 보고 → 자동 다음 라운드</t>
        </is>
      </c>
    </row>
    <row r="105">
      <c r="A105" s="9" t="inlineStr">
        <is>
          <t>v1.62</t>
        </is>
      </c>
      <c r="B105" s="9" t="inlineStr">
        <is>
          <t>2026-04-08</t>
        </is>
      </c>
      <c r="C105" s="9" t="inlineStr">
        <is>
          <t>신규 모듈</t>
        </is>
      </c>
      <c r="D105" s="9" t="inlineStr">
        <is>
          <t>game/wisdom.js — 지혜 시스템 (5 브랜치 × Lv30)</t>
        </is>
      </c>
    </row>
    <row r="106">
      <c r="A106" s="8" t="inlineStr">
        <is>
          <t>v1.62</t>
        </is>
      </c>
      <c r="B106" s="8" t="inlineStr">
        <is>
          <t>2026-04-08</t>
        </is>
      </c>
      <c r="C106" s="8" t="inlineStr">
        <is>
          <t>지혜</t>
        </is>
      </c>
      <c r="D106" s="8" t="inlineStr">
        <is>
          <t>학자/탐험가/박물학자/장인/외교관</t>
        </is>
      </c>
    </row>
    <row r="107">
      <c r="A107" s="9" t="inlineStr">
        <is>
          <t>v1.62</t>
        </is>
      </c>
      <c r="B107" s="9" t="inlineStr">
        <is>
          <t>2026-04-08</t>
        </is>
      </c>
      <c r="C107" s="9" t="inlineStr">
        <is>
          <t>특징</t>
        </is>
      </c>
      <c r="D107" s="9" t="inlineStr">
        <is>
          <t>전투 외 활동(NPC대화/탐험/도감/제작/교역) 보상 시스템</t>
        </is>
      </c>
    </row>
    <row r="108">
      <c r="A108" s="8" t="inlineStr">
        <is>
          <t>v1.61</t>
        </is>
      </c>
      <c r="B108" s="8" t="inlineStr">
        <is>
          <t>2026-04-08</t>
        </is>
      </c>
      <c r="C108" s="8" t="inlineStr">
        <is>
          <t>신규 모듈</t>
        </is>
      </c>
      <c r="D108" s="8" t="inlineStr">
        <is>
          <t>game/companion.js — 동료 시스템 (6 NPC + 호감도)</t>
        </is>
      </c>
    </row>
    <row r="109">
      <c r="A109" s="9" t="inlineStr">
        <is>
          <t>v1.61</t>
        </is>
      </c>
      <c r="B109" s="9" t="inlineStr">
        <is>
          <t>2026-04-08</t>
        </is>
      </c>
      <c r="C109" s="9" t="inlineStr">
        <is>
          <t>동료</t>
        </is>
      </c>
      <c r="D109" s="9" t="inlineStr">
        <is>
          <t>아리아/브루투스/셀레스테/드라고/엠버/세라피나</t>
        </is>
      </c>
    </row>
    <row r="110">
      <c r="A110" s="8" t="inlineStr">
        <is>
          <t>v1.61</t>
        </is>
      </c>
      <c r="B110" s="8" t="inlineStr">
        <is>
          <t>2026-04-08</t>
        </is>
      </c>
      <c r="C110" s="8" t="inlineStr">
        <is>
          <t>호감도</t>
        </is>
      </c>
      <c r="D110" s="8" t="inlineStr">
        <is>
          <t>대화 +1 / 선물 +10 / 최애 선물 +25 / 호감도당 보너스 추가</t>
        </is>
      </c>
    </row>
    <row r="111">
      <c r="A111" s="9" t="inlineStr">
        <is>
          <t>v1.60</t>
        </is>
      </c>
      <c r="B111" s="9" t="inlineStr">
        <is>
          <t>2026-04-08</t>
        </is>
      </c>
      <c r="C111" s="9" t="inlineStr">
        <is>
          <t>🎯 마일스톤</t>
        </is>
      </c>
      <c r="D111" s="9" t="inlineStr">
        <is>
          <t>60번째 패치 — 월드 이벤트 시스템 (game/world_event.js)</t>
        </is>
      </c>
    </row>
    <row r="112">
      <c r="A112" s="8" t="inlineStr">
        <is>
          <t>v1.60</t>
        </is>
      </c>
      <c r="B112" s="8" t="inlineStr">
        <is>
          <t>2026-04-08</t>
        </is>
      </c>
      <c r="C112" s="8" t="inlineStr">
        <is>
          <t>월드 이벤트</t>
        </is>
      </c>
      <c r="D112" s="8" t="inlineStr">
        <is>
          <t>6종: 황금시간/EXP폭발/드래곤침공/운석우/보물비/혈월</t>
        </is>
      </c>
    </row>
    <row r="113">
      <c r="A113" s="9" t="inlineStr">
        <is>
          <t>v1.60</t>
        </is>
      </c>
      <c r="B113" s="9" t="inlineStr">
        <is>
          <t>2026-04-08</t>
        </is>
      </c>
      <c r="C113" s="9" t="inlineStr">
        <is>
          <t>확률</t>
        </is>
      </c>
      <c r="D113" s="9" t="inlineStr">
        <is>
          <t>30%/30%/15%/10%/10%/5% (혈월 가장 희귀)</t>
        </is>
      </c>
    </row>
    <row r="114">
      <c r="A114" s="8" t="inlineStr">
        <is>
          <t>v1.60</t>
        </is>
      </c>
      <c r="B114" s="8" t="inlineStr">
        <is>
          <t>2026-04-08</t>
        </is>
      </c>
      <c r="C114" s="8" t="inlineStr">
        <is>
          <t>자동 트리거</t>
        </is>
      </c>
      <c r="D114" s="8" t="inlineStr">
        <is>
          <t>종료 후 15분 쿨다운 + 5분 단위 20% 확률</t>
        </is>
      </c>
    </row>
    <row r="115">
      <c r="A115" s="9" t="inlineStr">
        <is>
          <t>v1.59</t>
        </is>
      </c>
      <c r="B115" s="9" t="inlineStr">
        <is>
          <t>2026-04-08</t>
        </is>
      </c>
      <c r="C115" s="9" t="inlineStr">
        <is>
          <t>신규 모듈</t>
        </is>
      </c>
      <c r="D115" s="9" t="inlineStr">
        <is>
          <t>game/postoffice.js — 우체국 (5종 패키지)</t>
        </is>
      </c>
    </row>
    <row r="116">
      <c r="A116" s="8" t="inlineStr">
        <is>
          <t>v1.59</t>
        </is>
      </c>
      <c r="B116" s="8" t="inlineStr">
        <is>
          <t>2026-04-08</t>
        </is>
      </c>
      <c r="C116" s="8" t="inlineStr">
        <is>
          <t>패키지</t>
        </is>
      </c>
      <c r="D116" s="8" t="inlineStr">
        <is>
          <t>편지/소포/깨지기 쉬운/귀중품/왕실 봉인</t>
        </is>
      </c>
    </row>
    <row r="117">
      <c r="A117" s="9" t="inlineStr">
        <is>
          <t>v1.59</t>
        </is>
      </c>
      <c r="B117" s="9" t="inlineStr">
        <is>
          <t>2026-04-08</t>
        </is>
      </c>
      <c r="C117" s="9" t="inlineStr">
        <is>
          <t>시스템</t>
        </is>
      </c>
      <c r="D117" s="9" t="inlineStr">
        <is>
          <t>거리 기반 자동 분류, 30분 시간 제한, PK 약탈 위험</t>
        </is>
      </c>
    </row>
    <row r="118">
      <c r="A118" s="8" t="inlineStr">
        <is>
          <t>v1.58</t>
        </is>
      </c>
      <c r="B118" s="8" t="inlineStr">
        <is>
          <t>2026-04-08</t>
        </is>
      </c>
      <c r="C118" s="8" t="inlineStr">
        <is>
          <t>신규 모듈</t>
        </is>
      </c>
      <c r="D118" s="8" t="inlineStr">
        <is>
          <t>game/transmog.js — 외형 변환 (12종 스킨)</t>
        </is>
      </c>
    </row>
    <row r="119">
      <c r="A119" s="9" t="inlineStr">
        <is>
          <t>v1.58</t>
        </is>
      </c>
      <c r="B119" s="9" t="inlineStr">
        <is>
          <t>2026-04-08</t>
        </is>
      </c>
      <c r="C119" s="9" t="inlineStr">
        <is>
          <t>스킨</t>
        </is>
      </c>
      <c r="D119" s="9" t="inlineStr">
        <is>
          <t>무기/방어구/투구/망토 슬롯별, rare~mythic 5등급</t>
        </is>
      </c>
    </row>
    <row r="120">
      <c r="A120" s="8" t="inlineStr">
        <is>
          <t>v1.58</t>
        </is>
      </c>
      <c r="B120" s="8" t="inlineStr">
        <is>
          <t>2026-04-08</t>
        </is>
      </c>
      <c r="C120" s="8" t="inlineStr">
        <is>
          <t>특징</t>
        </is>
      </c>
      <c r="D120" s="8" t="inlineStr">
        <is>
          <t>스탯 유지하면서 외형만 변경, 500G/회</t>
        </is>
      </c>
    </row>
    <row r="121">
      <c r="A121" s="9" t="inlineStr">
        <is>
          <t>v1.57</t>
        </is>
      </c>
      <c r="B121" s="9" t="inlineStr">
        <is>
          <t>2026-04-08</t>
        </is>
      </c>
      <c r="C121" s="9" t="inlineStr">
        <is>
          <t>신규 모듈</t>
        </is>
      </c>
      <c r="D121" s="9" t="inlineStr">
        <is>
          <t>game/fortune.js — 일일 운세 (8종 × 24h 버프)</t>
        </is>
      </c>
    </row>
    <row r="122">
      <c r="A122" s="8" t="inlineStr">
        <is>
          <t>v1.57</t>
        </is>
      </c>
      <c r="B122" s="8" t="inlineStr">
        <is>
          <t>2026-04-08</t>
        </is>
      </c>
      <c r="C122" s="8" t="inlineStr">
        <is>
          <t>운세</t>
        </is>
      </c>
      <c r="D122" s="8" t="inlineStr">
        <is>
          <t>대길/길/재물운/전투운/성장운/안전운/인연운/주의</t>
        </is>
      </c>
    </row>
    <row r="123">
      <c r="A123" s="9" t="inlineStr">
        <is>
          <t>v1.57</t>
        </is>
      </c>
      <c r="B123" s="9" t="inlineStr">
        <is>
          <t>2026-04-08</t>
        </is>
      </c>
      <c r="C123" s="9" t="inlineStr">
        <is>
          <t>스트릭</t>
        </is>
      </c>
      <c r="D123" s="9" t="inlineStr">
        <is>
          <t>3일/7일/14일/30일 보너스 + 효과 배수</t>
        </is>
      </c>
    </row>
    <row r="124">
      <c r="A124" s="8" t="inlineStr">
        <is>
          <t>v1.56</t>
        </is>
      </c>
      <c r="B124" s="8" t="inlineStr">
        <is>
          <t>2026-04-08</t>
        </is>
      </c>
      <c r="C124" s="8" t="inlineStr">
        <is>
          <t>신규 모듈</t>
        </is>
      </c>
      <c r="D124" s="8" t="inlineStr">
        <is>
          <t>game/insurance.js — 장비 보험 (5등급 × 7일)</t>
        </is>
      </c>
    </row>
    <row r="125">
      <c r="A125" s="9" t="inlineStr">
        <is>
          <t>v1.56</t>
        </is>
      </c>
      <c r="B125" s="9" t="inlineStr">
        <is>
          <t>2026-04-08</t>
        </is>
      </c>
      <c r="C125" s="9" t="inlineStr">
        <is>
          <t>보험</t>
        </is>
      </c>
      <c r="D125" s="9" t="inlineStr">
        <is>
          <t>일반 100G ~ 전설 30000G / 7일 만료</t>
        </is>
      </c>
    </row>
    <row r="126">
      <c r="A126" s="8" t="inlineStr">
        <is>
          <t>v1.56</t>
        </is>
      </c>
      <c r="B126" s="8" t="inlineStr">
        <is>
          <t>2026-04-08</t>
        </is>
      </c>
      <c r="C126" s="8" t="inlineStr">
        <is>
          <t>보장</t>
        </is>
      </c>
      <c r="D126" s="8" t="inlineStr">
        <is>
          <t>사망 시 100% 환급, 강화 실패 시 50% 골드</t>
        </is>
      </c>
    </row>
    <row r="127">
      <c r="A127" s="9" t="inlineStr">
        <is>
          <t>v1.56</t>
        </is>
      </c>
      <c r="B127" s="9" t="inlineStr">
        <is>
          <t>2026-04-08</t>
        </is>
      </c>
      <c r="C127" s="9" t="inlineStr">
        <is>
          <t>자동 갱신</t>
        </is>
      </c>
      <c r="D127" s="9" t="inlineStr">
        <is>
          <t>10% 할인 + 만료 자동 연장</t>
        </is>
      </c>
    </row>
    <row r="128">
      <c r="A128" s="8" t="inlineStr">
        <is>
          <t>v1.55</t>
        </is>
      </c>
      <c r="B128" s="8" t="inlineStr">
        <is>
          <t>2026-04-08</t>
        </is>
      </c>
      <c r="C128" s="8" t="inlineStr">
        <is>
          <t>신규 모듈</t>
        </is>
      </c>
      <c r="D128" s="8" t="inlineStr">
        <is>
          <t>game/expedition.js — 멀티 스테이지 원정 (3종 × 5~7단계)</t>
        </is>
      </c>
    </row>
    <row r="129">
      <c r="A129" s="9" t="inlineStr">
        <is>
          <t>v1.55</t>
        </is>
      </c>
      <c r="B129" s="9" t="inlineStr">
        <is>
          <t>2026-04-08</t>
        </is>
      </c>
      <c r="C129" s="9" t="inlineStr">
        <is>
          <t>원정</t>
        </is>
      </c>
      <c r="D129" s="9" t="inlineStr">
        <is>
          <t>드래곤 슬레이어 / 보물 사냥꾼 / 공허의 탐험가</t>
        </is>
      </c>
    </row>
    <row r="130">
      <c r="A130" s="8" t="inlineStr">
        <is>
          <t>v1.55</t>
        </is>
      </c>
      <c r="B130" s="8" t="inlineStr">
        <is>
          <t>2026-04-08</t>
        </is>
      </c>
      <c r="C130" s="8" t="inlineStr">
        <is>
          <t>분기</t>
        </is>
      </c>
      <c r="D130" s="8" t="inlineStr">
        <is>
          <t>각 원정 중반에 2~3 선택지 (보너스 차이)</t>
        </is>
      </c>
    </row>
    <row r="131">
      <c r="A131" s="9" t="inlineStr">
        <is>
          <t>v1.55</t>
        </is>
      </c>
      <c r="B131" s="9" t="inlineStr">
        <is>
          <t>2026-04-08</t>
        </is>
      </c>
      <c r="C131" s="9" t="inlineStr">
        <is>
          <t>보상</t>
        </is>
      </c>
      <c r="D131" s="9" t="inlineStr">
        <is>
          <t>단계별 부분 보상 + 완료 시 전설 아이템 + 칭호</t>
        </is>
      </c>
    </row>
    <row r="132">
      <c r="A132" s="8" t="inlineStr">
        <is>
          <t>v1.54</t>
        </is>
      </c>
      <c r="B132" s="8" t="inlineStr">
        <is>
          <t>2026-04-08</t>
        </is>
      </c>
      <c r="C132" s="8" t="inlineStr">
        <is>
          <t>신규 모듈</t>
        </is>
      </c>
      <c r="D132" s="8" t="inlineStr">
        <is>
          <t>game/raid.js — 대규모 레이드 (3 보스 × 3~5 페이즈)</t>
        </is>
      </c>
    </row>
    <row r="133">
      <c r="A133" s="9" t="inlineStr">
        <is>
          <t>v1.54</t>
        </is>
      </c>
      <c r="B133" s="9" t="inlineStr">
        <is>
          <t>2026-04-08</t>
        </is>
      </c>
      <c r="C133" s="9" t="inlineStr">
        <is>
          <t>레이드</t>
        </is>
      </c>
      <c r="D133" s="9" t="inlineStr">
        <is>
          <t>지옥불 군주 (60만 HP) / 심연의 거인 (140만) / 천공의 수호자 (310만)</t>
        </is>
      </c>
    </row>
    <row r="134">
      <c r="A134" s="8" t="inlineStr">
        <is>
          <t>v1.54</t>
        </is>
      </c>
      <c r="B134" s="8" t="inlineStr">
        <is>
          <t>2026-04-08</t>
        </is>
      </c>
      <c r="C134" s="8" t="inlineStr">
        <is>
          <t>보상</t>
        </is>
      </c>
      <c r="D134" s="8" t="inlineStr">
        <is>
          <t>MVP / TOP10 / Participant 티어 분배 (데미지 기준)</t>
        </is>
      </c>
    </row>
    <row r="135">
      <c r="A135" s="9" t="inlineStr">
        <is>
          <t>v1.54</t>
        </is>
      </c>
      <c r="B135" s="9" t="inlineStr">
        <is>
          <t>2026-04-08</t>
        </is>
      </c>
      <c r="C135" s="9" t="inlineStr">
        <is>
          <t>한도</t>
        </is>
      </c>
      <c r="D135" s="9" t="inlineStr">
        <is>
          <t>주간 입장 3회</t>
        </is>
      </c>
    </row>
    <row r="136">
      <c r="A136" s="8" t="inlineStr">
        <is>
          <t>v1.53</t>
        </is>
      </c>
      <c r="B136" s="8" t="inlineStr">
        <is>
          <t>2026-04-08</t>
        </is>
      </c>
      <c r="C136" s="8" t="inlineStr">
        <is>
          <t>신규 모듈</t>
        </is>
      </c>
      <c r="D136" s="8" t="inlineStr">
        <is>
          <t>game/transmutation.js — 변환 시스템 (4 카테고리)</t>
        </is>
      </c>
    </row>
    <row r="137">
      <c r="A137" s="9" t="inlineStr">
        <is>
          <t>v1.53</t>
        </is>
      </c>
      <c r="B137" s="9" t="inlineStr">
        <is>
          <t>2026-04-08</t>
        </is>
      </c>
      <c r="C137" s="9" t="inlineStr">
        <is>
          <t>분해</t>
        </is>
      </c>
      <c r="D137" s="9" t="inlineStr">
        <is>
          <t>장비(5등급) → 등급별 재료, 음식 → 약초/향신료</t>
        </is>
      </c>
    </row>
    <row r="138">
      <c r="A138" s="8" t="inlineStr">
        <is>
          <t>v1.53</t>
        </is>
      </c>
      <c r="B138" s="8" t="inlineStr">
        <is>
          <t>2026-04-08</t>
        </is>
      </c>
      <c r="C138" s="8" t="inlineStr">
        <is>
          <t>압축/정제</t>
        </is>
      </c>
      <c r="D138" s="8" t="inlineStr">
        <is>
          <t>교역품 10개 → 1 고급재료, mat_magic → mat_soul → mat_dragon</t>
        </is>
      </c>
    </row>
    <row r="139">
      <c r="A139" s="9" t="inlineStr">
        <is>
          <t>v1.52</t>
        </is>
      </c>
      <c r="B139" s="9" t="inlineStr">
        <is>
          <t>2026-04-08</t>
        </is>
      </c>
      <c r="C139" s="9" t="inlineStr">
        <is>
          <t>신규 모듈</t>
        </is>
      </c>
      <c r="D139" s="9" t="inlineStr">
        <is>
          <t>game/jobs.js — 부직업 시스템 (5종 × Lv50)</t>
        </is>
      </c>
    </row>
    <row r="140">
      <c r="A140" s="8" t="inlineStr">
        <is>
          <t>v1.52</t>
        </is>
      </c>
      <c r="B140" s="8" t="inlineStr">
        <is>
          <t>2026-04-08</t>
        </is>
      </c>
      <c r="C140" s="8" t="inlineStr">
        <is>
          <t>부직업</t>
        </is>
      </c>
      <c r="D140" s="8" t="inlineStr">
        <is>
          <t>대장장이/연금술사/약초학자/광부/인첸터</t>
        </is>
      </c>
    </row>
    <row r="141">
      <c r="A141" s="9" t="inlineStr">
        <is>
          <t>v1.52</t>
        </is>
      </c>
      <c r="B141" s="9" t="inlineStr">
        <is>
          <t>2026-04-08</t>
        </is>
      </c>
      <c r="C141" s="9" t="inlineStr">
        <is>
          <t>일일 미션</t>
        </is>
      </c>
      <c r="D141" s="9" t="inlineStr">
        <is>
          <t>각 직업별 데일리 미션 + 보상 자동 분배</t>
        </is>
      </c>
    </row>
    <row r="142">
      <c r="A142" s="8" t="inlineStr">
        <is>
          <t>v1.52</t>
        </is>
      </c>
      <c r="B142" s="8" t="inlineStr">
        <is>
          <t>2026-04-08</t>
        </is>
      </c>
      <c r="C142" s="8" t="inlineStr">
        <is>
          <t>패시브</t>
        </is>
      </c>
      <c r="D142" s="8" t="inlineStr">
        <is>
          <t>레벨당 영구 보너스 (강화율/버프지속/농장속도/골드/룬효과)</t>
        </is>
      </c>
    </row>
    <row r="143">
      <c r="A143" s="9" t="inlineStr">
        <is>
          <t>v1.51</t>
        </is>
      </c>
      <c r="B143" s="9" t="inlineStr">
        <is>
          <t>2026-04-08</t>
        </is>
      </c>
      <c r="C143" s="9" t="inlineStr">
        <is>
          <t>신규 모듈</t>
        </is>
      </c>
      <c r="D143" s="9" t="inlineStr">
        <is>
          <t>game/black_market.js — 6시간 갱신 미스터리 상점 (13종)</t>
        </is>
      </c>
    </row>
    <row r="144">
      <c r="A144" s="8" t="inlineStr">
        <is>
          <t>v1.51</t>
        </is>
      </c>
      <c r="B144" s="8" t="inlineStr">
        <is>
          <t>2026-04-08</t>
        </is>
      </c>
      <c r="C144" s="8" t="inlineStr">
        <is>
          <t>암시장</t>
        </is>
      </c>
      <c r="D144" s="8" t="inlineStr">
        <is>
          <t>희귀 70% / 영웅 25% / 전설 5% 가중치, 결정적 시드</t>
        </is>
      </c>
    </row>
    <row r="145">
      <c r="A145" s="9" t="inlineStr">
        <is>
          <t>v1.51</t>
        </is>
      </c>
      <c r="B145" s="9" t="inlineStr">
        <is>
          <t>2026-04-08</t>
        </is>
      </c>
      <c r="C145" s="9" t="inlineStr">
        <is>
          <t>전설 상품</t>
        </is>
      </c>
      <c r="D145" s="9" t="inlineStr">
        <is>
          <t>신화 펫 교환권 / 시즌 패스 스킵 / 환생의 축복 / 시간의 결정</t>
        </is>
      </c>
    </row>
    <row r="146">
      <c r="A146" s="8" t="inlineStr">
        <is>
          <t>v1.50</t>
        </is>
      </c>
      <c r="B146" s="8" t="inlineStr">
        <is>
          <t>2026-04-08</t>
        </is>
      </c>
      <c r="C146" s="8" t="inlineStr">
        <is>
          <t>마일스톤</t>
        </is>
      </c>
      <c r="D146" s="8" t="inlineStr">
        <is>
          <t>🎉 50번째 패치 — 종합 랭킹 시스템 (game/leaderboard.js)</t>
        </is>
      </c>
    </row>
    <row r="147">
      <c r="A147" s="9" t="inlineStr">
        <is>
          <t>v1.50</t>
        </is>
      </c>
      <c r="B147" s="9" t="inlineStr">
        <is>
          <t>2026-04-08</t>
        </is>
      </c>
      <c r="C147" s="9" t="inlineStr">
        <is>
          <t>종합 랭킹</t>
        </is>
      </c>
      <c r="D147" s="9" t="inlineStr">
        <is>
          <t>10개 카테고리: 레벨/골드/PvP/사냥꾼/월드보스/시즌패스/보스러시/보물/낚시/펫배틀</t>
        </is>
      </c>
    </row>
    <row r="148">
      <c r="A148" s="8" t="inlineStr">
        <is>
          <t>v1.50</t>
        </is>
      </c>
      <c r="B148" s="8" t="inlineStr">
        <is>
          <t>2026-04-08</t>
        </is>
      </c>
      <c r="C148" s="8" t="inlineStr">
        <is>
          <t>주간 보상</t>
        </is>
      </c>
      <c r="D148" s="8" t="inlineStr">
        <is>
          <t>각 카테고리 TOP3 자동 보상 분배 (10000G+200💎+칭호 / 5000+100 / 3000+50)</t>
        </is>
      </c>
    </row>
    <row r="149">
      <c r="A149" s="9" t="inlineStr">
        <is>
          <t>v1.50</t>
        </is>
      </c>
      <c r="B149" s="9" t="inlineStr">
        <is>
          <t>2026-04-08</t>
        </is>
      </c>
      <c r="C149" s="9" t="inlineStr">
        <is>
          <t>캐시</t>
        </is>
      </c>
      <c r="D149" s="9" t="inlineStr">
        <is>
          <t>60초 스냅샷 캐시 (실시간 부담 최소화)</t>
        </is>
      </c>
    </row>
    <row r="150">
      <c r="A150" s="8" t="inlineStr">
        <is>
          <t>v1.49</t>
        </is>
      </c>
      <c r="B150" s="8" t="inlineStr">
        <is>
          <t>2026-04-08</t>
        </is>
      </c>
      <c r="C150" s="8" t="inlineStr">
        <is>
          <t>신규 모듈</t>
        </is>
      </c>
      <c r="D150" s="8" t="inlineStr">
        <is>
          <t>game/runes.js — 룬 시스템 (12종 × 3등급 = 36종)</t>
        </is>
      </c>
    </row>
    <row r="151">
      <c r="A151" s="9" t="inlineStr">
        <is>
          <t>v1.49</t>
        </is>
      </c>
      <c r="B151" s="9" t="inlineStr">
        <is>
          <t>2026-04-08</t>
        </is>
      </c>
      <c r="C151" s="9" t="inlineStr">
        <is>
          <t>룬 워드</t>
        </is>
      </c>
      <c r="D151" s="9" t="inlineStr">
        <is>
          <t>전사/수호자/학자/흡혈귀 4종 (3룬 동시 장착 시 추가 보너스)</t>
        </is>
      </c>
    </row>
    <row r="152">
      <c r="A152" s="8" t="inlineStr">
        <is>
          <t>v1.49</t>
        </is>
      </c>
      <c r="B152" s="8" t="inlineStr">
        <is>
          <t>2026-04-08</t>
        </is>
      </c>
      <c r="C152" s="8" t="inlineStr">
        <is>
          <t>검증</t>
        </is>
      </c>
      <c r="D152" s="8" t="inlineStr">
        <is>
          <t>전사의 인장 활성 → ATK +10 (룬) + ATK +30 (워드) = +40</t>
        </is>
      </c>
    </row>
    <row r="153">
      <c r="A153" s="9" t="inlineStr">
        <is>
          <t>v1.48</t>
        </is>
      </c>
      <c r="B153" s="9" t="inlineStr">
        <is>
          <t>2026-04-08</t>
        </is>
      </c>
      <c r="C153" s="9" t="inlineStr">
        <is>
          <t>신규 모듈</t>
        </is>
      </c>
      <c r="D153" s="9" t="inlineStr">
        <is>
          <t>game/breeding.js — 펫 교배 시스템 (4 hybrid + 변이)</t>
        </is>
      </c>
    </row>
    <row r="154">
      <c r="A154" s="8" t="inlineStr">
        <is>
          <t>v1.48</t>
        </is>
      </c>
      <c r="B154" s="8" t="inlineStr">
        <is>
          <t>2026-04-08</t>
        </is>
      </c>
      <c r="C154" s="8" t="inlineStr">
        <is>
          <t>교배</t>
        </is>
      </c>
      <c r="D154" s="8" t="inlineStr">
        <is>
          <t>24h 쿨다운, 10000G + 50💎</t>
        </is>
      </c>
    </row>
    <row r="155">
      <c r="A155" s="9" t="inlineStr">
        <is>
          <t>v1.48</t>
        </is>
      </c>
      <c r="B155" s="9" t="inlineStr">
        <is>
          <t>2026-04-08</t>
        </is>
      </c>
      <c r="C155" s="9" t="inlineStr">
        <is>
          <t>특별 자손</t>
        </is>
      </c>
      <c r="D155" s="9" t="inlineStr">
        <is>
          <t>슬라임 늑대 / 빛의 드래곤 / 성스러운 불사조 / 빛의 유니콘</t>
        </is>
      </c>
    </row>
    <row r="156">
      <c r="A156" s="8" t="inlineStr">
        <is>
          <t>v1.47</t>
        </is>
      </c>
      <c r="B156" s="8" t="inlineStr">
        <is>
          <t>2026-04-08</t>
        </is>
      </c>
      <c r="C156" s="8" t="inlineStr">
        <is>
          <t>신규 모듈</t>
        </is>
      </c>
      <c r="D156" s="8" t="inlineStr">
        <is>
          <t>game/relic.js — 유물 시스템 (10종 × 5강화)</t>
        </is>
      </c>
    </row>
    <row r="157">
      <c r="A157" s="9" t="inlineStr">
        <is>
          <t>v1.47</t>
        </is>
      </c>
      <c r="B157" s="9" t="inlineStr">
        <is>
          <t>2026-04-08</t>
        </is>
      </c>
      <c r="C157" s="9" t="inlineStr">
        <is>
          <t>유물</t>
        </is>
      </c>
      <c r="D157" s="9" t="inlineStr">
        <is>
          <t>동시 장착 3개, 신화/전설/영웅/희귀</t>
        </is>
      </c>
    </row>
    <row r="158">
      <c r="A158" s="8" t="inlineStr">
        <is>
          <t>v1.47</t>
        </is>
      </c>
      <c r="B158" s="8" t="inlineStr">
        <is>
          <t>2026-04-08</t>
        </is>
      </c>
      <c r="C158" s="8" t="inlineStr">
        <is>
          <t>유물</t>
        </is>
      </c>
      <c r="D158" s="8" t="inlineStr">
        <is>
          <t>강화: 5000G × Lv² + 용재료 2×Lv → 효과 +20% / Lv</t>
        </is>
      </c>
    </row>
    <row r="159">
      <c r="A159" s="9" t="inlineStr">
        <is>
          <t>v1.46</t>
        </is>
      </c>
      <c r="B159" s="9" t="inlineStr">
        <is>
          <t>2026-04-08</t>
        </is>
      </c>
      <c r="C159" s="9" t="inlineStr">
        <is>
          <t>신규 모듈</t>
        </is>
      </c>
      <c r="D159" s="9" t="inlineStr">
        <is>
          <t>game/treasure_map.js — 보물 지도 (5등급 × 무작위 좌표)</t>
        </is>
      </c>
    </row>
    <row r="160">
      <c r="A160" s="8" t="inlineStr">
        <is>
          <t>v1.46</t>
        </is>
      </c>
      <c r="B160" s="8" t="inlineStr">
        <is>
          <t>2026-04-08</t>
        </is>
      </c>
      <c r="C160" s="8" t="inlineStr">
        <is>
          <t>보물</t>
        </is>
      </c>
      <c r="D160" s="8" t="inlineStr">
        <is>
          <t>거리 기반 힌트 (🔥뜨겁다 ~ 🧊너무 멀다) + 5유닛 이내 발굴</t>
        </is>
      </c>
    </row>
    <row r="161">
      <c r="A161" s="9" t="inlineStr">
        <is>
          <t>v1.46</t>
        </is>
      </c>
      <c r="B161" s="9" t="inlineStr">
        <is>
          <t>2026-04-08</t>
        </is>
      </c>
      <c r="C161" s="9" t="inlineStr">
        <is>
          <t>전설 지도</t>
        </is>
      </c>
      <c r="D161" s="9" t="inlineStr">
        <is>
          <t>30000~80000G + 200~500💎 + 용재료/용의 눈</t>
        </is>
      </c>
    </row>
    <row r="162">
      <c r="A162" s="8" t="inlineStr">
        <is>
          <t>v1.45</t>
        </is>
      </c>
      <c r="B162" s="8" t="inlineStr">
        <is>
          <t>2026-04-08</t>
        </is>
      </c>
      <c r="C162" s="8" t="inlineStr">
        <is>
          <t>신규 모듈</t>
        </is>
      </c>
      <c r="D162" s="8" t="inlineStr">
        <is>
          <t>game/training.js — 일일 훈련 (5종 드릴 × 30랭크)</t>
        </is>
      </c>
    </row>
    <row r="163">
      <c r="A163" s="9" t="inlineStr">
        <is>
          <t>v1.45</t>
        </is>
      </c>
      <c r="B163" s="9" t="inlineStr">
        <is>
          <t>2026-04-08</t>
        </is>
      </c>
      <c r="C163" s="9" t="inlineStr">
        <is>
          <t>일일 훈련</t>
        </is>
      </c>
      <c r="D163" s="9" t="inlineStr">
        <is>
          <t>매일 5 스태미나, 30💎로 추가 충전, 영구 보너스 + 임시 버프</t>
        </is>
      </c>
    </row>
    <row r="164">
      <c r="A164" s="8" t="inlineStr">
        <is>
          <t>v1.45</t>
        </is>
      </c>
      <c r="B164" s="8" t="inlineStr">
        <is>
          <t>2026-04-08</t>
        </is>
      </c>
      <c r="C164" s="8" t="inlineStr">
        <is>
          <t>드릴</t>
        </is>
      </c>
      <c r="D164" s="8" t="inlineStr">
        <is>
          <t>전투/방어/민첩/지혜/행운</t>
        </is>
      </c>
    </row>
    <row r="165">
      <c r="A165" s="9" t="inlineStr">
        <is>
          <t>v1.44</t>
        </is>
      </c>
      <c r="B165" s="9" t="inlineStr">
        <is>
          <t>2026-04-08</t>
        </is>
      </c>
      <c r="C165" s="9" t="inlineStr">
        <is>
          <t>함수 추출</t>
        </is>
      </c>
      <c r="D165" s="9" t="inlineStr">
        <is>
          <t>game/monster_spawn.js — pickMonsterTier/pickZoneTier/scaleMonster (-33줄)</t>
        </is>
      </c>
    </row>
    <row r="166">
      <c r="A166" s="8" t="inlineStr">
        <is>
          <t>v1.44</t>
        </is>
      </c>
      <c r="B166" s="8" t="inlineStr">
        <is>
          <t>2026-04-08</t>
        </is>
      </c>
      <c r="C166" s="8" t="inlineStr">
        <is>
          <t>함수 추출</t>
        </is>
      </c>
      <c r="D166" s="8" t="inlineStr">
        <is>
          <t>데이터 모듈을 require하는 새 패턴 (data/world_data + data/zones)</t>
        </is>
      </c>
    </row>
    <row r="167">
      <c r="A167" s="9" t="inlineStr">
        <is>
          <t>v1.43</t>
        </is>
      </c>
      <c r="B167" s="9" t="inlineStr">
        <is>
          <t>2026-04-08</t>
        </is>
      </c>
      <c r="C167" s="9" t="inlineStr">
        <is>
          <t>함수 추출</t>
        </is>
      </c>
      <c r="D167" s="9" t="inlineStr">
        <is>
          <t>game/helpers.js — 첫 함수 추출 (getExpRequired/getYesterday/getWeekNumber + clamp/distance/getToday)</t>
        </is>
      </c>
    </row>
    <row r="168">
      <c r="A168" s="8" t="inlineStr">
        <is>
          <t>v1.43</t>
        </is>
      </c>
      <c r="B168" s="8" t="inlineStr">
        <is>
          <t>2026-04-08</t>
        </is>
      </c>
      <c r="C168" s="8" t="inlineStr">
        <is>
          <t>함수 추출</t>
        </is>
      </c>
      <c r="D168" s="8" t="inlineStr">
        <is>
          <t>데이터 추출에 이은 두 번째 추출 패턴 (함수 단위)</t>
        </is>
      </c>
    </row>
    <row r="169">
      <c r="A169" s="9" t="inlineStr">
        <is>
          <t>v1.42</t>
        </is>
      </c>
      <c r="B169" s="9" t="inlineStr">
        <is>
          <t>2026-04-08</t>
        </is>
      </c>
      <c r="C169" s="9" t="inlineStr">
        <is>
          <t>신규 모듈</t>
        </is>
      </c>
      <c r="D169" s="9" t="inlineStr">
        <is>
          <t>game/pet_battle.js — 펫 배틀 시뮬레이터 (생성 + 통합 동시)</t>
        </is>
      </c>
    </row>
    <row r="170">
      <c r="A170" s="8" t="inlineStr">
        <is>
          <t>v1.42</t>
        </is>
      </c>
      <c r="B170" s="8" t="inlineStr">
        <is>
          <t>2026-04-08</t>
        </is>
      </c>
      <c r="C170" s="8" t="inlineStr">
        <is>
          <t>펫 배틀</t>
        </is>
      </c>
      <c r="D170" s="8" t="inlineStr">
        <is>
          <t>game/pet.js의 PETS를 import → 자동 전투 스탯 변환</t>
        </is>
      </c>
    </row>
    <row r="171">
      <c r="A171" s="9" t="inlineStr">
        <is>
          <t>v1.42</t>
        </is>
      </c>
      <c r="B171" s="9" t="inlineStr">
        <is>
          <t>2026-04-08</t>
        </is>
      </c>
      <c r="C171" s="9" t="inlineStr">
        <is>
          <t>펫 배틀</t>
        </is>
      </c>
      <c r="D171" s="9" t="inlineStr">
        <is>
          <t>턴제 시뮬레이션 (최대 30턴) + 8강 토너먼트</t>
        </is>
      </c>
    </row>
    <row r="172">
      <c r="A172" s="8" t="inlineStr">
        <is>
          <t>v1.42</t>
        </is>
      </c>
      <c r="B172" s="8" t="inlineStr">
        <is>
          <t>2026-04-08</t>
        </is>
      </c>
      <c r="C172" s="8" t="inlineStr">
        <is>
          <t>소켓</t>
        </is>
      </c>
      <c r="D172" s="8" t="inlineStr">
        <is>
          <t>pet_battle_status / pet_battle_fight (일일 5회 무료)</t>
        </is>
      </c>
    </row>
    <row r="173">
      <c r="A173" s="9" t="inlineStr">
        <is>
          <t>v1.41</t>
        </is>
      </c>
      <c r="B173" s="9" t="inlineStr">
        <is>
          <t>2026-04-08</t>
        </is>
      </c>
      <c r="C173" s="9" t="inlineStr">
        <is>
          <t>리팩토링</t>
        </is>
      </c>
      <c r="D173" s="9" t="inlineStr">
        <is>
          <t>Phase 5 (마지막): 경제/사회 12종 추출 → game/data/economy.js (216줄)</t>
        </is>
      </c>
    </row>
    <row r="174">
      <c r="A174" s="8" t="inlineStr">
        <is>
          <t>v1.41</t>
        </is>
      </c>
      <c r="B174" s="8" t="inlineStr">
        <is>
          <t>2026-04-08</t>
        </is>
      </c>
      <c r="C174" s="8" t="inlineStr">
        <is>
          <t>리팩토링</t>
        </is>
      </c>
      <c r="D174" s="8" t="inlineStr">
        <is>
          <t>server.js 8868 → 8696줄 (-172줄)</t>
        </is>
      </c>
    </row>
    <row r="175">
      <c r="A175" s="9" t="inlineStr">
        <is>
          <t>v1.41</t>
        </is>
      </c>
      <c r="B175" s="9" t="inlineStr">
        <is>
          <t>2026-04-08</t>
        </is>
      </c>
      <c r="C175" s="9" t="inlineStr">
        <is>
          <t>리팩토링</t>
        </is>
      </c>
      <c r="D175" s="9" t="inlineStr">
        <is>
          <t>DIAMOND_PRODUCTS/NPCS(11)/TRADE_GOODS(23)/SHOP_ITEMS(45)/FREE_DIAMOND/TRADEABLE/CLAN/EMOTES</t>
        </is>
      </c>
    </row>
    <row r="176">
      <c r="A176" s="8" t="inlineStr">
        <is>
          <t>v1.41</t>
        </is>
      </c>
      <c r="B176" s="8" t="inlineStr">
        <is>
          <t>2026-04-08</t>
        </is>
      </c>
      <c r="C176" s="8" t="inlineStr">
        <is>
          <t>마일스톤</t>
        </is>
      </c>
      <c r="D176" s="8" t="inlineStr">
        <is>
          <t>🎉 server.js 리팩토링 마스터 플랜 5단계 완료 (-926줄, -9.6%)</t>
        </is>
      </c>
    </row>
    <row r="177">
      <c r="A177" s="9" t="inlineStr">
        <is>
          <t>v1.40</t>
        </is>
      </c>
      <c r="B177" s="9" t="inlineStr">
        <is>
          <t>2026-04-08</t>
        </is>
      </c>
      <c r="C177" s="9" t="inlineStr">
        <is>
          <t>리팩토링</t>
        </is>
      </c>
      <c r="D177" s="9" t="inlineStr">
        <is>
          <t>Phase 4: 퀘스트/스킬/전직 추출 → game/data/quests.js (149줄)</t>
        </is>
      </c>
    </row>
    <row r="178">
      <c r="A178" s="8" t="inlineStr">
        <is>
          <t>v1.40</t>
        </is>
      </c>
      <c r="B178" s="8" t="inlineStr">
        <is>
          <t>2026-04-08</t>
        </is>
      </c>
      <c r="C178" s="8" t="inlineStr">
        <is>
          <t>리팩토링</t>
        </is>
      </c>
      <c r="D178" s="8" t="inlineStr">
        <is>
          <t>server.js 9007 → 8868줄 (-139줄)</t>
        </is>
      </c>
    </row>
    <row r="179">
      <c r="A179" s="9" t="inlineStr">
        <is>
          <t>v1.40</t>
        </is>
      </c>
      <c r="B179" s="9" t="inlineStr">
        <is>
          <t>2026-04-08</t>
        </is>
      </c>
      <c r="C179" s="9" t="inlineStr">
        <is>
          <t>리팩토링</t>
        </is>
      </c>
      <c r="D179" s="9" t="inlineStr">
        <is>
          <t>QUESTS(63)/SKILLS(5클래스×6)/CLASS_ADVANCE(5)</t>
        </is>
      </c>
    </row>
    <row r="180">
      <c r="A180" s="8" t="inlineStr">
        <is>
          <t>v1.39</t>
        </is>
      </c>
      <c r="B180" s="8" t="inlineStr">
        <is>
          <t>2026-04-08</t>
        </is>
      </c>
      <c r="C180" s="8" t="inlineStr">
        <is>
          <t>리팩토링</t>
        </is>
      </c>
      <c r="D180" s="8" t="inlineStr">
        <is>
          <t>Phase 3: 장비 데이터 6종 추출 → game/data/equipment.js (123줄)</t>
        </is>
      </c>
    </row>
    <row r="181">
      <c r="A181" s="9" t="inlineStr">
        <is>
          <t>v1.39</t>
        </is>
      </c>
      <c r="B181" s="9" t="inlineStr">
        <is>
          <t>2026-04-08</t>
        </is>
      </c>
      <c r="C181" s="9" t="inlineStr">
        <is>
          <t>리팩토링</t>
        </is>
      </c>
      <c r="D181" s="9" t="inlineStr">
        <is>
          <t>server.js 9103 → 9007줄 (-96줄)</t>
        </is>
      </c>
    </row>
    <row r="182">
      <c r="A182" s="8" t="inlineStr">
        <is>
          <t>v1.39</t>
        </is>
      </c>
      <c r="B182" s="8" t="inlineStr">
        <is>
          <t>2026-04-08</t>
        </is>
      </c>
      <c r="C182" s="8" t="inlineStr">
        <is>
          <t>리팩토링</t>
        </is>
      </c>
      <c r="D182" s="8" t="inlineStr">
        <is>
          <t>EQUIPMENT_SLOTS/SETS/GRADE_INFO/RANDOM_OPTIONS/EQUIP_STATS(44)/EQUIP_DESCRIPTIONS</t>
        </is>
      </c>
    </row>
    <row r="183">
      <c r="A183" s="9" t="inlineStr">
        <is>
          <t>v1.38</t>
        </is>
      </c>
      <c r="B183" s="9" t="inlineStr">
        <is>
          <t>2026-04-08</t>
        </is>
      </c>
      <c r="C183" s="9" t="inlineStr">
        <is>
          <t>리팩토링</t>
        </is>
      </c>
      <c r="D183" s="9" t="inlineStr">
        <is>
          <t>Phase 2: 지역 데이터 8종 추출 → game/data/zones.js (459줄)</t>
        </is>
      </c>
    </row>
    <row r="184">
      <c r="A184" s="8" t="inlineStr">
        <is>
          <t>v1.38</t>
        </is>
      </c>
      <c r="B184" s="8" t="inlineStr">
        <is>
          <t>2026-04-08</t>
        </is>
      </c>
      <c r="C184" s="8" t="inlineStr">
        <is>
          <t>리팩토링</t>
        </is>
      </c>
      <c r="D184" s="8" t="inlineStr">
        <is>
          <t>server.js 9517 → 9103줄 (-414줄)</t>
        </is>
      </c>
    </row>
    <row r="185">
      <c r="A185" s="9" t="inlineStr">
        <is>
          <t>v1.38</t>
        </is>
      </c>
      <c r="B185" s="9" t="inlineStr">
        <is>
          <t>2026-04-08</t>
        </is>
      </c>
      <c r="C185" s="9" t="inlineStr">
        <is>
          <t>리팩토링</t>
        </is>
      </c>
      <c r="D185" s="9" t="inlineStr">
        <is>
          <t>ZONES(53)/ZONE_AMBIENCE(52)/MONSTER_LORE(79)/ZONE_CONNECTIONS(50)/TERRAIN_BARRIERS/ROADS/ZONE_MONSTERS/ZONE_MONSTER_NAMES</t>
        </is>
      </c>
    </row>
    <row r="186">
      <c r="A186" s="8" t="inlineStr">
        <is>
          <t>v1.37</t>
        </is>
      </c>
      <c r="B186" s="8" t="inlineStr">
        <is>
          <t>2026-04-08</t>
        </is>
      </c>
      <c r="C186" s="8" t="inlineStr">
        <is>
          <t>리팩토링</t>
        </is>
      </c>
      <c r="D186" s="8" t="inlineStr">
        <is>
          <t>Phase 1: 순수 데이터 6종 추출 → game/data/world_data.js</t>
        </is>
      </c>
    </row>
    <row r="187">
      <c r="A187" s="9" t="inlineStr">
        <is>
          <t>v1.37</t>
        </is>
      </c>
      <c r="B187" s="9" t="inlineStr">
        <is>
          <t>2026-04-08</t>
        </is>
      </c>
      <c r="C187" s="9" t="inlineStr">
        <is>
          <t>리팩토링</t>
        </is>
      </c>
      <c r="D187" s="9" t="inlineStr">
        <is>
          <t>server.js 9622 → 9517줄 (-105줄)</t>
        </is>
      </c>
    </row>
    <row r="188">
      <c r="A188" s="8" t="inlineStr">
        <is>
          <t>v1.37</t>
        </is>
      </c>
      <c r="B188" s="8" t="inlineStr">
        <is>
          <t>2026-04-08</t>
        </is>
      </c>
      <c r="C188" s="8" t="inlineStr">
        <is>
          <t>리팩토링</t>
        </is>
      </c>
      <c r="D188" s="8" t="inlineStr">
        <is>
          <t>MONSTER_TIERS / KARMA / WORLD_BOSS_TYPES / DUNGEONS / ELEMENT_BONUS / ATTENDANCE_REWARDS</t>
        </is>
      </c>
    </row>
    <row r="189">
      <c r="A189" s="9" t="inlineStr">
        <is>
          <t>v1.37</t>
        </is>
      </c>
      <c r="B189" s="9" t="inlineStr">
        <is>
          <t>2026-04-08</t>
        </is>
      </c>
      <c r="C189" s="9" t="inlineStr">
        <is>
          <t>버그 수정</t>
        </is>
      </c>
      <c r="D189" s="9" t="inlineStr">
        <is>
          <t>MONSTER_TIERS의 깨진 한글 (드래���→드래곤) 함께 수정</t>
        </is>
      </c>
    </row>
    <row r="190">
      <c r="A190" s="8" t="inlineStr">
        <is>
          <t>v1.36</t>
        </is>
      </c>
      <c r="B190" s="8" t="inlineStr">
        <is>
          <t>2026-04-08</t>
        </is>
      </c>
      <c r="C190" s="8" t="inlineStr">
        <is>
          <t>신규 모듈</t>
        </is>
      </c>
      <c r="D190" s="8" t="inlineStr">
        <is>
          <t>game/farm.js — 농장 시스템 (생성 + 통합 동시)</t>
        </is>
      </c>
    </row>
    <row r="191">
      <c r="A191" s="9" t="inlineStr">
        <is>
          <t>v1.36</t>
        </is>
      </c>
      <c r="B191" s="9" t="inlineStr">
        <is>
          <t>2026-04-08</t>
        </is>
      </c>
      <c r="C191" s="9" t="inlineStr">
        <is>
          <t>농장</t>
        </is>
      </c>
      <c r="D191" s="9" t="inlineStr">
        <is>
          <t>7종 작물 (5분~4시간), AFK 진행, 4슬롯 기본 (12슬롯 확장)</t>
        </is>
      </c>
    </row>
    <row r="192">
      <c r="A192" s="8" t="inlineStr">
        <is>
          <t>v1.36</t>
        </is>
      </c>
      <c r="B192" s="8" t="inlineStr">
        <is>
          <t>2026-04-08</t>
        </is>
      </c>
      <c r="C192" s="8" t="inlineStr">
        <is>
          <t>농장</t>
        </is>
      </c>
      <c r="D192" s="8" t="inlineStr">
        <is>
          <t>비료 (20💎) 50% 시간 단축, 슬롯 확장 50💎</t>
        </is>
      </c>
    </row>
    <row r="193">
      <c r="A193" s="9" t="inlineStr">
        <is>
          <t>v1.36</t>
        </is>
      </c>
      <c r="B193" s="9" t="inlineStr">
        <is>
          <t>2026-04-08</t>
        </is>
      </c>
      <c r="C193" s="9" t="inlineStr">
        <is>
          <t>소켓</t>
        </is>
      </c>
      <c r="D193" s="9" t="inlineStr">
        <is>
          <t>farm_status / plant / harvest / fertilize / expand</t>
        </is>
      </c>
    </row>
    <row r="194">
      <c r="A194" s="8" t="inlineStr">
        <is>
          <t>v1.35</t>
        </is>
      </c>
      <c r="B194" s="8" t="inlineStr">
        <is>
          <t>2026-04-08</t>
        </is>
      </c>
      <c r="C194" s="8" t="inlineStr">
        <is>
          <t>신규 모듈</t>
        </is>
      </c>
      <c r="D194" s="8" t="inlineStr">
        <is>
          <t>game/skill_tree.js — 특성 트리 (생성 + 통합 동시)</t>
        </is>
      </c>
    </row>
    <row r="195">
      <c r="A195" s="9" t="inlineStr">
        <is>
          <t>v1.35</t>
        </is>
      </c>
      <c r="B195" s="9" t="inlineStr">
        <is>
          <t>2026-04-08</t>
        </is>
      </c>
      <c r="C195" s="9" t="inlineStr">
        <is>
          <t>특성 트리</t>
        </is>
      </c>
      <c r="D195" s="9" t="inlineStr">
        <is>
          <t>3브랜치 (공격/방어/유틸) × 7노드 = 21노드</t>
        </is>
      </c>
    </row>
    <row r="196">
      <c r="A196" s="8" t="inlineStr">
        <is>
          <t>v1.35</t>
        </is>
      </c>
      <c r="B196" s="8" t="inlineStr">
        <is>
          <t>2026-04-08</t>
        </is>
      </c>
      <c r="C196" s="8" t="inlineStr">
        <is>
          <t>특성 트리</t>
        </is>
      </c>
      <c r="D196" s="8" t="inlineStr">
        <is>
          <t>레벨업 시 1포인트 자동 지급, 100💎로 리셋</t>
        </is>
      </c>
    </row>
    <row r="197">
      <c r="A197" s="9" t="inlineStr">
        <is>
          <t>v1.35</t>
        </is>
      </c>
      <c r="B197" s="9" t="inlineStr">
        <is>
          <t>2026-04-08</t>
        </is>
      </c>
      <c r="C197" s="9" t="inlineStr">
        <is>
          <t>게이트</t>
        </is>
      </c>
      <c r="D197" s="9" t="inlineStr">
        <is>
          <t>5/10/15/20/25 포인트 투자 시 상위 노드 해금</t>
        </is>
      </c>
    </row>
    <row r="198">
      <c r="A198" s="8" t="inlineStr">
        <is>
          <t>v1.34</t>
        </is>
      </c>
      <c r="B198" s="8" t="inlineStr">
        <is>
          <t>2026-04-08</t>
        </is>
      </c>
      <c r="C198" s="8" t="inlineStr">
        <is>
          <t>신규 모듈</t>
        </is>
      </c>
      <c r="D198" s="8" t="inlineStr">
        <is>
          <t>game/mail.js — 정식 우편함 시스템 (생성 + 통합 동시)</t>
        </is>
      </c>
    </row>
    <row r="199">
      <c r="A199" s="9" t="inlineStr">
        <is>
          <t>v1.34</t>
        </is>
      </c>
      <c r="B199" s="9" t="inlineStr">
        <is>
          <t>2026-04-08</t>
        </is>
      </c>
      <c r="C199" s="9" t="inlineStr">
        <is>
          <t>우편함</t>
        </is>
      </c>
      <c r="D199" s="9" t="inlineStr">
        <is>
          <t>시스템/선물 메일 + 첨부(골드/다이아/아이템) + 만료/수령 관리</t>
        </is>
      </c>
    </row>
    <row r="200">
      <c r="A200" s="8" t="inlineStr">
        <is>
          <t>v1.34</t>
        </is>
      </c>
      <c r="B200" s="8" t="inlineStr">
        <is>
          <t>2026-04-08</t>
        </is>
      </c>
      <c r="C200" s="8" t="inlineStr">
        <is>
          <t>선물</t>
        </is>
      </c>
      <c r="D200" s="8" t="inlineStr">
        <is>
          <t>일일 10회 / 골드 첨부 수수료 2% / 7일 만료</t>
        </is>
      </c>
    </row>
    <row r="201">
      <c r="A201" s="9" t="inlineStr">
        <is>
          <t>v1.34</t>
        </is>
      </c>
      <c r="B201" s="9" t="inlineStr">
        <is>
          <t>2026-04-08</t>
        </is>
      </c>
      <c r="C201" s="9" t="inlineStr">
        <is>
          <t>소켓</t>
        </is>
      </c>
      <c r="D201" s="9" t="inlineStr">
        <is>
          <t>mail_inbox/read/claim/delete/send_gift</t>
        </is>
      </c>
    </row>
    <row r="202">
      <c r="A202" s="8" t="inlineStr">
        <is>
          <t>v1.33</t>
        </is>
      </c>
      <c r="B202" s="8" t="inlineStr">
        <is>
          <t>2026-04-08</t>
        </is>
      </c>
      <c r="C202" s="8" t="inlineStr">
        <is>
          <t>신규 모듈</t>
        </is>
      </c>
      <c r="D202" s="8" t="inlineStr">
        <is>
          <t>game/codex.js — 도감 시스템 (생성 + 통합 동시)</t>
        </is>
      </c>
    </row>
    <row r="203">
      <c r="A203" s="9" t="inlineStr">
        <is>
          <t>v1.33</t>
        </is>
      </c>
      <c r="B203" s="9" t="inlineStr">
        <is>
          <t>2026-04-08</t>
        </is>
      </c>
      <c r="C203" s="9" t="inlineStr">
        <is>
          <t>도감</t>
        </is>
      </c>
      <c r="D203" s="9" t="inlineStr">
        <is>
          <t>5개 카테고리 (몬스터/지역/장비/어종/펫) × 4단계 마일스톤</t>
        </is>
      </c>
    </row>
    <row r="204">
      <c r="A204" s="8" t="inlineStr">
        <is>
          <t>v1.33</t>
        </is>
      </c>
      <c r="B204" s="8" t="inlineStr">
        <is>
          <t>2026-04-08</t>
        </is>
      </c>
      <c r="C204" s="8" t="inlineStr">
        <is>
          <t>도감</t>
        </is>
      </c>
      <c r="D204" s="8" t="inlineStr">
        <is>
          <t>마일스톤 달성 시 영구 스탯 보너스 + 전 서버 알림</t>
        </is>
      </c>
    </row>
    <row r="205">
      <c r="A205" s="9" t="inlineStr">
        <is>
          <t>v1.33</t>
        </is>
      </c>
      <c r="B205" s="9" t="inlineStr">
        <is>
          <t>2026-04-08</t>
        </is>
      </c>
      <c r="C205" s="9" t="inlineStr">
        <is>
          <t>자동화</t>
        </is>
      </c>
      <c r="D205" s="9" t="inlineStr">
        <is>
          <t>trackQuest(explore_count) → zone 자동 등록 / fishing_cast → fish 자동 등록</t>
        </is>
      </c>
    </row>
    <row r="206">
      <c r="A206" s="8" t="inlineStr">
        <is>
          <t>v1.32</t>
        </is>
      </c>
      <c r="B206" s="8" t="inlineStr">
        <is>
          <t>2026-04-08</t>
        </is>
      </c>
      <c r="C206" s="8" t="inlineStr">
        <is>
          <t>신규 모듈</t>
        </is>
      </c>
      <c r="D206" s="8" t="inlineStr">
        <is>
          <t>game/dailyshop.js — 일일 상점 (생성 + 통합 동시 패치)</t>
        </is>
      </c>
    </row>
    <row r="207">
      <c r="A207" s="9" t="inlineStr">
        <is>
          <t>v1.32</t>
        </is>
      </c>
      <c r="B207" s="9" t="inlineStr">
        <is>
          <t>2026-04-08</t>
        </is>
      </c>
      <c r="C207" s="9" t="inlineStr">
        <is>
          <t>일일 상점</t>
        </is>
      </c>
      <c r="D207" s="9" t="inlineStr">
        <is>
          <t>15종 풀에서 매일 6슬롯 무작위 (결정적 시드 = 날짜)</t>
        </is>
      </c>
    </row>
    <row r="208">
      <c r="A208" s="8" t="inlineStr">
        <is>
          <t>v1.32</t>
        </is>
      </c>
      <c r="B208" s="8" t="inlineStr">
        <is>
          <t>2026-04-08</t>
        </is>
      </c>
      <c r="C208" s="8" t="inlineStr">
        <is>
          <t>일일 상점</t>
        </is>
      </c>
      <c r="D208" s="8" t="inlineStr">
        <is>
          <t>할인율 10~50% / 슬롯당 1회 구매 / 다이아 30개로 개인 갱신</t>
        </is>
      </c>
    </row>
    <row r="209">
      <c r="A209" s="9" t="inlineStr">
        <is>
          <t>v1.32</t>
        </is>
      </c>
      <c r="B209" s="9" t="inlineStr">
        <is>
          <t>2026-04-08</t>
        </is>
      </c>
      <c r="C209" s="9" t="inlineStr">
        <is>
          <t>소켓</t>
        </is>
      </c>
      <c r="D209" s="9" t="inlineStr">
        <is>
          <t>daily_shop_status / daily_shop_buy / daily_shop_reroll</t>
        </is>
      </c>
    </row>
    <row r="210">
      <c r="A210" s="8" t="inlineStr">
        <is>
          <t>v1.31</t>
        </is>
      </c>
      <c r="B210" s="8" t="inlineStr">
        <is>
          <t>2026-04-08</t>
        </is>
      </c>
      <c r="C210" s="8" t="inlineStr">
        <is>
          <t>통합</t>
        </is>
      </c>
      <c r="D210" s="8" t="inlineStr">
        <is>
          <t>game/auction.js → server.js 통합 (6번째 = 마지막 모듈 통합)</t>
        </is>
      </c>
    </row>
    <row r="211">
      <c r="A211" s="9" t="inlineStr">
        <is>
          <t>v1.31</t>
        </is>
      </c>
      <c r="B211" s="9" t="inlineStr">
        <is>
          <t>2026-04-08</t>
        </is>
      </c>
      <c r="C211" s="9" t="inlineStr">
        <is>
          <t>경매장</t>
        </is>
      </c>
      <c r="D211" s="9" t="inlineStr">
        <is>
          <t>자동 정산 틱 (10초마다 tickAuctions())</t>
        </is>
      </c>
    </row>
    <row r="212">
      <c r="A212" s="8" t="inlineStr">
        <is>
          <t>v1.31</t>
        </is>
      </c>
      <c r="B212" s="8" t="inlineStr">
        <is>
          <t>2026-04-08</t>
        </is>
      </c>
      <c r="C212" s="8" t="inlineStr">
        <is>
          <t>경매장</t>
        </is>
      </c>
      <c r="D212" s="8" t="inlineStr">
        <is>
          <t>이전 입찰자 자동 환불, 낙찰 시 아이템/골드 양방향 지급</t>
        </is>
      </c>
    </row>
    <row r="213">
      <c r="A213" s="9" t="inlineStr">
        <is>
          <t>v1.31</t>
        </is>
      </c>
      <c r="B213" s="9" t="inlineStr">
        <is>
          <t>2026-04-08</t>
        </is>
      </c>
      <c r="C213" s="9" t="inlineStr">
        <is>
          <t>소켓</t>
        </is>
      </c>
      <c r="D213" s="9" t="inlineStr">
        <is>
          <t>auction_list / create / bid / my</t>
        </is>
      </c>
    </row>
    <row r="214">
      <c r="A214" s="8" t="inlineStr">
        <is>
          <t>v1.31</t>
        </is>
      </c>
      <c r="B214" s="8" t="inlineStr">
        <is>
          <t>2026-04-08</t>
        </is>
      </c>
      <c r="C214" s="8" t="inlineStr">
        <is>
          <t>마일스톤</t>
        </is>
      </c>
      <c r="D214" s="8" t="inlineStr">
        <is>
          <t>🎉 v1.20~v1.25 신규 모듈 6개 모두 통합 완료</t>
        </is>
      </c>
    </row>
    <row r="215">
      <c r="A215" s="9" t="inlineStr">
        <is>
          <t>v1.30</t>
        </is>
      </c>
      <c r="B215" s="9" t="inlineStr">
        <is>
          <t>2026-04-08</t>
        </is>
      </c>
      <c r="C215" s="9" t="inlineStr">
        <is>
          <t>통합</t>
        </is>
      </c>
      <c r="D215" s="9" t="inlineStr">
        <is>
          <t>game/boss_rush.js → server.js 통합 (5번째 모듈 통합)</t>
        </is>
      </c>
    </row>
    <row r="216">
      <c r="A216" s="8" t="inlineStr">
        <is>
          <t>v1.30</t>
        </is>
      </c>
      <c r="B216" s="8" t="inlineStr">
        <is>
          <t>2026-04-08</t>
        </is>
      </c>
      <c r="C216" s="8" t="inlineStr">
        <is>
          <t>보스 러시</t>
        </is>
      </c>
      <c r="D216" s="8" t="inlineStr">
        <is>
          <t>메모리 세션 + 시간 검증 + 누적 보상 + 랭킹 (TOP 100)</t>
        </is>
      </c>
    </row>
    <row r="217">
      <c r="A217" s="9" t="inlineStr">
        <is>
          <t>v1.30</t>
        </is>
      </c>
      <c r="B217" s="9" t="inlineStr">
        <is>
          <t>2026-04-08</t>
        </is>
      </c>
      <c r="C217" s="9" t="inlineStr">
        <is>
          <t>소켓</t>
        </is>
      </c>
      <c r="D217" s="9" t="inlineStr">
        <is>
          <t>boss_rush_status / enter / advance / abandon</t>
        </is>
      </c>
    </row>
    <row r="218">
      <c r="A218" s="8" t="inlineStr">
        <is>
          <t>v1.30</t>
        </is>
      </c>
      <c r="B218" s="8" t="inlineStr">
        <is>
          <t>2026-04-08</t>
        </is>
      </c>
      <c r="C218" s="8" t="inlineStr">
        <is>
          <t>보스 러시</t>
        </is>
      </c>
      <c r="D218" s="8" t="inlineStr">
        <is>
          <t>풀클리어 시 전 서버 알림, 10웨이브+ 일반 알림</t>
        </is>
      </c>
    </row>
    <row r="219">
      <c r="A219" s="9" t="inlineStr">
        <is>
          <t>v1.29</t>
        </is>
      </c>
      <c r="B219" s="9" t="inlineStr">
        <is>
          <t>2026-04-08</t>
        </is>
      </c>
      <c r="C219" s="9" t="inlineStr">
        <is>
          <t>통합</t>
        </is>
      </c>
      <c r="D219" s="9" t="inlineStr">
        <is>
          <t>game/season.js → server.js 통합 (4번째 모듈 통합)</t>
        </is>
      </c>
    </row>
    <row r="220">
      <c r="A220" s="8" t="inlineStr">
        <is>
          <t>v1.29</t>
        </is>
      </c>
      <c r="B220" s="8" t="inlineStr">
        <is>
          <t>2026-04-08</t>
        </is>
      </c>
      <c r="C220" s="8" t="inlineStr">
        <is>
          <t>시즌 패스</t>
        </is>
      </c>
      <c r="D220" s="8" t="inlineStr">
        <is>
          <t>trackQuest 자동 XP 적립 (PvP/보스/월드보스/던전/제작)</t>
        </is>
      </c>
    </row>
    <row r="221">
      <c r="A221" s="9" t="inlineStr">
        <is>
          <t>v1.29</t>
        </is>
      </c>
      <c r="B221" s="9" t="inlineStr">
        <is>
          <t>2026-04-08</t>
        </is>
      </c>
      <c r="C221" s="9" t="inlineStr">
        <is>
          <t>소켓</t>
        </is>
      </c>
      <c r="D221" s="9" t="inlineStr">
        <is>
          <t>season_status / season_buy_pass / season_claim</t>
        </is>
      </c>
    </row>
    <row r="222">
      <c r="A222" s="8" t="inlineStr">
        <is>
          <t>v1.29</t>
        </is>
      </c>
      <c r="B222" s="8" t="inlineStr">
        <is>
          <t>2026-04-08</t>
        </is>
      </c>
      <c r="C222" s="8" t="inlineStr">
        <is>
          <t>시즌 패스</t>
        </is>
      </c>
      <c r="D222" s="8" t="inlineStr">
        <is>
          <t>티어 승급 시 server_msg + season_tier_up 알림</t>
        </is>
      </c>
    </row>
    <row r="223">
      <c r="A223" s="9" t="inlineStr">
        <is>
          <t>v1.28</t>
        </is>
      </c>
      <c r="B223" s="9" t="inlineStr">
        <is>
          <t>2026-04-08</t>
        </is>
      </c>
      <c r="C223" s="9" t="inlineStr">
        <is>
          <t>통합</t>
        </is>
      </c>
      <c r="D223" s="9" t="inlineStr">
        <is>
          <t>game/event.js → server.js 통합 (3번째 모듈 통합)</t>
        </is>
      </c>
    </row>
    <row r="224">
      <c r="A224" s="8" t="inlineStr">
        <is>
          <t>v1.28</t>
        </is>
      </c>
      <c r="B224" s="8" t="inlineStr">
        <is>
          <t>2026-04-08</t>
        </is>
      </c>
      <c r="C224" s="8" t="inlineStr">
        <is>
          <t>축제</t>
        </is>
      </c>
      <c r="D224" s="8" t="inlineStr">
        <is>
          <t>event_status 소켓 + /status 엔드포인트 노출</t>
        </is>
      </c>
    </row>
    <row r="225">
      <c r="A225" s="9" t="inlineStr">
        <is>
          <t>v1.28</t>
        </is>
      </c>
      <c r="B225" s="9" t="inlineStr">
        <is>
          <t>2026-04-08</t>
        </is>
      </c>
      <c r="C225" s="9" t="inlineStr">
        <is>
          <t>축제</t>
        </is>
      </c>
      <c r="D225" s="9" t="inlineStr">
        <is>
          <t>NPC 대사 30% 확률로 축제 인사 (getNpcMsg 통합)</t>
        </is>
      </c>
    </row>
    <row r="226">
      <c r="A226" s="8" t="inlineStr">
        <is>
          <t>v1.28</t>
        </is>
      </c>
      <c r="B226" s="8" t="inlineStr">
        <is>
          <t>2026-04-08</t>
        </is>
      </c>
      <c r="C226" s="8" t="inlineStr">
        <is>
          <t>검증</t>
        </is>
      </c>
      <c r="D226" s="8" t="inlineStr">
        <is>
          <t>오늘(4/8) 봄꽃 축제 활성 동작 확인</t>
        </is>
      </c>
    </row>
    <row r="227">
      <c r="A227" s="9" t="inlineStr">
        <is>
          <t>v1.27</t>
        </is>
      </c>
      <c r="B227" s="9" t="inlineStr">
        <is>
          <t>2026-04-08</t>
        </is>
      </c>
      <c r="C227" s="9" t="inlineStr">
        <is>
          <t>통합</t>
        </is>
      </c>
      <c r="D227" s="9" t="inlineStr">
        <is>
          <t>game/fishing.js → server.js 통합 (소켓 핸들러 3종)</t>
        </is>
      </c>
    </row>
    <row r="228">
      <c r="A228" s="8" t="inlineStr">
        <is>
          <t>v1.27</t>
        </is>
      </c>
      <c r="B228" s="8" t="inlineStr">
        <is>
          <t>2026-04-08</t>
        </is>
      </c>
      <c r="C228" s="8" t="inlineStr">
        <is>
          <t>낚시</t>
        </is>
      </c>
      <c r="D228" s="8" t="inlineStr">
        <is>
          <t>fishing_status / fishing_cast / fishing_buy_rod 이벤트</t>
        </is>
      </c>
    </row>
    <row r="229">
      <c r="A229" s="9" t="inlineStr">
        <is>
          <t>v1.27</t>
        </is>
      </c>
      <c r="B229" s="9" t="inlineStr">
        <is>
          <t>2026-04-08</t>
        </is>
      </c>
      <c r="C229" s="9" t="inlineStr">
        <is>
          <t>낚시</t>
        </is>
      </c>
      <c r="D229" s="9" t="inlineStr">
        <is>
          <t>지역 검증 (낚시 만/강변/산호초), 낚싯대 보유 검증, 미끼 소비</t>
        </is>
      </c>
    </row>
    <row r="230">
      <c r="A230" s="8" t="inlineStr">
        <is>
          <t>v1.27</t>
        </is>
      </c>
      <c r="B230" s="8" t="inlineStr">
        <is>
          <t>2026-04-08</t>
        </is>
      </c>
      <c r="C230" s="8" t="inlineStr">
        <is>
          <t>낚시</t>
        </is>
      </c>
      <c r="D230" s="8" t="inlineStr">
        <is>
          <t>전설/신화 어종 낚시 시 전 서버 알림 + ach_fish50 추적</t>
        </is>
      </c>
    </row>
    <row r="231">
      <c r="A231" s="9" t="inlineStr">
        <is>
          <t>v1.26</t>
        </is>
      </c>
      <c r="B231" s="9" t="inlineStr">
        <is>
          <t>2026-04-08</t>
        </is>
      </c>
      <c r="C231" s="9" t="inlineStr">
        <is>
          <t>통합</t>
        </is>
      </c>
      <c r="D231" s="9" t="inlineStr">
        <is>
          <t>game/lottery.js → server.js 통합 (require + 소켓 핸들러 3종)</t>
        </is>
      </c>
    </row>
    <row r="232">
      <c r="A232" s="8" t="inlineStr">
        <is>
          <t>v1.26</t>
        </is>
      </c>
      <c r="B232" s="8" t="inlineStr">
        <is>
          <t>2026-04-08</t>
        </is>
      </c>
      <c r="C232" s="8" t="inlineStr">
        <is>
          <t>룰렛</t>
        </is>
      </c>
      <c r="D232" s="8" t="inlineStr">
        <is>
          <t>lottery_status / lottery_free_spin / lottery_paid_spin 이벤트 추가</t>
        </is>
      </c>
    </row>
    <row r="233">
      <c r="A233" s="9" t="inlineStr">
        <is>
          <t>v1.26</t>
        </is>
      </c>
      <c r="B233" s="9" t="inlineStr">
        <is>
          <t>2026-04-08</t>
        </is>
      </c>
      <c r="C233" s="9" t="inlineStr">
        <is>
          <t>룰렛</t>
        </is>
      </c>
      <c r="D233" s="9" t="inlineStr">
        <is>
          <t>전설/영웅 보상 획득 시 전 서버 알림 + ach_lucky 업적 추적</t>
        </is>
      </c>
    </row>
    <row r="234">
      <c r="A234" s="8" t="inlineStr">
        <is>
          <t>v1.25</t>
        </is>
      </c>
      <c r="B234" s="8" t="inlineStr">
        <is>
          <t>2026-04-08</t>
        </is>
      </c>
      <c r="C234" s="8" t="inlineStr">
        <is>
          <t>경매장</t>
        </is>
      </c>
      <c r="D234" s="8" t="inlineStr">
        <is>
          <t>입찰식 경매 시스템 (game/auction.js 신규 모듈)</t>
        </is>
      </c>
    </row>
    <row r="235">
      <c r="A235" s="9" t="inlineStr">
        <is>
          <t>v1.25</t>
        </is>
      </c>
      <c r="B235" s="9" t="inlineStr">
        <is>
          <t>2026-04-08</t>
        </is>
      </c>
      <c r="C235" s="9" t="inlineStr">
        <is>
          <t>경매장</t>
        </is>
      </c>
      <c r="D235" s="9" t="inlineStr">
        <is>
          <t>3가지 기간(1h/6h/24h) + 등록2% + 낙찰5% + 스나이핑 방지</t>
        </is>
      </c>
    </row>
    <row r="236">
      <c r="A236" s="8" t="inlineStr">
        <is>
          <t>v1.25</t>
        </is>
      </c>
      <c r="B236" s="8" t="inlineStr">
        <is>
          <t>2026-04-08</t>
        </is>
      </c>
      <c r="C236" s="8" t="inlineStr">
        <is>
          <t>기획서</t>
        </is>
      </c>
      <c r="D236" s="8" t="inlineStr">
        <is>
          <t>경매장 시트 신규 추가</t>
        </is>
      </c>
    </row>
    <row r="237">
      <c r="A237" s="9" t="inlineStr">
        <is>
          <t>v1.24</t>
        </is>
      </c>
      <c r="B237" s="9" t="inlineStr">
        <is>
          <t>2026-04-08</t>
        </is>
      </c>
      <c r="C237" s="9" t="inlineStr">
        <is>
          <t>낚시</t>
        </is>
      </c>
      <c r="D237" s="9" t="inlineStr">
        <is>
          <t>11종 어종 + 5등급 낚싯대 + 4종 미끼 (game/fishing.js 신규 모듈)</t>
        </is>
      </c>
    </row>
    <row r="238">
      <c r="A238" s="8" t="inlineStr">
        <is>
          <t>v1.24</t>
        </is>
      </c>
      <c r="B238" s="8" t="inlineStr">
        <is>
          <t>2026-04-08</t>
        </is>
      </c>
      <c r="C238" s="8" t="inlineStr">
        <is>
          <t>낚시</t>
        </is>
      </c>
      <c r="D238" s="8" t="inlineStr">
        <is>
          <t>신화 크라켄 (밤+낚시터+드래곤대 한정), 바다의 군주 칭호 연계</t>
        </is>
      </c>
    </row>
    <row r="239">
      <c r="A239" s="9" t="inlineStr">
        <is>
          <t>v1.24</t>
        </is>
      </c>
      <c r="B239" s="9" t="inlineStr">
        <is>
          <t>2026-04-08</t>
        </is>
      </c>
      <c r="C239" s="9" t="inlineStr">
        <is>
          <t>기획서</t>
        </is>
      </c>
      <c r="D239" s="9" t="inlineStr">
        <is>
          <t>낚시 시트 신규 추가</t>
        </is>
      </c>
    </row>
    <row r="240">
      <c r="A240" s="8" t="inlineStr">
        <is>
          <t>v1.23</t>
        </is>
      </c>
      <c r="B240" s="8" t="inlineStr">
        <is>
          <t>2026-04-08</t>
        </is>
      </c>
      <c r="C240" s="8" t="inlineStr">
        <is>
          <t>보스 러시</t>
        </is>
      </c>
      <c r="D240" s="8" t="inlineStr">
        <is>
          <t>20웨이브 엔드리스 보스 러시 모드 (game/boss_rush.js 신규 모듈)</t>
        </is>
      </c>
    </row>
    <row r="241">
      <c r="A241" s="9" t="inlineStr">
        <is>
          <t>v1.23</t>
        </is>
      </c>
      <c r="B241" s="9" t="inlineStr">
        <is>
          <t>2026-04-08</t>
        </is>
      </c>
      <c r="C241" s="9" t="inlineStr">
        <is>
          <t>보스 러시</t>
        </is>
      </c>
      <c r="D241" s="9" t="inlineStr">
        <is>
          <t>매일 무료 3회 + 랭킹 1위 챔피언 칭호</t>
        </is>
      </c>
    </row>
    <row r="242">
      <c r="A242" s="8" t="inlineStr">
        <is>
          <t>v1.23</t>
        </is>
      </c>
      <c r="B242" s="8" t="inlineStr">
        <is>
          <t>2026-04-08</t>
        </is>
      </c>
      <c r="C242" s="8" t="inlineStr">
        <is>
          <t>기획서</t>
        </is>
      </c>
      <c r="D242" s="8" t="inlineStr">
        <is>
          <t>보스 러시 시트 신규 추가</t>
        </is>
      </c>
    </row>
    <row r="243">
      <c r="A243" s="9" t="inlineStr">
        <is>
          <t>v1.22</t>
        </is>
      </c>
      <c r="B243" s="9" t="inlineStr">
        <is>
          <t>2026-04-08</t>
        </is>
      </c>
      <c r="C243" s="9" t="inlineStr">
        <is>
          <t>행운의 룰렛</t>
        </is>
      </c>
      <c r="D243" s="9" t="inlineStr">
        <is>
          <t>10종 보상 + 가중치 시스템 (game/lottery.js 신규 모듈)</t>
        </is>
      </c>
    </row>
    <row r="244">
      <c r="A244" s="8" t="inlineStr">
        <is>
          <t>v1.22</t>
        </is>
      </c>
      <c r="B244" s="8" t="inlineStr">
        <is>
          <t>2026-04-08</t>
        </is>
      </c>
      <c r="C244" s="8" t="inlineStr">
        <is>
          <t>룰렛</t>
        </is>
      </c>
      <c r="D244" s="8" t="inlineStr">
        <is>
          <t>매일 무료 1회 / 유료 50💎 / 10연속 450💎 (10% 할인)</t>
        </is>
      </c>
    </row>
    <row r="245">
      <c r="A245" s="9" t="inlineStr">
        <is>
          <t>v1.22</t>
        </is>
      </c>
      <c r="B245" s="9" t="inlineStr">
        <is>
          <t>2026-04-08</t>
        </is>
      </c>
      <c r="C245" s="9" t="inlineStr">
        <is>
          <t>기획서</t>
        </is>
      </c>
      <c r="D245" s="9" t="inlineStr">
        <is>
          <t>행운의 룰렛 시트 신규 추가</t>
        </is>
      </c>
    </row>
    <row r="246">
      <c r="A246" s="8" t="inlineStr">
        <is>
          <t>v1.21</t>
        </is>
      </c>
      <c r="B246" s="8" t="inlineStr">
        <is>
          <t>2026-04-08</t>
        </is>
      </c>
      <c r="C246" s="8" t="inlineStr">
        <is>
          <t>축제 이벤트</t>
        </is>
      </c>
      <c r="D246" s="8" t="inlineStr">
        <is>
          <t>5종 시즌 축제 추가 (신년/봄꽃/한여름/할로윈/겨울)</t>
        </is>
      </c>
    </row>
    <row r="247">
      <c r="A247" s="9" t="inlineStr">
        <is>
          <t>v1.21</t>
        </is>
      </c>
      <c r="B247" s="9" t="inlineStr">
        <is>
          <t>2026-04-08</t>
        </is>
      </c>
      <c r="C247" s="9" t="inlineStr">
        <is>
          <t>모듈화</t>
        </is>
      </c>
      <c r="D247" s="9" t="inlineStr">
        <is>
          <t>game/event.js 신규 파일 (실제 달력 기반 자동 활성화)</t>
        </is>
      </c>
    </row>
    <row r="248">
      <c r="A248" s="8" t="inlineStr">
        <is>
          <t>v1.21</t>
        </is>
      </c>
      <c r="B248" s="8" t="inlineStr">
        <is>
          <t>2026-04-08</t>
        </is>
      </c>
      <c r="C248" s="8" t="inlineStr">
        <is>
          <t>기획서</t>
        </is>
      </c>
      <c r="D248" s="8" t="inlineStr">
        <is>
          <t>축제 이벤트 시트 신규 추가</t>
        </is>
      </c>
    </row>
    <row r="249">
      <c r="A249" s="9" t="inlineStr">
        <is>
          <t>v1.20</t>
        </is>
      </c>
      <c r="B249" s="9" t="inlineStr">
        <is>
          <t>2026-04-08</t>
        </is>
      </c>
      <c r="C249" s="9" t="inlineStr">
        <is>
          <t>시즌 패스</t>
        </is>
      </c>
      <c r="D249" s="9" t="inlineStr">
        <is>
          <t>15티어 배틀 패스 시스템 추가 (game/season.js 신규 모듈)</t>
        </is>
      </c>
    </row>
    <row r="250">
      <c r="A250" s="8" t="inlineStr">
        <is>
          <t>v1.20</t>
        </is>
      </c>
      <c r="B250" s="8" t="inlineStr">
        <is>
          <t>2026-04-08</t>
        </is>
      </c>
      <c r="C250" s="8" t="inlineStr">
        <is>
          <t>시즌 패스</t>
        </is>
      </c>
      <c r="D250" s="8" t="inlineStr">
        <is>
          <t>30일 사이클, 무료+프리미엄(1500💎) 트랙</t>
        </is>
      </c>
    </row>
    <row r="251">
      <c r="A251" s="9" t="inlineStr">
        <is>
          <t>v1.20</t>
        </is>
      </c>
      <c r="B251" s="9" t="inlineStr">
        <is>
          <t>2026-04-08</t>
        </is>
      </c>
      <c r="C251" s="9" t="inlineStr">
        <is>
          <t>기획서</t>
        </is>
      </c>
      <c r="D251" s="9" t="inlineStr">
        <is>
          <t>시즌 패스 시트 신규 추가</t>
        </is>
      </c>
    </row>
    <row r="252">
      <c r="A252" s="8" t="inlineStr">
        <is>
          <t>v1.19</t>
        </is>
      </c>
      <c r="B252" s="8" t="inlineStr">
        <is>
          <t>2026-04-08</t>
        </is>
      </c>
      <c r="C252" s="8" t="inlineStr">
        <is>
          <t>무료 다이아</t>
        </is>
      </c>
      <c r="D252" s="8" t="inlineStr">
        <is>
          <t>마일스톤 5종 추가 (Lv.40/50, 첫 환생, 첫 월드 보스, 업적 50)</t>
        </is>
      </c>
    </row>
    <row r="253">
      <c r="A253" s="9" t="inlineStr">
        <is>
          <t>v1.19</t>
        </is>
      </c>
      <c r="B253" s="9" t="inlineStr">
        <is>
          <t>2026-04-08</t>
        </is>
      </c>
      <c r="C253" s="9" t="inlineStr">
        <is>
          <t>기획서</t>
        </is>
      </c>
      <c r="D253" s="9" t="inlineStr">
        <is>
          <t>무료 다이아 시트 신규 추가</t>
        </is>
      </c>
    </row>
    <row r="254">
      <c r="A254" s="8" t="inlineStr">
        <is>
          <t>v1.18</t>
        </is>
      </c>
      <c r="B254" s="8" t="inlineStr">
        <is>
          <t>2026-04-08</t>
        </is>
      </c>
      <c r="C254" s="8" t="inlineStr">
        <is>
          <t>상점</t>
        </is>
      </c>
      <c r="D254" s="8" t="inlineStr">
        <is>
          <t>프리미엄 5종 추가 (불사조/폭풍 스킨, 자동물약 24h, 보물상자, 재료 패키지)</t>
        </is>
      </c>
    </row>
    <row r="255">
      <c r="A255" s="9" t="inlineStr">
        <is>
          <t>v1.18</t>
        </is>
      </c>
      <c r="B255" s="9" t="inlineStr">
        <is>
          <t>2026-04-08</t>
        </is>
      </c>
      <c r="C255" s="9" t="inlineStr">
        <is>
          <t>기획서</t>
        </is>
      </c>
      <c r="D255" s="9" t="inlineStr">
        <is>
          <t>상점 시트 갱신</t>
        </is>
      </c>
    </row>
    <row r="256">
      <c r="A256" s="8" t="inlineStr">
        <is>
          <t>v1.17</t>
        </is>
      </c>
      <c r="B256" s="8" t="inlineStr">
        <is>
          <t>2026-04-08</t>
        </is>
      </c>
      <c r="C256" s="8" t="inlineStr">
        <is>
          <t>혈맹</t>
        </is>
      </c>
      <c r="D256" s="8" t="inlineStr">
        <is>
          <t>혈맹 Lv.6-10 + 신규 스킬 5종 (분노/신속/회복/운명/전설)</t>
        </is>
      </c>
    </row>
    <row r="257">
      <c r="A257" s="9" t="inlineStr">
        <is>
          <t>v1.17</t>
        </is>
      </c>
      <c r="B257" s="9" t="inlineStr">
        <is>
          <t>2026-04-08</t>
        </is>
      </c>
      <c r="C257" s="9" t="inlineStr">
        <is>
          <t>혈맹</t>
        </is>
      </c>
      <c r="D257" s="9" t="inlineStr">
        <is>
          <t>최대 인원 50→100명 (Lv.10 기준)</t>
        </is>
      </c>
    </row>
    <row r="258">
      <c r="A258" s="8" t="inlineStr">
        <is>
          <t>v1.17</t>
        </is>
      </c>
      <c r="B258" s="8" t="inlineStr">
        <is>
          <t>2026-04-08</t>
        </is>
      </c>
      <c r="C258" s="8" t="inlineStr">
        <is>
          <t>기획서</t>
        </is>
      </c>
      <c r="D258" s="8" t="inlineStr">
        <is>
          <t>길드(혈맹) 시트 신규 추가</t>
        </is>
      </c>
    </row>
    <row r="259">
      <c r="A259" s="9" t="inlineStr">
        <is>
          <t>v1.16</t>
        </is>
      </c>
      <c r="B259" s="9" t="inlineStr">
        <is>
          <t>2026-04-08</t>
        </is>
      </c>
      <c r="C259" s="9" t="inlineStr">
        <is>
          <t>신규 NPC</t>
        </is>
      </c>
      <c r="D259" s="9" t="inlineStr">
        <is>
          <t>점쟁이/감정사/수집가 3종 추가 (운세/감정/희귀품 매입)</t>
        </is>
      </c>
    </row>
    <row r="260">
      <c r="A260" s="8" t="inlineStr">
        <is>
          <t>v1.16</t>
        </is>
      </c>
      <c r="B260" s="8" t="inlineStr">
        <is>
          <t>2026-04-08</t>
        </is>
      </c>
      <c r="C260" s="8" t="inlineStr">
        <is>
          <t>대사 시스템</t>
        </is>
      </c>
      <c r="D260" s="8" t="inlineStr">
        <is>
          <t>신규 NPC 상황별 대사 (밤/카르마/레벨/골드 연동)</t>
        </is>
      </c>
    </row>
    <row r="261">
      <c r="A261" s="9" t="inlineStr">
        <is>
          <t>v1.16</t>
        </is>
      </c>
      <c r="B261" s="9" t="inlineStr">
        <is>
          <t>2026-04-08</t>
        </is>
      </c>
      <c r="C261" s="9" t="inlineStr">
        <is>
          <t>기획서</t>
        </is>
      </c>
      <c r="D261" s="9" t="inlineStr">
        <is>
          <t>NPC 시트 신규 추가 (11종)</t>
        </is>
      </c>
    </row>
    <row r="262">
      <c r="A262" s="8" t="inlineStr">
        <is>
          <t>v1.15</t>
        </is>
      </c>
      <c r="B262" s="8" t="inlineStr">
        <is>
          <t>2026-04-08</t>
        </is>
      </c>
      <c r="C262" s="8" t="inlineStr">
        <is>
          <t>각성기</t>
        </is>
      </c>
      <c r="D262" s="8" t="inlineStr">
        <is>
          <t>클래스별 Lv.40 각성기 5종 추가 (천개의칼날/대지가르기/불멸의수호자/시간정지/신의은총)</t>
        </is>
      </c>
    </row>
    <row r="263">
      <c r="A263" s="9" t="inlineStr">
        <is>
          <t>v1.15</t>
        </is>
      </c>
      <c r="B263" s="9" t="inlineStr">
        <is>
          <t>2026-04-08</t>
        </is>
      </c>
      <c r="C263" s="9" t="inlineStr">
        <is>
          <t>기획서</t>
        </is>
      </c>
      <c r="D263" s="9" t="inlineStr">
        <is>
          <t>스킬 시트 전면 갱신 (12종→30종, 클레릭 포함)</t>
        </is>
      </c>
    </row>
    <row r="264">
      <c r="A264" s="8" t="inlineStr">
        <is>
          <t>v1.14</t>
        </is>
      </c>
      <c r="B264" s="8" t="inlineStr">
        <is>
          <t>2026-04-08</t>
        </is>
      </c>
      <c r="C264" s="8" t="inlineStr">
        <is>
          <t>업적</t>
        </is>
      </c>
      <c r="D264" s="8" t="inlineStr">
        <is>
          <t>v1.9~v1.13 컨텐츠 연계 업적 5종 추가 (폭풍 정복자/연금술사/그림자/전설 동반자/이국 상인)</t>
        </is>
      </c>
    </row>
    <row r="265">
      <c r="A265" s="9" t="inlineStr">
        <is>
          <t>v1.14</t>
        </is>
      </c>
      <c r="B265" s="9" t="inlineStr">
        <is>
          <t>2026-04-08</t>
        </is>
      </c>
      <c r="C265" s="9" t="inlineStr">
        <is>
          <t>기획서</t>
        </is>
      </c>
      <c r="D265" s="9" t="inlineStr">
        <is>
          <t>퀘스트 시트 전면 갱신 (9종→64종 반영)</t>
        </is>
      </c>
    </row>
    <row r="266">
      <c r="A266" s="8" t="inlineStr">
        <is>
          <t>v1.13</t>
        </is>
      </c>
      <c r="B266" s="8" t="inlineStr">
        <is>
          <t>2026-04-08</t>
        </is>
      </c>
      <c r="C266" s="8" t="inlineStr">
        <is>
          <t>월드 보스</t>
        </is>
      </c>
      <c r="D266" s="8" t="inlineStr">
        <is>
          <t>폭풍의 거인 / 시간의 수호자 2종 추가 (최대 HP / 최강 ATK)</t>
        </is>
      </c>
    </row>
    <row r="267">
      <c r="A267" s="9" t="inlineStr">
        <is>
          <t>v1.13</t>
        </is>
      </c>
      <c r="B267" s="9" t="inlineStr">
        <is>
          <t>2026-04-08</t>
        </is>
      </c>
      <c r="C267" s="9" t="inlineStr">
        <is>
          <t>교역</t>
        </is>
      </c>
      <c r="D267" s="9" t="inlineStr">
        <is>
          <t>이국의 사치품 3종 추가 (불사조 깃털/공허의 정수/천공의 비단)</t>
        </is>
      </c>
    </row>
    <row r="268">
      <c r="A268" s="8" t="inlineStr">
        <is>
          <t>v1.13</t>
        </is>
      </c>
      <c r="B268" s="8" t="inlineStr">
        <is>
          <t>2026-04-08</t>
        </is>
      </c>
      <c r="C268" s="8" t="inlineStr">
        <is>
          <t>기획서</t>
        </is>
      </c>
      <c r="D268" s="8" t="inlineStr">
        <is>
          <t>월드 보스 시트 신규 추가, 교역 시트 갱신</t>
        </is>
      </c>
    </row>
    <row r="269">
      <c r="A269" s="9" t="inlineStr">
        <is>
          <t>v1.12</t>
        </is>
      </c>
      <c r="B269" s="9" t="inlineStr">
        <is>
          <t>2026-04-08</t>
        </is>
      </c>
      <c r="C269" s="9" t="inlineStr">
        <is>
          <t>연금술</t>
        </is>
      </c>
      <c r="D269" s="9" t="inlineStr">
        <is>
          <t>엘릭서 5종 추가 (타이탄/강철/질풍/지혜/행운, 15~30분 강력 버프)</t>
        </is>
      </c>
    </row>
    <row r="270">
      <c r="A270" s="8" t="inlineStr">
        <is>
          <t>v1.12</t>
        </is>
      </c>
      <c r="B270" s="8" t="inlineStr">
        <is>
          <t>2026-04-08</t>
        </is>
      </c>
      <c r="C270" s="8" t="inlineStr">
        <is>
          <t>기획서</t>
        </is>
      </c>
      <c r="D270" s="8" t="inlineStr">
        <is>
          <t>연금술 시트 신규 추가</t>
        </is>
      </c>
    </row>
    <row r="271">
      <c r="A271" s="9" t="inlineStr">
        <is>
          <t>v1.11</t>
        </is>
      </c>
      <c r="B271" s="9" t="inlineStr">
        <is>
          <t>2026-04-08</t>
        </is>
      </c>
      <c r="C271" s="9" t="inlineStr">
        <is>
          <t>신규 펫</t>
        </is>
      </c>
      <c r="D271" s="9" t="inlineStr">
        <is>
          <t>불사조 (화염 +20%) / 유니콘 (회피 +10%) + 진화형</t>
        </is>
      </c>
    </row>
    <row r="272">
      <c r="A272" s="8" t="inlineStr">
        <is>
          <t>v1.11</t>
        </is>
      </c>
      <c r="B272" s="8" t="inlineStr">
        <is>
          <t>2026-04-08</t>
        </is>
      </c>
      <c r="C272" s="8" t="inlineStr">
        <is>
          <t>신규 탈것</t>
        </is>
      </c>
      <c r="D272" s="8" t="inlineStr">
        <is>
          <t>페가수스 (이동 +85%, 비행)</t>
        </is>
      </c>
    </row>
    <row r="273">
      <c r="A273" s="9" t="inlineStr">
        <is>
          <t>v1.10</t>
        </is>
      </c>
      <c r="B273" s="9" t="inlineStr">
        <is>
          <t>2026-04-08</t>
        </is>
      </c>
      <c r="C273" s="9" t="inlineStr">
        <is>
          <t>신규 던전</t>
        </is>
      </c>
      <c r="D273" s="9" t="inlineStr">
        <is>
          <t>그림자 미궁 (Lv.38, 8인 파티, 7스테이지, 전설 드롭)</t>
        </is>
      </c>
    </row>
    <row r="274">
      <c r="A274" s="8" t="inlineStr">
        <is>
          <t>v1.10</t>
        </is>
      </c>
      <c r="B274" s="8" t="inlineStr">
        <is>
          <t>2026-04-08</t>
        </is>
      </c>
      <c r="C274" s="8" t="inlineStr">
        <is>
          <t>기획서</t>
        </is>
      </c>
      <c r="D274" s="8" t="inlineStr">
        <is>
          <t>던전 시트 신규 추가 (7종 던전 정리)</t>
        </is>
      </c>
    </row>
    <row r="275">
      <c r="A275" s="9" t="inlineStr">
        <is>
          <t>v1.9</t>
        </is>
      </c>
      <c r="B275" s="9" t="inlineStr">
        <is>
          <t>2026-04-08</t>
        </is>
      </c>
      <c r="C275" s="9" t="inlineStr">
        <is>
          <t>전설 칭호</t>
        </is>
      </c>
      <c r="D275" s="9" t="inlineStr">
        <is>
          <t>공허의 방랑자/불멸자/천공의 군주 3종 추가 (엔드게임)</t>
        </is>
      </c>
    </row>
    <row r="276">
      <c r="A276" s="8" t="inlineStr">
        <is>
          <t>v1.9</t>
        </is>
      </c>
      <c r="B276" s="8" t="inlineStr">
        <is>
          <t>2026-04-08</t>
        </is>
      </c>
      <c r="C276" s="8" t="inlineStr">
        <is>
          <t>기획서</t>
        </is>
      </c>
      <c r="D276" s="8" t="inlineStr">
        <is>
          <t>51개 지역, 16종 칭호, 출석/세트/등급 시트 추가</t>
        </is>
      </c>
    </row>
    <row r="277">
      <c r="A277" s="9" t="inlineStr">
        <is>
          <t>v1.8</t>
        </is>
      </c>
      <c r="B277" s="9" t="inlineStr">
        <is>
          <t>-</t>
        </is>
      </c>
      <c r="C277" s="9" t="inlineStr">
        <is>
          <t>UI</t>
        </is>
      </c>
      <c r="D277" s="9" t="inlineStr">
        <is>
          <t>패치 노트 갱신, 낮/밤 시계 + 진행 시간 표시</t>
        </is>
      </c>
    </row>
    <row r="278">
      <c r="A278" s="8" t="inlineStr">
        <is>
          <t>v1.8</t>
        </is>
      </c>
      <c r="B278" s="8" t="inlineStr">
        <is>
          <t>-</t>
        </is>
      </c>
      <c r="C278" s="8" t="inlineStr">
        <is>
          <t>자동화</t>
        </is>
      </c>
      <c r="D278" s="8" t="inlineStr">
        <is>
          <t>자동 스킬 시전 (인간 플레이어용), 자동 스킬 토글 버튼</t>
        </is>
      </c>
    </row>
    <row r="279">
      <c r="A279" s="9" t="inlineStr">
        <is>
          <t>v1.8</t>
        </is>
      </c>
      <c r="B279" s="9" t="inlineStr">
        <is>
          <t>-</t>
        </is>
      </c>
      <c r="C279" s="9" t="inlineStr">
        <is>
          <t>UI</t>
        </is>
      </c>
      <c r="D279" s="9" t="inlineStr">
        <is>
          <t>미니맵 친구 위치 표시, 보스 표시 강화, DPS 미터 스파크라인</t>
        </is>
      </c>
    </row>
    <row r="280">
      <c r="A280" s="8" t="inlineStr">
        <is>
          <t>v1.8</t>
        </is>
      </c>
      <c r="B280" s="8" t="inlineStr">
        <is>
          <t>-</t>
        </is>
      </c>
      <c r="C280" s="8" t="inlineStr">
        <is>
          <t>시스템</t>
        </is>
      </c>
      <c r="D280" s="8" t="inlineStr">
        <is>
          <t>혈맹 창고 UI 패널, 보스 신규 디버프 적용</t>
        </is>
      </c>
    </row>
    <row r="281">
      <c r="A281" s="9" t="inlineStr">
        <is>
          <t>v1.7</t>
        </is>
      </c>
      <c r="B281" s="9" t="inlineStr">
        <is>
          <t>-</t>
        </is>
      </c>
      <c r="C281" s="9" t="inlineStr">
        <is>
          <t>상태이상</t>
        </is>
      </c>
      <c r="D281" s="9" t="inlineStr">
        <is>
          <t>신규 디버프 5종 (빙결/감전/출혈/약화/공포)</t>
        </is>
      </c>
    </row>
    <row r="282">
      <c r="A282" s="8" t="inlineStr">
        <is>
          <t>v1.7</t>
        </is>
      </c>
      <c r="B282" s="8" t="inlineStr">
        <is>
          <t>-</t>
        </is>
      </c>
      <c r="C282" s="8" t="inlineStr">
        <is>
          <t>UI</t>
        </is>
      </c>
      <c r="D282" s="8" t="inlineStr">
        <is>
          <t>포션 단축키 (1/2/3/4), 레벨별 추천 활동 가이드</t>
        </is>
      </c>
    </row>
    <row r="283">
      <c r="A283" s="9" t="inlineStr">
        <is>
          <t>v1.7</t>
        </is>
      </c>
      <c r="B283" s="9" t="inlineStr">
        <is>
          <t>-</t>
        </is>
      </c>
      <c r="C283" s="9" t="inlineStr">
        <is>
          <t>시스템</t>
        </is>
      </c>
      <c r="D283" s="9" t="inlineStr">
        <is>
          <t>장비 자동 최적화 (auto_equip_best), 알림 센터</t>
        </is>
      </c>
    </row>
    <row r="284">
      <c r="A284" s="8" t="inlineStr">
        <is>
          <t>v1.7</t>
        </is>
      </c>
      <c r="B284" s="8" t="inlineStr">
        <is>
          <t>-</t>
        </is>
      </c>
      <c r="C284" s="8" t="inlineStr">
        <is>
          <t>컨텐츠</t>
        </is>
      </c>
      <c r="D284" s="8" t="inlineStr">
        <is>
          <t>신규 업적 10종 (30→40), 신규 몬스터 존 3개</t>
        </is>
      </c>
    </row>
    <row r="285">
      <c r="A285" s="9" t="inlineStr">
        <is>
          <t>v1.7</t>
        </is>
      </c>
      <c r="B285" s="9" t="inlineStr">
        <is>
          <t>-</t>
        </is>
      </c>
      <c r="C285" s="9" t="inlineStr">
        <is>
          <t>UI</t>
        </is>
      </c>
      <c r="D285" s="9" t="inlineStr">
        <is>
          <t>인벤토리 검색 + 정렬, PvP 시즌 보드 시각화</t>
        </is>
      </c>
    </row>
    <row r="286">
      <c r="A286" s="8" t="inlineStr">
        <is>
          <t>v1.6 이전</t>
        </is>
      </c>
      <c r="B286" s="8" t="inlineStr">
        <is>
          <t>-</t>
        </is>
      </c>
      <c r="C286" s="8" t="inlineStr">
        <is>
          <t>기반</t>
        </is>
      </c>
      <c r="D286" s="8" t="inlineStr">
        <is>
          <t>마을/사냥/PvP/카르마/펫/탈것/제작/교역/길드/공성/투기장 등</t>
        </is>
      </c>
    </row>
  </sheetData>
  <mergeCells count="1">
    <mergeCell ref="A1:D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333"/>
  <sheetViews>
    <sheetView workbookViewId="0">
      <selection activeCell="A1" sqref="A1"/>
    </sheetView>
  </sheetViews>
  <sheetFormatPr baseColWidth="8" defaultRowHeight="15"/>
  <cols>
    <col width="8" customWidth="1" min="1" max="1"/>
    <col width="12" customWidth="1" min="2" max="2"/>
    <col width="20" customWidth="1" min="3" max="3"/>
    <col width="30" customWidth="1" min="4" max="4"/>
    <col width="18" customWidth="1" min="5" max="5"/>
  </cols>
  <sheetData>
    <row r="1">
      <c r="A1" s="6" t="inlineStr">
        <is>
          <t>v1.9 ~ v1.10 변경 사항</t>
        </is>
      </c>
    </row>
    <row r="3">
      <c r="A3" s="7" t="inlineStr">
        <is>
          <t>버전</t>
        </is>
      </c>
      <c r="B3" s="7" t="inlineStr">
        <is>
          <t>분류</t>
        </is>
      </c>
      <c r="C3" s="7" t="inlineStr">
        <is>
          <t>이름</t>
        </is>
      </c>
      <c r="D3" s="7" t="inlineStr">
        <is>
          <t>조건/내용</t>
        </is>
      </c>
      <c r="E3" s="7" t="inlineStr">
        <is>
          <t>효과/보상</t>
        </is>
      </c>
    </row>
    <row r="4">
      <c r="A4" s="8" t="inlineStr">
        <is>
          <t>v2.18</t>
        </is>
      </c>
      <c r="B4" s="8" t="inlineStr">
        <is>
          <t>신기능</t>
        </is>
      </c>
      <c r="C4" s="8" t="inlineStr">
        <is>
          <t>정원</t>
        </is>
      </c>
      <c r="D4" s="8" t="inlineStr">
        <is>
          <t>garden.js (8 꽃 × 12 슬롯, seed→sprout→bloom→wilt)</t>
        </is>
      </c>
      <c r="E4" s="8" t="inlineStr">
        <is>
          <t>+135줄 모듈</t>
        </is>
      </c>
    </row>
    <row r="5">
      <c r="A5" s="9" t="inlineStr">
        <is>
          <t>v2.17</t>
        </is>
      </c>
      <c r="B5" s="9" t="inlineStr">
        <is>
          <t>신기능</t>
        </is>
      </c>
      <c r="C5" s="9" t="inlineStr">
        <is>
          <t>차원 균열</t>
        </is>
      </c>
      <c r="D5" s="9" t="inlineStr">
        <is>
          <t>rift.js (5 웨이브 일일, 점수 → 등급, 보스 가호)</t>
        </is>
      </c>
      <c r="E5" s="9" t="inlineStr">
        <is>
          <t>+165줄 모듈</t>
        </is>
      </c>
    </row>
    <row r="6">
      <c r="A6" s="8" t="inlineStr">
        <is>
          <t>v2.16</t>
        </is>
      </c>
      <c r="B6" s="8" t="inlineStr">
        <is>
          <t>신기능</t>
        </is>
      </c>
      <c r="C6" s="8" t="inlineStr">
        <is>
          <t>가문 문장</t>
        </is>
      </c>
      <c r="D6" s="8" t="inlineStr">
        <is>
          <t>heraldry.js (charge × tincture × motto, 640 조합)</t>
        </is>
      </c>
      <c r="E6" s="8" t="inlineStr">
        <is>
          <t>+125줄 모듈</t>
        </is>
      </c>
    </row>
    <row r="7">
      <c r="A7" s="9" t="inlineStr">
        <is>
          <t>v2.15</t>
        </is>
      </c>
      <c r="B7" s="9" t="inlineStr">
        <is>
          <t>신기능</t>
        </is>
      </c>
      <c r="C7" s="9" t="inlineStr">
        <is>
          <t>가면</t>
        </is>
      </c>
      <c r="D7" s="9" t="inlineStr">
        <is>
          <t>mask.js (11 가면, 동물/감정/신화/전설, agg 13)</t>
        </is>
      </c>
      <c r="E7" s="9" t="inlineStr">
        <is>
          <t>+150줄 모듈</t>
        </is>
      </c>
    </row>
    <row r="8">
      <c r="A8" s="8" t="inlineStr">
        <is>
          <t>v2.14</t>
        </is>
      </c>
      <c r="B8" s="8" t="inlineStr">
        <is>
          <t>신기능</t>
        </is>
      </c>
      <c r="C8" s="8" t="inlineStr">
        <is>
          <t>소원의 우물</t>
        </is>
      </c>
      <c r="D8" s="8" t="inlineStr">
        <is>
          <t>wishing_well.js (8 wish, jackpot 2%, 1h blessing)</t>
        </is>
      </c>
      <c r="E8" s="8" t="inlineStr">
        <is>
          <t>+135줄 모듈</t>
        </is>
      </c>
    </row>
    <row r="9">
      <c r="A9" s="9" t="inlineStr">
        <is>
          <t>v2.13</t>
        </is>
      </c>
      <c r="B9" s="9" t="inlineStr">
        <is>
          <t>신기능</t>
        </is>
      </c>
      <c r="C9" s="9" t="inlineStr">
        <is>
          <t>부적</t>
        </is>
      </c>
      <c r="D9" s="9" t="inlineStr">
        <is>
          <t>talisman.js (8 부적, 종이+잉크 제작, charge, 슬롯 3)</t>
        </is>
      </c>
      <c r="E9" s="9" t="inlineStr">
        <is>
          <t>+155줄 모듈</t>
        </is>
      </c>
    </row>
    <row r="10">
      <c r="A10" s="8" t="inlineStr">
        <is>
          <t>v2.12</t>
        </is>
      </c>
      <c r="B10" s="8" t="inlineStr">
        <is>
          <t>신기능</t>
        </is>
      </c>
      <c r="C10" s="8" t="inlineStr">
        <is>
          <t>타로 카드</t>
        </is>
      </c>
      <c r="D10" s="8" t="inlineStr">
        <is>
          <t>tarot.js (22 major arcana, 정/역, fateScore 누적)</t>
        </is>
      </c>
      <c r="E10" s="8" t="inlineStr">
        <is>
          <t>+170줄 모듈</t>
        </is>
      </c>
    </row>
    <row r="11">
      <c r="A11" s="9" t="inlineStr">
        <is>
          <t>v2.11</t>
        </is>
      </c>
      <c r="B11" s="9" t="inlineStr">
        <is>
          <t>신기능</t>
        </is>
      </c>
      <c r="C11" s="9" t="inlineStr">
        <is>
          <t>음악/연주</t>
        </is>
      </c>
      <c r="D11" s="9" t="inlineStr">
        <is>
          <t>music.js (6 악기, 8 곡, affinity 공명 1.5×, agg 9소스)</t>
        </is>
      </c>
      <c r="E11" s="9" t="inlineStr">
        <is>
          <t>+165줄 모듈</t>
        </is>
      </c>
    </row>
    <row r="12">
      <c r="A12" s="8" t="inlineStr">
        <is>
          <t>v2.10</t>
        </is>
      </c>
      <c r="B12" s="8" t="inlineStr">
        <is>
          <t>신기능</t>
        </is>
      </c>
      <c r="C12" s="8" t="inlineStr">
        <is>
          <t>꿈 시스템</t>
        </is>
      </c>
      <c r="D12" s="8" t="inlineStr">
        <is>
          <t>dream.js (6 꿈 × 3 선택, 영구 dreamBonus, agg 8소스)</t>
        </is>
      </c>
      <c r="E12" s="8" t="inlineStr">
        <is>
          <t>+165줄 모듈</t>
        </is>
      </c>
    </row>
    <row r="13">
      <c r="A13" s="9" t="inlineStr">
        <is>
          <t>v2.09</t>
        </is>
      </c>
      <c r="B13" s="9" t="inlineStr">
        <is>
          <t>신기능</t>
        </is>
      </c>
      <c r="C13" s="9" t="inlineStr">
        <is>
          <t>유물 발굴</t>
        </is>
      </c>
      <c r="D13" s="9" t="inlineStr">
        <is>
          <t>excavation.js (에너지 100, 5 사이트, divine 0.5%)</t>
        </is>
      </c>
      <c r="E13" s="9" t="inlineStr">
        <is>
          <t>+170줄 모듈</t>
        </is>
      </c>
    </row>
    <row r="14">
      <c r="A14" s="8" t="inlineStr">
        <is>
          <t>v2.08</t>
        </is>
      </c>
      <c r="B14" s="8" t="inlineStr">
        <is>
          <t>신기능</t>
        </is>
      </c>
      <c r="C14" s="8" t="inlineStr">
        <is>
          <t>항해</t>
        </is>
      </c>
      <c r="D14" s="8" t="inlineStr">
        <is>
          <t>sailing.js (뗏목/어선/카라벨/갤리온, 5 섬, 7 조우)</t>
        </is>
      </c>
      <c r="E14" s="8" t="inlineStr">
        <is>
          <t>+200줄 모듈</t>
        </is>
      </c>
    </row>
    <row r="15">
      <c r="A15" s="9" t="inlineStr">
        <is>
          <t>v2.07</t>
        </is>
      </c>
      <c r="B15" s="9" t="inlineStr">
        <is>
          <t>신기능</t>
        </is>
      </c>
      <c r="C15" s="9" t="inlineStr">
        <is>
          <t>미궁</t>
        </is>
      </c>
      <c r="D15" s="9" t="inlineStr">
        <is>
          <t>labyrinth.js (5x5 절차적, mulberry32, fog of war)</t>
        </is>
      </c>
      <c r="E15" s="9" t="inlineStr">
        <is>
          <t>+170줄 모듈</t>
        </is>
      </c>
    </row>
    <row r="16">
      <c r="A16" s="8" t="inlineStr">
        <is>
          <t>v2.06</t>
        </is>
      </c>
      <c r="B16" s="8" t="inlineStr">
        <is>
          <t>신기능</t>
        </is>
      </c>
      <c r="C16" s="8" t="inlineStr">
        <is>
          <t>이모트</t>
        </is>
      </c>
      <c r="D16" s="8" t="inlineStr">
        <is>
          <t>emote.js (15 감정, default/gold/level/achieve)</t>
        </is>
      </c>
      <c r="E16" s="8" t="inlineStr">
        <is>
          <t>+150줄 모듈</t>
        </is>
      </c>
    </row>
    <row r="17">
      <c r="A17" s="9" t="inlineStr">
        <is>
          <t>v2.05</t>
        </is>
      </c>
      <c r="B17" s="9" t="inlineStr">
        <is>
          <t>신기능</t>
        </is>
      </c>
      <c r="C17" s="9" t="inlineStr">
        <is>
          <t>카지노</t>
        </is>
      </c>
      <c r="D17" s="9" t="inlineStr">
        <is>
          <t>casino.js (slot 7심볼 × 50배, dice 8배, coin 1.95배)</t>
        </is>
      </c>
      <c r="E17" s="9" t="inlineStr">
        <is>
          <t>+160줄 모듈</t>
        </is>
      </c>
    </row>
    <row r="18">
      <c r="A18" s="8" t="inlineStr">
        <is>
          <t>v2.04</t>
        </is>
      </c>
      <c r="B18" s="8" t="inlineStr">
        <is>
          <t>신기능</t>
        </is>
      </c>
      <c r="C18" s="8" t="inlineStr">
        <is>
          <t>프로필 카드</t>
        </is>
      </c>
      <c r="D18" s="8" t="inlineStr">
        <is>
          <t>profile.js (8 테마 × 8 뱃지, autoCheckBadges)</t>
        </is>
      </c>
      <c r="E18" s="8" t="inlineStr">
        <is>
          <t>+155줄 모듈</t>
        </is>
      </c>
    </row>
    <row r="19">
      <c r="A19" s="9" t="inlineStr">
        <is>
          <t>v2.03</t>
        </is>
      </c>
      <c r="B19" s="9" t="inlineStr">
        <is>
          <t>신기능</t>
        </is>
      </c>
      <c r="C19" s="9" t="inlineStr">
        <is>
          <t>친구/우정</t>
        </is>
      </c>
      <c r="D19" s="9" t="inlineStr">
        <is>
          <t>friends.js (요청/수락/선물/친밀도 6 등급)</t>
        </is>
      </c>
      <c r="E19" s="9" t="inlineStr">
        <is>
          <t>+150줄 모듈</t>
        </is>
      </c>
    </row>
    <row r="20">
      <c r="A20" s="8" t="inlineStr">
        <is>
          <t>v2.02</t>
        </is>
      </c>
      <c r="B20" s="8" t="inlineStr">
        <is>
          <t>신기능</t>
        </is>
      </c>
      <c r="C20" s="8" t="inlineStr">
        <is>
          <t>차원문</t>
        </is>
      </c>
      <c r="D20" s="8" t="inlineStr">
        <is>
          <t>waypoint.js (왕도~공허 8 거점, 3분 쿨다운)</t>
        </is>
      </c>
      <c r="E20" s="8" t="inlineStr">
        <is>
          <t>+125줄 모듈</t>
        </is>
      </c>
    </row>
    <row r="21">
      <c r="A21" s="9" t="inlineStr">
        <is>
          <t>v2.01</t>
        </is>
      </c>
      <c r="B21" s="9" t="inlineStr">
        <is>
          <t>신기능</t>
        </is>
      </c>
      <c r="C21" s="9" t="inlineStr">
        <is>
          <t>변신 시스템</t>
        </is>
      </c>
      <c r="D21" s="9" t="inlineStr">
        <is>
          <t>morph.js (늑대~드래곤 7 형상, 일시 변신)</t>
        </is>
      </c>
      <c r="E21" s="9" t="inlineStr">
        <is>
          <t>+140줄 모듈</t>
        </is>
      </c>
    </row>
    <row r="22">
      <c r="A22" s="8" t="inlineStr">
        <is>
          <t>v2.0</t>
        </is>
      </c>
      <c r="B22" s="8" t="inlineStr">
        <is>
          <t>🎉 마일스톤</t>
        </is>
      </c>
      <c r="C22" s="8" t="inlineStr">
        <is>
          <t>보너스 집계기</t>
        </is>
      </c>
      <c r="D22" s="8" t="inlineStr">
        <is>
          <t>bonus_aggregator.js — 6 소스 통합 합산</t>
        </is>
      </c>
      <c r="E22" s="8" t="inlineStr">
        <is>
          <t>+70줄 모듈</t>
        </is>
      </c>
    </row>
    <row r="23">
      <c r="A23" s="9" t="inlineStr">
        <is>
          <t>v1.99</t>
        </is>
      </c>
      <c r="B23" s="9" t="inlineStr">
        <is>
          <t>신기능</t>
        </is>
      </c>
      <c r="C23" s="9" t="inlineStr">
        <is>
          <t>위인 전당</t>
        </is>
      </c>
      <c r="D23" s="9" t="inlineStr">
        <is>
          <t>legends.js (12 영웅, 영구+일시 보너스, 마스터)</t>
        </is>
      </c>
      <c r="E23" s="9" t="inlineStr">
        <is>
          <t>+125줄 모듈</t>
        </is>
      </c>
    </row>
    <row r="24">
      <c r="A24" s="8" t="inlineStr">
        <is>
          <t>v1.98</t>
        </is>
      </c>
      <c r="B24" s="8" t="inlineStr">
        <is>
          <t>신기능</t>
        </is>
      </c>
      <c r="C24" s="8" t="inlineStr">
        <is>
          <t>제련 시스템</t>
        </is>
      </c>
      <c r="D24" s="8" t="inlineStr">
        <is>
          <t>forge.js (구리/철/금/청동/강철/미스릴/숯)</t>
        </is>
      </c>
      <c r="E24" s="8" t="inlineStr">
        <is>
          <t>+165줄 모듈</t>
        </is>
      </c>
    </row>
    <row r="25">
      <c r="A25" s="9" t="inlineStr">
        <is>
          <t>v1.97</t>
        </is>
      </c>
      <c r="B25" s="9" t="inlineStr">
        <is>
          <t>신기능</t>
        </is>
      </c>
      <c r="C25" s="9" t="inlineStr">
        <is>
          <t>채집 시스템</t>
        </is>
      </c>
      <c r="D25" s="9" t="inlineStr">
        <is>
          <t>gathering.js (8 노드, woodcut/mining/herb/forage 4 스킬)</t>
        </is>
      </c>
      <c r="E25" s="9" t="inlineStr">
        <is>
          <t>+155줄 모듈</t>
        </is>
      </c>
    </row>
    <row r="26">
      <c r="A26" s="8" t="inlineStr">
        <is>
          <t>v1.96</t>
        </is>
      </c>
      <c r="B26" s="8" t="inlineStr">
        <is>
          <t>신기능</t>
        </is>
      </c>
      <c r="C26" s="8" t="inlineStr">
        <is>
          <t>신탁 시스템</t>
        </is>
      </c>
      <c r="D26" s="8" t="inlineStr">
        <is>
          <t>oracle.js (10 예언, 8 수수께끼, 일일 6h 버프)</t>
        </is>
      </c>
      <c r="E26" s="8" t="inlineStr">
        <is>
          <t>+115줄 모듈</t>
        </is>
      </c>
    </row>
    <row r="27">
      <c r="A27" s="9" t="inlineStr">
        <is>
          <t>v1.95</t>
        </is>
      </c>
      <c r="B27" s="9" t="inlineStr">
        <is>
          <t>신기능</t>
        </is>
      </c>
      <c r="C27" s="9" t="inlineStr">
        <is>
          <t>보석 세공</t>
        </is>
      </c>
      <c r="D27" s="9" t="inlineStr">
        <is>
          <t>gemcraft.js (5 원석 × 5 등급, perfect 1%)</t>
        </is>
      </c>
      <c r="E27" s="9" t="inlineStr">
        <is>
          <t>+155줄 모듈</t>
        </is>
      </c>
    </row>
    <row r="28">
      <c r="A28" s="8" t="inlineStr">
        <is>
          <t>v1.94</t>
        </is>
      </c>
      <c r="B28" s="8" t="inlineStr">
        <is>
          <t>신기능</t>
        </is>
      </c>
      <c r="C28" s="8" t="inlineStr">
        <is>
          <t>기상 시스템</t>
        </is>
      </c>
      <c r="D28" s="8" t="inlineStr">
        <is>
          <t>weather.js (6 일반 + 2 희귀, 4h 회전, 결정론적)</t>
        </is>
      </c>
      <c r="E28" s="8" t="inlineStr">
        <is>
          <t>+115줄 모듈</t>
        </is>
      </c>
    </row>
    <row r="29">
      <c r="A29" s="9" t="inlineStr">
        <is>
          <t>v1.93</t>
        </is>
      </c>
      <c r="B29" s="9" t="inlineStr">
        <is>
          <t>신기능</t>
        </is>
      </c>
      <c r="C29" s="9" t="inlineStr">
        <is>
          <t>별자리 시스템</t>
        </is>
      </c>
      <c r="D29" s="9" t="inlineStr">
        <is>
          <t>constellation.js (12 zodiac, 일일 관측, 24h 버프)</t>
        </is>
      </c>
      <c r="E29" s="9" t="inlineStr">
        <is>
          <t>+125줄 모듈</t>
        </is>
      </c>
    </row>
    <row r="30">
      <c r="A30" s="8" t="inlineStr">
        <is>
          <t>v1.92</t>
        </is>
      </c>
      <c r="B30" s="8" t="inlineStr">
        <is>
          <t>신기능</t>
        </is>
      </c>
      <c r="C30" s="8" t="inlineStr">
        <is>
          <t>요리 시스템</t>
        </is>
      </c>
      <c r="D30" s="8" t="inlineStr">
        <is>
          <t>cooking.js (9 재료, 7 레시피, 퍼펙트 1.5×)</t>
        </is>
      </c>
      <c r="E30" s="8" t="inlineStr">
        <is>
          <t>+170줄 모듈</t>
        </is>
      </c>
    </row>
    <row r="31">
      <c r="A31" s="9" t="inlineStr">
        <is>
          <t>v1.91</t>
        </is>
      </c>
      <c r="B31" s="9" t="inlineStr">
        <is>
          <t>신기능</t>
        </is>
      </c>
      <c r="C31" s="9" t="inlineStr">
        <is>
          <t>명상 시스템</t>
        </is>
      </c>
      <c r="D31" s="9" t="inlineStr">
        <is>
          <t>meditation.js (4 zone × 5 perk, +stat passive)</t>
        </is>
      </c>
      <c r="E31" s="9" t="inlineStr">
        <is>
          <t>+135줄 모듈</t>
        </is>
      </c>
    </row>
    <row r="32">
      <c r="A32" s="8" t="inlineStr">
        <is>
          <t>v1.90</t>
        </is>
      </c>
      <c r="B32" s="8" t="inlineStr">
        <is>
          <t>신기능</t>
        </is>
      </c>
      <c r="C32" s="8" t="inlineStr">
        <is>
          <t>일기장 시스템</t>
        </is>
      </c>
      <c r="D32" s="8" t="inlineStr">
        <is>
          <t>game/diary.js (22 이벤트, 개인 타임라인)</t>
        </is>
      </c>
      <c r="E32" s="8" t="inlineStr">
        <is>
          <t>+130줄 모듈</t>
        </is>
      </c>
    </row>
    <row r="33">
      <c r="A33" s="9" t="inlineStr">
        <is>
          <t>v1.89</t>
        </is>
      </c>
      <c r="B33" s="9" t="inlineStr">
        <is>
          <t>🎉 마일스톤</t>
        </is>
      </c>
      <c r="C33" s="9" t="inlineStr">
        <is>
          <t>핸들러 분리 완료</t>
        </is>
      </c>
      <c r="D33" s="9" t="inlineStr">
        <is>
          <t>misc_handlers.js로 20개 일괄</t>
        </is>
      </c>
      <c r="E33" s="9" t="inlineStr">
        <is>
          <t>-377줄 (8572→8195)</t>
        </is>
      </c>
    </row>
    <row r="34">
      <c r="A34" s="8" t="inlineStr">
        <is>
          <t>v1.89</t>
        </is>
      </c>
      <c r="B34" s="8" t="inlineStr">
        <is>
          <t>누적 리팩</t>
        </is>
      </c>
      <c r="C34" s="8" t="inlineStr">
        <is>
          <t>49 모듈 핸들러 분리 완료</t>
        </is>
      </c>
      <c r="D34" s="8" t="inlineStr">
        <is>
          <t>-1674줄 / -17%</t>
        </is>
      </c>
      <c r="E34" s="8" t="inlineStr">
        <is>
          <t>9869 → 8195</t>
        </is>
      </c>
    </row>
    <row r="35">
      <c r="A35" s="9" t="inlineStr">
        <is>
          <t>v1.88</t>
        </is>
      </c>
      <c r="B35" s="9" t="inlineStr">
        <is>
          <t>리팩토링</t>
        </is>
      </c>
      <c r="C35" s="9" t="inlineStr">
        <is>
          <t>6 핸들러 분리</t>
        </is>
      </c>
      <c r="D35" s="9" t="inlineStr">
        <is>
          <t>companion/world_event/postoffice/transmog/fortune/insurance</t>
        </is>
      </c>
      <c r="E35" s="9" t="inlineStr">
        <is>
          <t>-175줄 (8747→8572)</t>
        </is>
      </c>
    </row>
    <row r="36">
      <c r="A36" s="8" t="inlineStr">
        <is>
          <t>v1.88</t>
        </is>
      </c>
      <c r="B36" s="8" t="inlineStr">
        <is>
          <t>누적 리팩</t>
        </is>
      </c>
      <c r="C36" s="8" t="inlineStr">
        <is>
          <t>29 모듈 핸들러 분리</t>
        </is>
      </c>
      <c r="D36" s="8" t="inlineStr">
        <is>
          <t>-1297줄</t>
        </is>
      </c>
      <c r="E36" s="8" t="inlineStr">
        <is>
          <t>9869 → 8572</t>
        </is>
      </c>
    </row>
    <row r="37">
      <c r="A37" s="9" t="inlineStr">
        <is>
          <t>v1.87</t>
        </is>
      </c>
      <c r="B37" s="9" t="inlineStr">
        <is>
          <t>리팩토링</t>
        </is>
      </c>
      <c r="C37" s="9" t="inlineStr">
        <is>
          <t>6 핸들러 분리</t>
        </is>
      </c>
      <c r="D37" s="9" t="inlineStr">
        <is>
          <t>expedition/raid/transmutation/jobs/black_market/leaderboard</t>
        </is>
      </c>
      <c r="E37" s="9" t="inlineStr">
        <is>
          <t>-212줄 (8959→8747)</t>
        </is>
      </c>
    </row>
    <row r="38">
      <c r="A38" s="8" t="inlineStr">
        <is>
          <t>v1.87</t>
        </is>
      </c>
      <c r="B38" s="8" t="inlineStr">
        <is>
          <t>누적 리팩</t>
        </is>
      </c>
      <c r="C38" s="8" t="inlineStr">
        <is>
          <t>23 모듈 핸들러 분리</t>
        </is>
      </c>
      <c r="D38" s="8" t="inlineStr">
        <is>
          <t>-1122줄</t>
        </is>
      </c>
      <c r="E38" s="8" t="inlineStr">
        <is>
          <t>9869 → 8747</t>
        </is>
      </c>
    </row>
    <row r="39">
      <c r="A39" s="9" t="inlineStr">
        <is>
          <t>v1.86</t>
        </is>
      </c>
      <c r="B39" s="9" t="inlineStr">
        <is>
          <t>리팩토링</t>
        </is>
      </c>
      <c r="C39" s="9" t="inlineStr">
        <is>
          <t>6 핸들러 동시 분리</t>
        </is>
      </c>
      <c r="D39" s="9" t="inlineStr">
        <is>
          <t>runes/breeding/relic/treasure_map/training/pet_battle</t>
        </is>
      </c>
      <c r="E39" s="9" t="inlineStr">
        <is>
          <t>-253줄 (9212→8959)</t>
        </is>
      </c>
    </row>
    <row r="40">
      <c r="A40" s="8" t="inlineStr">
        <is>
          <t>v1.86</t>
        </is>
      </c>
      <c r="B40" s="8" t="inlineStr">
        <is>
          <t>누적 리팩</t>
        </is>
      </c>
      <c r="C40" s="8" t="inlineStr">
        <is>
          <t>17 모듈 핸들러 분리</t>
        </is>
      </c>
      <c r="D40" s="8" t="inlineStr">
        <is>
          <t>-910줄</t>
        </is>
      </c>
      <c r="E40" s="8" t="inlineStr">
        <is>
          <t>9869 → 8959</t>
        </is>
      </c>
    </row>
    <row r="41">
      <c r="A41" s="9" t="inlineStr">
        <is>
          <t>v1.85</t>
        </is>
      </c>
      <c r="B41" s="9" t="inlineStr">
        <is>
          <t>리팩토링</t>
        </is>
      </c>
      <c r="C41" s="9" t="inlineStr">
        <is>
          <t>5 핸들러 분리</t>
        </is>
      </c>
      <c r="D41" s="9" t="inlineStr">
        <is>
          <t>farm/skill_tree/mail/codex/daily_shop</t>
        </is>
      </c>
      <c r="E41" s="9" t="inlineStr">
        <is>
          <t>-228줄 (9440→9212)</t>
        </is>
      </c>
    </row>
    <row r="42">
      <c r="A42" s="8" t="inlineStr">
        <is>
          <t>v1.85</t>
        </is>
      </c>
      <c r="B42" s="8" t="inlineStr">
        <is>
          <t>누적 리팩</t>
        </is>
      </c>
      <c r="C42" s="8" t="inlineStr">
        <is>
          <t>11 모듈 핸들러 분리</t>
        </is>
      </c>
      <c r="D42" s="8" t="inlineStr">
        <is>
          <t>-657줄</t>
        </is>
      </c>
      <c r="E42" s="8" t="inlineStr">
        <is>
          <t>9869 → 9212</t>
        </is>
      </c>
    </row>
    <row r="43">
      <c r="A43" s="9" t="inlineStr">
        <is>
          <t>v1.84</t>
        </is>
      </c>
      <c r="B43" s="9" t="inlineStr">
        <is>
          <t>리팩토링</t>
        </is>
      </c>
      <c r="C43" s="9" t="inlineStr">
        <is>
          <t>4 핸들러 동시 분리</t>
        </is>
      </c>
      <c r="D43" s="9" t="inlineStr">
        <is>
          <t>event/auction/boss_rush/season</t>
        </is>
      </c>
      <c r="E43" s="9" t="inlineStr">
        <is>
          <t>-240줄 (9680→9440)</t>
        </is>
      </c>
    </row>
    <row r="44">
      <c r="A44" s="8" t="inlineStr">
        <is>
          <t>v1.84</t>
        </is>
      </c>
      <c r="B44" s="8" t="inlineStr">
        <is>
          <t>누적 리팩</t>
        </is>
      </c>
      <c r="C44" s="8" t="inlineStr">
        <is>
          <t>lottery+fishing+event+auction+bossrush+season</t>
        </is>
      </c>
      <c r="D44" s="8" t="inlineStr">
        <is>
          <t>-429줄</t>
        </is>
      </c>
      <c r="E44" s="8" t="inlineStr">
        <is>
          <t>9869 → 9440</t>
        </is>
      </c>
    </row>
    <row r="45">
      <c r="A45" s="9" t="inlineStr">
        <is>
          <t>v1.83</t>
        </is>
      </c>
      <c r="B45" s="9" t="inlineStr">
        <is>
          <t>리팩토링</t>
        </is>
      </c>
      <c r="C45" s="9" t="inlineStr">
        <is>
          <t>fishing_handlers.js</t>
        </is>
      </c>
      <c r="D45" s="9" t="inlineStr">
        <is>
          <t>3 핸들러 분리</t>
        </is>
      </c>
      <c r="E45" s="9" t="inlineStr">
        <is>
          <t>-116줄 (9796→9680)</t>
        </is>
      </c>
    </row>
    <row r="46">
      <c r="A46" s="8" t="inlineStr">
        <is>
          <t>v1.83</t>
        </is>
      </c>
      <c r="B46" s="8" t="inlineStr">
        <is>
          <t>누적</t>
        </is>
      </c>
      <c r="C46" s="8" t="inlineStr">
        <is>
          <t>lottery + fishing</t>
        </is>
      </c>
      <c r="D46" s="8" t="inlineStr">
        <is>
          <t>-189줄</t>
        </is>
      </c>
      <c r="E46" s="8" t="inlineStr">
        <is>
          <t>9869 → 9680</t>
        </is>
      </c>
    </row>
    <row r="47">
      <c r="A47" s="9" t="inlineStr">
        <is>
          <t>v1.82</t>
        </is>
      </c>
      <c r="B47" s="9" t="inlineStr">
        <is>
          <t>리팩토링</t>
        </is>
      </c>
      <c r="C47" s="9" t="inlineStr">
        <is>
          <t>핸들러 분리 시작</t>
        </is>
      </c>
      <c r="D47" s="9" t="inlineStr">
        <is>
          <t>game/handlers/ 신규 디렉토리</t>
        </is>
      </c>
      <c r="E47" s="9" t="inlineStr">
        <is>
          <t>registerXxxHandlers 패턴</t>
        </is>
      </c>
    </row>
    <row r="48">
      <c r="A48" s="8" t="inlineStr">
        <is>
          <t>v1.82</t>
        </is>
      </c>
      <c r="B48" s="8" t="inlineStr">
        <is>
          <t>첫 분리</t>
        </is>
      </c>
      <c r="C48" s="8" t="inlineStr">
        <is>
          <t>lottery_handlers.js</t>
        </is>
      </c>
      <c r="D48" s="8" t="inlineStr">
        <is>
          <t>-73줄 (9869→9796)</t>
        </is>
      </c>
      <c r="E48" s="8" t="inlineStr">
        <is>
          <t>패턴 검증 완료</t>
        </is>
      </c>
    </row>
    <row r="49">
      <c r="A49" s="9" t="inlineStr">
        <is>
          <t>v1.82</t>
        </is>
      </c>
      <c r="B49" s="9" t="inlineStr">
        <is>
          <t>다음 단계</t>
        </is>
      </c>
      <c r="C49" s="9" t="inlineStr">
        <is>
          <t>다른 모듈도 동일 패턴</t>
        </is>
      </c>
      <c r="D49" s="9" t="inlineStr">
        <is>
          <t>fishing/event/season/등</t>
        </is>
      </c>
      <c r="E49" s="9" t="inlineStr">
        <is>
          <t>점진적 분리</t>
        </is>
      </c>
    </row>
    <row r="50">
      <c r="A50" s="8" t="inlineStr">
        <is>
          <t>v1.81</t>
        </is>
      </c>
      <c r="B50" s="8" t="inlineStr">
        <is>
          <t>신규+통합</t>
        </is>
      </c>
      <c r="C50" s="8" t="inlineStr">
        <is>
          <t>game/statistics.js</t>
        </is>
      </c>
      <c r="D50" s="8" t="inlineStr">
        <is>
          <t>서버 통계</t>
        </is>
      </c>
      <c r="E50" s="8" t="inlineStr">
        <is>
          <t>5 카테고리</t>
        </is>
      </c>
    </row>
    <row r="51">
      <c r="A51" s="9" t="inlineStr">
        <is>
          <t>v1.81</t>
        </is>
      </c>
      <c r="B51" s="9" t="inlineStr">
        <is>
          <t>카테고리</t>
        </is>
      </c>
      <c r="C51" s="9" t="inlineStr">
        <is>
          <t>전투/경제/컬렉션/진행/펫</t>
        </is>
      </c>
      <c r="D51" s="9" t="inlineStr">
        <is>
          <t>합계 + 평균 + 최대값 + TOP 플레이어</t>
        </is>
      </c>
      <c r="E51" s="9" t="inlineStr">
        <is>
          <t>봇 자동 제외</t>
        </is>
      </c>
    </row>
    <row r="52">
      <c r="A52" s="8" t="inlineStr">
        <is>
          <t>v1.81</t>
        </is>
      </c>
      <c r="B52" s="8" t="inlineStr">
        <is>
          <t>검증</t>
        </is>
      </c>
      <c r="C52" s="8" t="inlineStr">
        <is>
          <t>3 플레이어 시뮬</t>
        </is>
      </c>
      <c r="D52" s="8" t="inlineStr">
        <is>
          <t>Carol 최고 (Lv65/500000G/8000킬)</t>
        </is>
      </c>
      <c r="E52" s="8" t="inlineStr">
        <is>
          <t>평균 레벨 48</t>
        </is>
      </c>
    </row>
    <row r="53">
      <c r="A53" s="9" t="inlineStr">
        <is>
          <t>v1.80</t>
        </is>
      </c>
      <c r="B53" s="9" t="inlineStr">
        <is>
          <t>🎯 마일스톤</t>
        </is>
      </c>
      <c r="C53" s="9" t="inlineStr">
        <is>
          <t>80번째 패치</t>
        </is>
      </c>
      <c r="D53" s="9" t="inlineStr">
        <is>
          <t>시간 캡슐</t>
        </is>
      </c>
      <c r="E53" s="9" t="inlineStr">
        <is>
          <t>game/time_capsule.js</t>
        </is>
      </c>
    </row>
    <row r="54">
      <c r="A54" s="8" t="inlineStr">
        <is>
          <t>v1.80</t>
        </is>
      </c>
      <c r="B54" s="8" t="inlineStr">
        <is>
          <t>단기 (7일)</t>
        </is>
      </c>
      <c r="C54" s="8" t="inlineStr">
        <is>
          <t>10% 이자</t>
        </is>
      </c>
      <c r="D54" s="8" t="inlineStr">
        <is>
          <t>1000~100000G</t>
        </is>
      </c>
      <c r="E54" s="8" t="inlineStr">
        <is>
          <t>조기 -50%</t>
        </is>
      </c>
    </row>
    <row r="55">
      <c r="A55" s="9" t="inlineStr">
        <is>
          <t>v1.80</t>
        </is>
      </c>
      <c r="B55" s="9" t="inlineStr">
        <is>
          <t>중기 (30일)</t>
        </is>
      </c>
      <c r="C55" s="9" t="inlineStr">
        <is>
          <t>50% 이자</t>
        </is>
      </c>
      <c r="D55" s="9" t="inlineStr">
        <is>
          <t>5000~500000G</t>
        </is>
      </c>
      <c r="E55" s="9" t="inlineStr">
        <is>
          <t>조기 -40%</t>
        </is>
      </c>
    </row>
    <row r="56">
      <c r="A56" s="8" t="inlineStr">
        <is>
          <t>v1.80</t>
        </is>
      </c>
      <c r="B56" s="8" t="inlineStr">
        <is>
          <t>장기 (90일)</t>
        </is>
      </c>
      <c r="C56" s="8" t="inlineStr">
        <is>
          <t>150% 이자 (2.5x)</t>
        </is>
      </c>
      <c r="D56" s="8" t="inlineStr">
        <is>
          <t>20000~5000000G</t>
        </is>
      </c>
      <c r="E56" s="8" t="inlineStr">
        <is>
          <t>조기 -30%</t>
        </is>
      </c>
    </row>
    <row r="57">
      <c r="A57" s="9" t="inlineStr">
        <is>
          <t>v1.80</t>
        </is>
      </c>
      <c r="B57" s="9" t="inlineStr">
        <is>
          <t>전설 (365일)</t>
        </is>
      </c>
      <c r="C57" s="9" t="inlineStr">
        <is>
          <t>500% 이자 (6x)</t>
        </is>
      </c>
      <c r="D57" s="9" t="inlineStr">
        <is>
          <t>100000G~10억</t>
        </is>
      </c>
      <c r="E57" s="9" t="inlineStr">
        <is>
          <t>조기 -20%</t>
        </is>
      </c>
    </row>
    <row r="58">
      <c r="A58" s="8" t="inlineStr">
        <is>
          <t>v1.79</t>
        </is>
      </c>
      <c r="B58" s="8" t="inlineStr">
        <is>
          <t>신규+통합</t>
        </is>
      </c>
      <c r="C58" s="8" t="inlineStr">
        <is>
          <t>game/invitation.js</t>
        </is>
      </c>
      <c r="D58" s="8" t="inlineStr">
        <is>
          <t>초대 시스템</t>
        </is>
      </c>
      <c r="E58" s="8" t="inlineStr">
        <is>
          <t>5 마일스톤</t>
        </is>
      </c>
    </row>
    <row r="59">
      <c r="A59" s="9" t="inlineStr">
        <is>
          <t>v1.79</t>
        </is>
      </c>
      <c r="B59" s="9" t="inlineStr">
        <is>
          <t>마일스톤</t>
        </is>
      </c>
      <c r="C59" s="9" t="inlineStr">
        <is>
          <t>Lv5/10/20/30/50</t>
        </is>
      </c>
      <c r="D59" s="9" t="inlineStr">
        <is>
          <t>각 단계별 양쪽 보상</t>
        </is>
      </c>
      <c r="E59" s="9" t="inlineStr">
        <is>
          <t>만렙: mentor 칭호</t>
        </is>
      </c>
    </row>
    <row r="60">
      <c r="A60" s="8" t="inlineStr">
        <is>
          <t>v1.79</t>
        </is>
      </c>
      <c r="B60" s="8" t="inlineStr">
        <is>
          <t>검증</t>
        </is>
      </c>
      <c r="C60" s="8" t="inlineStr">
        <is>
          <t>초대 → Lv30 도달</t>
        </is>
      </c>
      <c r="D60" s="8" t="inlineStr">
        <is>
          <t>초대자 27000G + 260💎</t>
        </is>
      </c>
      <c r="E60" s="8" t="inlineStr">
        <is>
          <t>3 마일스톤 동시 발생</t>
        </is>
      </c>
    </row>
    <row r="61">
      <c r="A61" s="9" t="inlineStr">
        <is>
          <t>v1.78</t>
        </is>
      </c>
      <c r="B61" s="9" t="inlineStr">
        <is>
          <t>신규+통합</t>
        </is>
      </c>
      <c r="C61" s="9" t="inlineStr">
        <is>
          <t>game/honor.js</t>
        </is>
      </c>
      <c r="D61" s="9" t="inlineStr">
        <is>
          <t>명예 시스템</t>
        </is>
      </c>
      <c r="E61" s="9" t="inlineStr">
        <is>
          <t>PvP 전용 화폐</t>
        </is>
      </c>
    </row>
    <row r="62">
      <c r="A62" s="8" t="inlineStr">
        <is>
          <t>v1.78</t>
        </is>
      </c>
      <c r="B62" s="8" t="inlineStr">
        <is>
          <t>계급</t>
        </is>
      </c>
      <c r="C62" s="8" t="inlineStr">
        <is>
          <t>평범한 전사 → 신참/숙련/베테랑/전설 → 영웅 → 전설</t>
        </is>
      </c>
      <c r="D62" s="8" t="inlineStr">
        <is>
          <t>7단계</t>
        </is>
      </c>
      <c r="E62" s="8" t="inlineStr">
        <is>
          <t>50000 명예 = 전설</t>
        </is>
      </c>
    </row>
    <row r="63">
      <c r="A63" s="9" t="inlineStr">
        <is>
          <t>v1.78</t>
        </is>
      </c>
      <c r="B63" s="9" t="inlineStr">
        <is>
          <t>상점</t>
        </is>
      </c>
      <c r="C63" s="9" t="inlineStr">
        <is>
          <t>명예의 검 1500 / 칭호 3000 / 불멸 증표 5000</t>
        </is>
      </c>
      <c r="D63" s="9" t="inlineStr">
        <is>
          <t>PvP 전용 보상</t>
        </is>
      </c>
      <c r="E63" s="9" t="inlineStr">
        <is>
          <t>-</t>
        </is>
      </c>
    </row>
    <row r="64">
      <c r="A64" s="8" t="inlineStr">
        <is>
          <t>v1.77</t>
        </is>
      </c>
      <c r="B64" s="8" t="inlineStr">
        <is>
          <t>신규+통합</t>
        </is>
      </c>
      <c r="C64" s="8" t="inlineStr">
        <is>
          <t>game/passport.js</t>
        </is>
      </c>
      <c r="D64" s="8" t="inlineStr">
        <is>
          <t>여권</t>
        </is>
      </c>
      <c r="E64" s="8" t="inlineStr">
        <is>
          <t>6 지역 × 4 마일스톤</t>
        </is>
      </c>
    </row>
    <row r="65">
      <c r="A65" s="9" t="inlineStr">
        <is>
          <t>v1.77</t>
        </is>
      </c>
      <c r="B65" s="9" t="inlineStr">
        <is>
          <t>마일스톤</t>
        </is>
      </c>
      <c r="C65" s="9" t="inlineStr">
        <is>
          <t>10/25/40/51</t>
        </is>
      </c>
      <c r="D65" s="9" t="inlineStr">
        <is>
          <t>방랑자/탐험가/세계여행자/지도정복자</t>
        </is>
      </c>
      <c r="E65" s="9" t="inlineStr">
        <is>
          <t>51개: 50000G+500💎+칭호+전스탯+5%</t>
        </is>
      </c>
    </row>
    <row r="66">
      <c r="A66" s="8" t="inlineStr">
        <is>
          <t>v1.77</t>
        </is>
      </c>
      <c r="B66" s="8" t="inlineStr">
        <is>
          <t>검증</t>
        </is>
      </c>
      <c r="C66" s="8" t="inlineStr">
        <is>
          <t>중앙 서부 7개 방문</t>
        </is>
      </c>
      <c r="D66" s="8" t="inlineStr">
        <is>
          <t>배지 획득</t>
        </is>
      </c>
      <c r="E66" s="8" t="inlineStr">
        <is>
          <t>ATK +5</t>
        </is>
      </c>
    </row>
    <row r="67">
      <c r="A67" s="9" t="inlineStr">
        <is>
          <t>v1.76</t>
        </is>
      </c>
      <c r="B67" s="9" t="inlineStr">
        <is>
          <t>신규+통합</t>
        </is>
      </c>
      <c r="C67" s="9" t="inlineStr">
        <is>
          <t>game/aura.js</t>
        </is>
      </c>
      <c r="D67" s="9" t="inlineStr">
        <is>
          <t>오라</t>
        </is>
      </c>
      <c r="E67" s="9" t="inlineStr">
        <is>
          <t>10종 / 1개 활성</t>
        </is>
      </c>
    </row>
    <row r="68">
      <c r="A68" s="8" t="inlineStr">
        <is>
          <t>v1.76</t>
        </is>
      </c>
      <c r="B68" s="8" t="inlineStr">
        <is>
          <t>신화 오라</t>
        </is>
      </c>
      <c r="C68" s="8" t="inlineStr">
        <is>
          <t>🔮 우주 오라</t>
        </is>
      </c>
      <c r="D68" s="8" t="inlineStr">
        <is>
          <t>태초의 존재 처치</t>
        </is>
      </c>
      <c r="E68" s="8" t="inlineStr">
        <is>
          <t>전스탯 +3% / EXP +10% / 드롭 +5%</t>
        </is>
      </c>
    </row>
    <row r="69">
      <c r="A69" s="9" t="inlineStr">
        <is>
          <t>v1.76</t>
        </is>
      </c>
      <c r="B69" s="9" t="inlineStr">
        <is>
          <t>전설</t>
        </is>
      </c>
      <c r="C69" s="9" t="inlineStr">
        <is>
          <t>🪶 불사조 / 🌌 공허</t>
        </is>
      </c>
      <c r="D69" s="9" t="inlineStr">
        <is>
          <t>월드보스 / 공허 균열</t>
        </is>
      </c>
      <c r="E69" s="9" t="inlineStr">
        <is>
          <t>자동부활 / 크리DMG</t>
        </is>
      </c>
    </row>
    <row r="70">
      <c r="A70" s="8" t="inlineStr">
        <is>
          <t>v1.75</t>
        </is>
      </c>
      <c r="B70" s="8" t="inlineStr">
        <is>
          <t>🎉 마일스톤</t>
        </is>
      </c>
      <c r="C70" s="8" t="inlineStr">
        <is>
          <t>50 모듈</t>
        </is>
      </c>
      <c r="D70" s="8" t="inlineStr">
        <is>
          <t>통합 대시보드</t>
        </is>
      </c>
      <c r="E70" s="8" t="inlineStr">
        <is>
          <t>game/dashboard.js</t>
        </is>
      </c>
    </row>
    <row r="71">
      <c r="A71" s="9" t="inlineStr">
        <is>
          <t>v1.75</t>
        </is>
      </c>
      <c r="B71" s="9" t="inlineStr">
        <is>
          <t>8 카테고리</t>
        </is>
      </c>
      <c r="C71" s="9" t="inlineStr">
        <is>
          <t>캐릭터/전투/컬렉션/진행</t>
        </is>
      </c>
      <c r="D71" s="9" t="inlineStr">
        <is>
          <t>사회/경제/펫/활동</t>
        </is>
      </c>
      <c r="E71" s="9" t="inlineStr">
        <is>
          <t>각 카테고리별 통합 데이터</t>
        </is>
      </c>
    </row>
    <row r="72">
      <c r="A72" s="8" t="inlineStr">
        <is>
          <t>v1.75</t>
        </is>
      </c>
      <c r="B72" s="8" t="inlineStr">
        <is>
          <t>완성도</t>
        </is>
      </c>
      <c r="C72" s="8" t="inlineStr">
        <is>
          <t>레벨 99 + 칭호 17 + 도감 162 + 시즌 15 + 보스러시 20</t>
        </is>
      </c>
      <c r="D72" s="8" t="inlineStr">
        <is>
          <t>총 313점 만점</t>
        </is>
      </c>
      <c r="E72" s="8" t="inlineStr">
        <is>
          <t>자동 % 계산</t>
        </is>
      </c>
    </row>
    <row r="73">
      <c r="A73" s="9" t="inlineStr">
        <is>
          <t>v1.75</t>
        </is>
      </c>
      <c r="B73" s="9" t="inlineStr">
        <is>
          <t>검증</t>
        </is>
      </c>
      <c r="C73" s="9" t="inlineStr">
        <is>
          <t>Lv50 / 5000킬 / 7칭호</t>
        </is>
      </c>
      <c r="D73" s="9" t="inlineStr">
        <is>
          <t>완성도 60%</t>
        </is>
      </c>
      <c r="E73" s="9" t="inlineStr">
        <is>
          <t>모든 시스템 통합 조회</t>
        </is>
      </c>
    </row>
    <row r="74">
      <c r="A74" s="8" t="inlineStr">
        <is>
          <t>v1.74</t>
        </is>
      </c>
      <c r="B74" s="8" t="inlineStr">
        <is>
          <t>신규+통합</t>
        </is>
      </c>
      <c r="C74" s="8" t="inlineStr">
        <is>
          <t>game/inn.js</t>
        </is>
      </c>
      <c r="D74" s="8" t="inlineStr">
        <is>
          <t>여관/휴식</t>
        </is>
      </c>
      <c r="E74" s="8" t="inlineStr">
        <is>
          <t>5 등급</t>
        </is>
      </c>
    </row>
    <row r="75">
      <c r="A75" s="9" t="inlineStr">
        <is>
          <t>v1.74</t>
        </is>
      </c>
      <c r="B75" s="9" t="inlineStr">
        <is>
          <t>🛖 낡은 (frontier)</t>
        </is>
      </c>
      <c r="C75" s="9" t="inlineStr">
        <is>
          <t>100G/h</t>
        </is>
      </c>
      <c r="D75" s="9" t="inlineStr">
        <is>
          <t>rested 1.0x / 최대 4h</t>
        </is>
      </c>
      <c r="E75" s="9" t="inlineStr">
        <is>
          <t>초보용</t>
        </is>
      </c>
    </row>
    <row r="76">
      <c r="A76" s="8" t="inlineStr">
        <is>
          <t>v1.74</t>
        </is>
      </c>
      <c r="B76" s="8" t="inlineStr">
        <is>
          <t>🏛️ 고급 (port_east)</t>
        </is>
      </c>
      <c r="C76" s="8" t="inlineStr">
        <is>
          <t>1200G/h</t>
        </is>
      </c>
      <c r="D76" s="8" t="inlineStr">
        <is>
          <t>rested 2.0x / 최대 16h</t>
        </is>
      </c>
      <c r="E76" s="8" t="inlineStr">
        <is>
          <t>고가</t>
        </is>
      </c>
    </row>
    <row r="77">
      <c r="A77" s="9" t="inlineStr">
        <is>
          <t>v1.74</t>
        </is>
      </c>
      <c r="B77" s="9" t="inlineStr">
        <is>
          <t>👑 왕실 (castle)</t>
        </is>
      </c>
      <c r="C77" s="9" t="inlineStr">
        <is>
          <t>3000G/h</t>
        </is>
      </c>
      <c r="D77" s="9" t="inlineStr">
        <is>
          <t>rested 3.0x / 최대 24h</t>
        </is>
      </c>
      <c r="E77" s="9" t="inlineStr">
        <is>
          <t>최상급</t>
        </is>
      </c>
    </row>
    <row r="78">
      <c r="A78" s="8" t="inlineStr">
        <is>
          <t>v1.73</t>
        </is>
      </c>
      <c r="B78" s="8" t="inlineStr">
        <is>
          <t>신규+통합</t>
        </is>
      </c>
      <c r="C78" s="8" t="inlineStr">
        <is>
          <t>game/territory.js</t>
        </is>
      </c>
      <c r="D78" s="8" t="inlineStr">
        <is>
          <t>영토 통제</t>
        </is>
      </c>
      <c r="E78" s="8" t="inlineStr">
        <is>
          <t>10 영토 × 길드 점유</t>
        </is>
      </c>
    </row>
    <row r="79">
      <c r="A79" s="9" t="inlineStr">
        <is>
          <t>v1.73</t>
        </is>
      </c>
      <c r="B79" s="9" t="inlineStr">
        <is>
          <t>최강 영토</t>
        </is>
      </c>
      <c r="C79" s="9" t="inlineStr">
        <is>
          <t>공허의 균열 (50000G)</t>
        </is>
      </c>
      <c r="D79" s="9" t="inlineStr">
        <is>
          <t>ATK +50 / 크리 +10% / 드롭 +20%</t>
        </is>
      </c>
      <c r="E79" s="9" t="inlineStr">
        <is>
          <t>-</t>
        </is>
      </c>
    </row>
    <row r="80">
      <c r="A80" s="8" t="inlineStr">
        <is>
          <t>v1.73</t>
        </is>
      </c>
      <c r="B80" s="8" t="inlineStr">
        <is>
          <t>전략 영토</t>
        </is>
      </c>
      <c r="C80" s="8" t="inlineStr">
        <is>
          <t>드래곤 둥지 (25000G)</t>
        </is>
      </c>
      <c r="D80" s="8" t="inlineStr">
        <is>
          <t>ATK +25 / 크리 +5%</t>
        </is>
      </c>
      <c r="E80" s="8" t="inlineStr">
        <is>
          <t>-</t>
        </is>
      </c>
    </row>
    <row r="81">
      <c r="A81" s="9" t="inlineStr">
        <is>
          <t>v1.73</t>
        </is>
      </c>
      <c r="B81" s="9" t="inlineStr">
        <is>
          <t>검증</t>
        </is>
      </c>
      <c r="C81" s="9" t="inlineStr">
        <is>
          <t>Phoenix 화산+드래곤 점유</t>
        </is>
      </c>
      <c r="D81" s="9" t="inlineStr">
        <is>
          <t>atk +35 / fireDmg +15% / 크리 +5%</t>
        </is>
      </c>
      <c r="E81" s="9" t="inlineStr">
        <is>
          <t>길드원 전체 적용</t>
        </is>
      </c>
    </row>
    <row r="82">
      <c r="A82" s="8" t="inlineStr">
        <is>
          <t>v1.72</t>
        </is>
      </c>
      <c r="B82" s="8" t="inlineStr">
        <is>
          <t>신규+통합</t>
        </is>
      </c>
      <c r="C82" s="8" t="inlineStr">
        <is>
          <t>game/blueprint.js</t>
        </is>
      </c>
      <c r="D82" s="8" t="inlineStr">
        <is>
          <t>비밀 도면</t>
        </is>
      </c>
      <c r="E82" s="8" t="inlineStr">
        <is>
          <t>5종 × 1회 제작</t>
        </is>
      </c>
    </row>
    <row r="83">
      <c r="A83" s="9" t="inlineStr">
        <is>
          <t>v1.72</t>
        </is>
      </c>
      <c r="B83" s="9" t="inlineStr">
        <is>
          <t>희귀</t>
        </is>
      </c>
      <c r="C83" s="9" t="inlineStr">
        <is>
          <t>화염검 / 서리 갑옷</t>
        </is>
      </c>
      <c r="D83" s="9" t="inlineStr">
        <is>
          <t>용암/얼음 보스 드롭</t>
        </is>
      </c>
      <c r="E83" s="9" t="inlineStr">
        <is>
          <t>ATK 80 / DEF 70</t>
        </is>
      </c>
    </row>
    <row r="84">
      <c r="A84" s="8" t="inlineStr">
        <is>
          <t>v1.72</t>
        </is>
      </c>
      <c r="B84" s="8" t="inlineStr">
        <is>
          <t>영웅</t>
        </is>
      </c>
      <c r="C84" s="8" t="inlineStr">
        <is>
          <t>공허 단검 / 별의 활</t>
        </is>
      </c>
      <c r="D84" s="8" t="inlineStr">
        <is>
          <t>공허/천공 클리어</t>
        </is>
      </c>
      <c r="E84" s="8" t="inlineStr">
        <is>
          <t>ATK 100 / 90</t>
        </is>
      </c>
    </row>
    <row r="85">
      <c r="A85" s="9" t="inlineStr">
        <is>
          <t>v1.72</t>
        </is>
      </c>
      <c r="B85" s="9" t="inlineStr">
        <is>
          <t>전설</t>
        </is>
      </c>
      <c r="C85" s="9" t="inlineStr">
        <is>
          <t>태초의 구슬</t>
        </is>
      </c>
      <c r="D85" s="9" t="inlineStr">
        <is>
          <t>월드 보스 0.5%</t>
        </is>
      </c>
      <c r="E85" s="9" t="inlineStr">
        <is>
          <t>ATK 150 / 전스탯 +10%</t>
        </is>
      </c>
    </row>
    <row r="86">
      <c r="A86" s="8" t="inlineStr">
        <is>
          <t>v1.71</t>
        </is>
      </c>
      <c r="B86" s="8" t="inlineStr">
        <is>
          <t>신규+통합</t>
        </is>
      </c>
      <c r="C86" s="8" t="inlineStr">
        <is>
          <t>game/contracts.js</t>
        </is>
      </c>
      <c r="D86" s="8" t="inlineStr">
        <is>
          <t>계약 게시판</t>
        </is>
      </c>
      <c r="E86" s="8" t="inlineStr">
        <is>
          <t>8 종 × 6시간 갱신</t>
        </is>
      </c>
    </row>
    <row r="87">
      <c r="A87" s="9" t="inlineStr">
        <is>
          <t>v1.71</t>
        </is>
      </c>
      <c r="B87" s="9" t="inlineStr">
        <is>
          <t>easy</t>
        </is>
      </c>
      <c r="C87" s="9" t="inlineStr">
        <is>
          <t>일반 사냥 / 약초 수집</t>
        </is>
      </c>
      <c r="D87" s="9" t="inlineStr">
        <is>
          <t>30몹 / 약초 20개</t>
        </is>
      </c>
      <c r="E87" s="9" t="inlineStr">
        <is>
          <t>800G / 1500G</t>
        </is>
      </c>
    </row>
    <row r="88">
      <c r="A88" s="8" t="inlineStr">
        <is>
          <t>v1.71</t>
        </is>
      </c>
      <c r="B88" s="8" t="inlineStr">
        <is>
          <t>hard</t>
        </is>
      </c>
      <c r="C88" s="8" t="inlineStr">
        <is>
          <t>레어 사냥 / 보스 토벌</t>
        </is>
      </c>
      <c r="D88" s="8" t="inlineStr">
        <is>
          <t>5레어 / 1보스</t>
        </is>
      </c>
      <c r="E88" s="8" t="inlineStr">
        <is>
          <t>5000G+영혼석 / 10000G+용재료</t>
        </is>
      </c>
    </row>
    <row r="89">
      <c r="A89" s="9" t="inlineStr">
        <is>
          <t>v1.71</t>
        </is>
      </c>
      <c r="B89" s="9" t="inlineStr">
        <is>
          <t>risky</t>
        </is>
      </c>
      <c r="C89" s="9" t="inlineStr">
        <is>
          <t>PvP 현상금</t>
        </is>
      </c>
      <c r="D89" s="9" t="inlineStr">
        <is>
          <t>3PK</t>
        </is>
      </c>
      <c r="E89" s="9" t="inlineStr">
        <is>
          <t>8000G + 30💎</t>
        </is>
      </c>
    </row>
    <row r="90">
      <c r="A90" s="8" t="inlineStr">
        <is>
          <t>v1.70</t>
        </is>
      </c>
      <c r="B90" s="8" t="inlineStr">
        <is>
          <t>🎯 마일스톤</t>
        </is>
      </c>
      <c r="C90" s="8" t="inlineStr">
        <is>
          <t>70번째 패치</t>
        </is>
      </c>
      <c r="D90" s="8" t="inlineStr">
        <is>
          <t>서버 뉴스 보드</t>
        </is>
      </c>
      <c r="E90" s="8" t="inlineStr">
        <is>
          <t>game/news_board.js</t>
        </is>
      </c>
    </row>
    <row r="91">
      <c r="A91" s="9" t="inlineStr">
        <is>
          <t>v1.70</t>
        </is>
      </c>
      <c r="B91" s="9" t="inlineStr">
        <is>
          <t>5 카테고리</t>
        </is>
      </c>
      <c r="C91" s="9" t="inlineStr">
        <is>
          <t>전투/경제/사회/월드/업적</t>
        </is>
      </c>
      <c r="D91" s="9" t="inlineStr">
        <is>
          <t>각자 색상/아이콘</t>
        </is>
      </c>
      <c r="E91" s="9" t="inlineStr">
        <is>
          <t>필터링 가능</t>
        </is>
      </c>
    </row>
    <row r="92">
      <c r="A92" s="8" t="inlineStr">
        <is>
          <t>v1.70</t>
        </is>
      </c>
      <c r="B92" s="8" t="inlineStr">
        <is>
          <t>18 템플릿</t>
        </is>
      </c>
      <c r="C92" s="8" t="inlineStr">
        <is>
          <t>월드보스/잭팟/길드전쟁/이벤트/칭호 등</t>
        </is>
      </c>
      <c r="D92" s="8" t="inlineStr">
        <is>
          <t>모든 모듈 이벤트 집계</t>
        </is>
      </c>
      <c r="E92" s="8" t="inlineStr">
        <is>
          <t>{player} {boss} 등 변수</t>
        </is>
      </c>
    </row>
    <row r="93">
      <c r="A93" s="9" t="inlineStr">
        <is>
          <t>v1.70</t>
        </is>
      </c>
      <c r="B93" s="9" t="inlineStr">
        <is>
          <t>보관 정책</t>
        </is>
      </c>
      <c r="C93" s="9" t="inlineStr">
        <is>
          <t>high 7일 / mid 3일 / low 1일</t>
        </is>
      </c>
      <c r="D93" s="9" t="inlineStr">
        <is>
          <t>자동 만료</t>
        </is>
      </c>
      <c r="E93" s="9" t="inlineStr">
        <is>
          <t>메모리 200개 한도</t>
        </is>
      </c>
    </row>
    <row r="94">
      <c r="A94" s="8" t="inlineStr">
        <is>
          <t>v1.69</t>
        </is>
      </c>
      <c r="B94" s="8" t="inlineStr">
        <is>
          <t>신규+통합</t>
        </is>
      </c>
      <c r="C94" s="8" t="inlineStr">
        <is>
          <t>game/blessing.js</t>
        </is>
      </c>
      <c r="D94" s="8" t="inlineStr">
        <is>
          <t>신의 축복</t>
        </is>
      </c>
      <c r="E94" s="8" t="inlineStr">
        <is>
          <t>6 신 + 신앙</t>
        </is>
      </c>
    </row>
    <row r="95">
      <c r="A95" s="9" t="inlineStr">
        <is>
          <t>v1.69</t>
        </is>
      </c>
      <c r="B95" s="9" t="inlineStr">
        <is>
          <t>⚔️ 아레스</t>
        </is>
      </c>
      <c r="C95" s="9" t="inlineStr">
        <is>
          <t>전쟁의 신</t>
        </is>
      </c>
      <c r="D95" s="9" t="inlineStr">
        <is>
          <t>ATK +15 / 크리 +3%</t>
        </is>
      </c>
      <c r="E95" s="9" t="inlineStr">
        <is>
          <t>-</t>
        </is>
      </c>
    </row>
    <row r="96">
      <c r="A96" s="8" t="inlineStr">
        <is>
          <t>v1.69</t>
        </is>
      </c>
      <c r="B96" s="8" t="inlineStr">
        <is>
          <t>🦉 아테나</t>
        </is>
      </c>
      <c r="C96" s="8" t="inlineStr">
        <is>
          <t>지혜의 여신</t>
        </is>
      </c>
      <c r="D96" s="8" t="inlineStr">
        <is>
          <t>EXP +10% / DEF +8</t>
        </is>
      </c>
      <c r="E96" s="8" t="inlineStr">
        <is>
          <t>-</t>
        </is>
      </c>
    </row>
    <row r="97">
      <c r="A97" s="9" t="inlineStr">
        <is>
          <t>v1.69</t>
        </is>
      </c>
      <c r="B97" s="9" t="inlineStr">
        <is>
          <t>👟 헤르메스</t>
        </is>
      </c>
      <c r="C97" s="9" t="inlineStr">
        <is>
          <t>여행의 신</t>
        </is>
      </c>
      <c r="D97" s="9" t="inlineStr">
        <is>
          <t>SPD +2 / GOLD +10%</t>
        </is>
      </c>
      <c r="E97" s="9" t="inlineStr">
        <is>
          <t>-</t>
        </is>
      </c>
    </row>
    <row r="98">
      <c r="A98" s="8" t="inlineStr">
        <is>
          <t>v1.69</t>
        </is>
      </c>
      <c r="B98" s="8" t="inlineStr">
        <is>
          <t>🏹 아르테미스</t>
        </is>
      </c>
      <c r="C98" s="8" t="inlineStr">
        <is>
          <t>사냥의 여신</t>
        </is>
      </c>
      <c r="D98" s="8" t="inlineStr">
        <is>
          <t>드롭 +10% / 회피 +4%</t>
        </is>
      </c>
      <c r="E98" s="8" t="inlineStr">
        <is>
          <t>-</t>
        </is>
      </c>
    </row>
    <row r="99">
      <c r="A99" s="9" t="inlineStr">
        <is>
          <t>v1.69</t>
        </is>
      </c>
      <c r="B99" s="9" t="inlineStr">
        <is>
          <t>🔨 헤파이스토스</t>
        </is>
      </c>
      <c r="C99" s="9" t="inlineStr">
        <is>
          <t>대장장이의 신</t>
        </is>
      </c>
      <c r="D99" s="9" t="inlineStr">
        <is>
          <t>제작 +10% / DEF ×1.05</t>
        </is>
      </c>
      <c r="E99" s="9" t="inlineStr">
        <is>
          <t>-</t>
        </is>
      </c>
    </row>
    <row r="100">
      <c r="A100" s="8" t="inlineStr">
        <is>
          <t>v1.69</t>
        </is>
      </c>
      <c r="B100" s="8" t="inlineStr">
        <is>
          <t>☀️ 아폴로</t>
        </is>
      </c>
      <c r="C100" s="8" t="inlineStr">
        <is>
          <t>빛의 신</t>
        </is>
      </c>
      <c r="D100" s="8" t="inlineStr">
        <is>
          <t>HP +100 / 재생 +20%</t>
        </is>
      </c>
      <c r="E100" s="8" t="inlineStr">
        <is>
          <t>-</t>
        </is>
      </c>
    </row>
    <row r="101">
      <c r="A101" s="9" t="inlineStr">
        <is>
          <t>v1.68</t>
        </is>
      </c>
      <c r="B101" s="9" t="inlineStr">
        <is>
          <t>신규+통합</t>
        </is>
      </c>
      <c r="C101" s="9" t="inlineStr">
        <is>
          <t>game/library.js</t>
        </is>
      </c>
      <c r="D101" s="9" t="inlineStr">
        <is>
          <t>도서관</t>
        </is>
      </c>
      <c r="E101" s="9" t="inlineStr">
        <is>
          <t>8권 × 영구 보너스</t>
        </is>
      </c>
    </row>
    <row r="102">
      <c r="A102" s="8" t="inlineStr">
        <is>
          <t>v1.68</t>
        </is>
      </c>
      <c r="B102" s="8" t="inlineStr">
        <is>
          <t>전설책</t>
        </is>
      </c>
      <c r="C102" s="8" t="inlineStr">
        <is>
          <t>태초의 문서 (세계수)</t>
        </is>
      </c>
      <c r="D102" s="8" t="inlineStr">
        <is>
          <t>ATK+20 DEF+20 HP+200 EXP+15%</t>
        </is>
      </c>
      <c r="E102" s="8" t="inlineStr">
        <is>
          <t>-</t>
        </is>
      </c>
    </row>
    <row r="103">
      <c r="A103" s="9" t="inlineStr">
        <is>
          <t>v1.68</t>
        </is>
      </c>
      <c r="B103" s="9" t="inlineStr">
        <is>
          <t>전설책</t>
        </is>
      </c>
      <c r="C103" s="9" t="inlineStr">
        <is>
          <t>금단의 마도서 (마왕성)</t>
        </is>
      </c>
      <c r="D103" s="9" t="inlineStr">
        <is>
          <t>ATK+15 크리+8% 전스탯+5%</t>
        </is>
      </c>
      <c r="E103" s="9" t="inlineStr">
        <is>
          <t>-</t>
        </is>
      </c>
    </row>
    <row r="104">
      <c r="A104" s="8" t="inlineStr">
        <is>
          <t>v1.67</t>
        </is>
      </c>
      <c r="B104" s="8" t="inlineStr">
        <is>
          <t>신규+통합</t>
        </is>
      </c>
      <c r="C104" s="8" t="inlineStr">
        <is>
          <t>game/dungeon_keys.js</t>
        </is>
      </c>
      <c r="D104" s="8" t="inlineStr">
        <is>
          <t>던전 열쇠</t>
        </is>
      </c>
      <c r="E104" s="8" t="inlineStr">
        <is>
          <t>4등급 × 주간 한도</t>
        </is>
      </c>
    </row>
    <row r="105">
      <c r="A105" s="9" t="inlineStr">
        <is>
          <t>v1.67</t>
        </is>
      </c>
      <c r="B105" s="9" t="inlineStr">
        <is>
          <t>🔑 청동</t>
        </is>
      </c>
      <c r="C105" s="9" t="inlineStr">
        <is>
          <t>일반 던전 (ruins/cave)</t>
        </is>
      </c>
      <c r="D105" s="9" t="inlineStr">
        <is>
          <t>주 7개 / 보상 1.5x</t>
        </is>
      </c>
      <c r="E105" s="9" t="inlineStr">
        <is>
          <t>일일 퀘/3일 출석</t>
        </is>
      </c>
    </row>
    <row r="106">
      <c r="A106" s="8" t="inlineStr">
        <is>
          <t>v1.67</t>
        </is>
      </c>
      <c r="B106" s="8" t="inlineStr">
        <is>
          <t>🔐 황금</t>
        </is>
      </c>
      <c r="C106" s="8" t="inlineStr">
        <is>
          <t>고급 던전 (dragon/shadow)</t>
        </is>
      </c>
      <c r="D106" s="8" t="inlineStr">
        <is>
          <t>주 2개 / 보상 3x</t>
        </is>
      </c>
      <c r="E106" s="8" t="inlineStr">
        <is>
          <t>아레나 TOP10/월간</t>
        </is>
      </c>
    </row>
    <row r="107">
      <c r="A107" s="9" t="inlineStr">
        <is>
          <t>v1.67</t>
        </is>
      </c>
      <c r="B107" s="9" t="inlineStr">
        <is>
          <t>🌀 공허</t>
        </is>
      </c>
      <c r="C107" s="9" t="inlineStr">
        <is>
          <t>엔드게임 (void_abyss)</t>
        </is>
      </c>
      <c r="D107" s="9" t="inlineStr">
        <is>
          <t>주 1개 / 보상 5x</t>
        </is>
      </c>
      <c r="E107" s="9" t="inlineStr">
        <is>
          <t>레이드 MVP/시즌 만렙</t>
        </is>
      </c>
    </row>
    <row r="108">
      <c r="A108" s="8" t="inlineStr">
        <is>
          <t>v1.66</t>
        </is>
      </c>
      <c r="B108" s="8" t="inlineStr">
        <is>
          <t>신규+통합</t>
        </is>
      </c>
      <c r="C108" s="8" t="inlineStr">
        <is>
          <t>game/lottery_jackpot.js</t>
        </is>
      </c>
      <c r="D108" s="8" t="inlineStr">
        <is>
          <t>주간 잭팟 복권</t>
        </is>
      </c>
      <c r="E108" s="8" t="inlineStr">
        <is>
          <t>서버 누적 풀</t>
        </is>
      </c>
    </row>
    <row r="109">
      <c r="A109" s="9" t="inlineStr">
        <is>
          <t>v1.66</t>
        </is>
      </c>
      <c r="B109" s="9" t="inlineStr">
        <is>
          <t>검증</t>
        </is>
      </c>
      <c r="C109" s="9" t="inlineStr">
        <is>
          <t>5명 39티켓</t>
        </is>
      </c>
      <c r="D109" s="9" t="inlineStr">
        <is>
          <t>잭팟 81200G</t>
        </is>
      </c>
      <c r="E109" s="9" t="inlineStr">
        <is>
          <t>Bob 당첨 64960G + 위로상 4명</t>
        </is>
      </c>
    </row>
    <row r="110">
      <c r="A110" s="8" t="inlineStr">
        <is>
          <t>v1.66</t>
        </is>
      </c>
      <c r="B110" s="8" t="inlineStr">
        <is>
          <t>v1.22 차이</t>
        </is>
      </c>
      <c r="C110" s="8" t="inlineStr">
        <is>
          <t>즉시 보상 vs 누적 잭팟</t>
        </is>
      </c>
      <c r="D110" s="8" t="inlineStr">
        <is>
          <t>일일 vs 주간</t>
        </is>
      </c>
      <c r="E110" s="8" t="inlineStr">
        <is>
          <t>개인 vs 서버</t>
        </is>
      </c>
    </row>
    <row r="111">
      <c r="A111" s="9" t="inlineStr">
        <is>
          <t>v1.65</t>
        </is>
      </c>
      <c r="B111" s="9" t="inlineStr">
        <is>
          <t>신규+통합</t>
        </is>
      </c>
      <c r="C111" s="9" t="inlineStr">
        <is>
          <t>game/title_collection.js</t>
        </is>
      </c>
      <c r="D111" s="9" t="inlineStr">
        <is>
          <t>칭호 컬렉션 메타</t>
        </is>
      </c>
      <c r="E111" s="9" t="inlineStr">
        <is>
          <t>8 마일스톤 + 4 카테고리</t>
        </is>
      </c>
    </row>
    <row r="112">
      <c r="A112" s="8" t="inlineStr">
        <is>
          <t>v1.65</t>
        </is>
      </c>
      <c r="B112" s="8" t="inlineStr">
        <is>
          <t>마일스톤</t>
        </is>
      </c>
      <c r="C112" s="8" t="inlineStr">
        <is>
          <t>3/5/8/12/16/20/25/30</t>
        </is>
      </c>
      <c r="D112" s="8" t="inlineStr">
        <is>
          <t>각 단계별 영구 보너스 누적</t>
        </is>
      </c>
      <c r="E112" s="8" t="inlineStr">
        <is>
          <t>30개: +100 ATK/DEF, +30% EXP, allMulti +5%</t>
        </is>
      </c>
    </row>
    <row r="113">
      <c r="A113" s="9" t="inlineStr">
        <is>
          <t>v1.65</t>
        </is>
      </c>
      <c r="B113" s="9" t="inlineStr">
        <is>
          <t>카테고리</t>
        </is>
      </c>
      <c r="C113" s="9" t="inlineStr">
        <is>
          <t>전투(5)/경제(3)/소셜(3)/전설(3)</t>
        </is>
      </c>
      <c r="D113" s="9" t="inlineStr">
        <is>
          <t>완성 시 추가 보너스</t>
        </is>
      </c>
      <c r="E113" s="9" t="inlineStr">
        <is>
          <t>전투: ATK+30 크리+5%</t>
        </is>
      </c>
    </row>
    <row r="114">
      <c r="A114" s="8" t="inlineStr">
        <is>
          <t>v1.64</t>
        </is>
      </c>
      <c r="B114" s="8" t="inlineStr">
        <is>
          <t>신규+통합</t>
        </is>
      </c>
      <c r="C114" s="8" t="inlineStr">
        <is>
          <t>game/guild_war.js</t>
        </is>
      </c>
      <c r="D114" s="8" t="inlineStr">
        <is>
          <t>길드 전쟁</t>
        </is>
      </c>
      <c r="E114" s="8" t="inlineStr">
        <is>
          <t>7일 시즌</t>
        </is>
      </c>
    </row>
    <row r="115">
      <c r="A115" s="9" t="inlineStr">
        <is>
          <t>v1.64</t>
        </is>
      </c>
      <c r="B115" s="9" t="inlineStr">
        <is>
          <t>승리 보상</t>
        </is>
      </c>
      <c r="C115" s="9" t="inlineStr">
        <is>
          <t>100000G + 500💎 + war_victor 칭호</t>
        </is>
      </c>
      <c r="D115" s="9" t="inlineStr">
        <is>
          <t>패배: 20000G + 50💎</t>
        </is>
      </c>
      <c r="E115" s="9" t="inlineStr">
        <is>
          <t>무승부: 50000G + 200💎</t>
        </is>
      </c>
    </row>
    <row r="116">
      <c r="A116" s="8" t="inlineStr">
        <is>
          <t>v1.64</t>
        </is>
      </c>
      <c r="B116" s="8" t="inlineStr">
        <is>
          <t>검증</t>
        </is>
      </c>
      <c r="C116" s="8" t="inlineStr">
        <is>
          <t>Phoenix vs Dragons</t>
        </is>
      </c>
      <c r="D116" s="8" t="inlineStr">
        <is>
          <t>3킬+1거점=80점 vs 1킬=10점</t>
        </is>
      </c>
      <c r="E116" s="8" t="inlineStr">
        <is>
          <t>Phoenix 승리</t>
        </is>
      </c>
    </row>
    <row r="117">
      <c r="A117" s="9" t="inlineStr">
        <is>
          <t>v1.63</t>
        </is>
      </c>
      <c r="B117" s="9" t="inlineStr">
        <is>
          <t>신규+통합</t>
        </is>
      </c>
      <c r="C117" s="9" t="inlineStr">
        <is>
          <t>game/pvp_tournament.js</t>
        </is>
      </c>
      <c r="D117" s="9" t="inlineStr">
        <is>
          <t>16강 토너먼트</t>
        </is>
      </c>
      <c r="E117" s="9" t="inlineStr">
        <is>
          <t>매일 3회 정각</t>
        </is>
      </c>
    </row>
    <row r="118">
      <c r="A118" s="8" t="inlineStr">
        <is>
          <t>v1.63</t>
        </is>
      </c>
      <c r="B118" s="8" t="inlineStr">
        <is>
          <t>상금</t>
        </is>
      </c>
      <c r="C118" s="8" t="inlineStr">
        <is>
          <t>1위 50000G+500💎+칭호</t>
        </is>
      </c>
      <c r="D118" s="8" t="inlineStr">
        <is>
          <t>2위 25000G+250💎</t>
        </is>
      </c>
      <c r="E118" s="8" t="inlineStr">
        <is>
          <t>3-4위 15000G+150💎</t>
        </is>
      </c>
    </row>
    <row r="119">
      <c r="A119" s="9" t="inlineStr">
        <is>
          <t>v1.63</t>
        </is>
      </c>
      <c r="B119" s="9" t="inlineStr">
        <is>
          <t>검증</t>
        </is>
      </c>
      <c r="C119" s="9" t="inlineStr">
        <is>
          <t>4명 → 2매치 → 결승</t>
        </is>
      </c>
      <c r="D119" s="9" t="inlineStr">
        <is>
          <t>Player1 우승</t>
        </is>
      </c>
      <c r="E119" s="9" t="inlineStr">
        <is>
          <t>4명 순위 산출</t>
        </is>
      </c>
    </row>
    <row r="120">
      <c r="A120" s="8" t="inlineStr">
        <is>
          <t>v1.62</t>
        </is>
      </c>
      <c r="B120" s="8" t="inlineStr">
        <is>
          <t>신규+통합</t>
        </is>
      </c>
      <c r="C120" s="8" t="inlineStr">
        <is>
          <t>game/wisdom.js</t>
        </is>
      </c>
      <c r="D120" s="8" t="inlineStr">
        <is>
          <t>지혜 시스템</t>
        </is>
      </c>
      <c r="E120" s="8" t="inlineStr">
        <is>
          <t>5 브랜치 × Lv30</t>
        </is>
      </c>
    </row>
    <row r="121">
      <c r="A121" s="9" t="inlineStr">
        <is>
          <t>v1.62</t>
        </is>
      </c>
      <c r="B121" s="9" t="inlineStr">
        <is>
          <t>📚 학자</t>
        </is>
      </c>
      <c r="C121" s="9" t="inlineStr">
        <is>
          <t>NPC대화/책 → expBonus</t>
        </is>
      </c>
      <c r="D121" s="9" t="inlineStr">
        <is>
          <t>+0.5%/Lv</t>
        </is>
      </c>
      <c r="E121" s="9" t="inlineStr">
        <is>
          <t>만렙 +14.5%</t>
        </is>
      </c>
    </row>
    <row r="122">
      <c r="A122" s="8" t="inlineStr">
        <is>
          <t>v1.62</t>
        </is>
      </c>
      <c r="B122" s="8" t="inlineStr">
        <is>
          <t>🗺️ 탐험가</t>
        </is>
      </c>
      <c r="C122" s="8" t="inlineStr">
        <is>
          <t>지역발견/보물 → speed</t>
        </is>
      </c>
      <c r="D122" s="8" t="inlineStr">
        <is>
          <t>+0.1/Lv</t>
        </is>
      </c>
      <c r="E122" s="8" t="inlineStr">
        <is>
          <t>만렙 +2.9</t>
        </is>
      </c>
    </row>
    <row r="123">
      <c r="A123" s="9" t="inlineStr">
        <is>
          <t>v1.62</t>
        </is>
      </c>
      <c r="B123" s="9" t="inlineStr">
        <is>
          <t>🐟 박물학자</t>
        </is>
      </c>
      <c r="C123" s="9" t="inlineStr">
        <is>
          <t>도감/낚시/펫 → dropRate</t>
        </is>
      </c>
      <c r="D123" s="9" t="inlineStr">
        <is>
          <t>+0.5%/Lv</t>
        </is>
      </c>
      <c r="E123" s="9" t="inlineStr">
        <is>
          <t>만렙 +14.5%</t>
        </is>
      </c>
    </row>
    <row r="124">
      <c r="A124" s="8" t="inlineStr">
        <is>
          <t>v1.62</t>
        </is>
      </c>
      <c r="B124" s="8" t="inlineStr">
        <is>
          <t>🔨 장인</t>
        </is>
      </c>
      <c r="C124" s="8" t="inlineStr">
        <is>
          <t>제작/강화/변환 → craftSuccess</t>
        </is>
      </c>
      <c r="D124" s="8" t="inlineStr">
        <is>
          <t>+0.5%/Lv</t>
        </is>
      </c>
      <c r="E124" s="8" t="inlineStr">
        <is>
          <t>만렙 +14.5%</t>
        </is>
      </c>
    </row>
    <row r="125">
      <c r="A125" s="9" t="inlineStr">
        <is>
          <t>v1.62</t>
        </is>
      </c>
      <c r="B125" s="9" t="inlineStr">
        <is>
          <t>🤝 외교관</t>
        </is>
      </c>
      <c r="C125" s="9" t="inlineStr">
        <is>
          <t>교역/호감도/길드 → tradeBonus</t>
        </is>
      </c>
      <c r="D125" s="9" t="inlineStr">
        <is>
          <t>+0.5%/Lv</t>
        </is>
      </c>
      <c r="E125" s="9" t="inlineStr">
        <is>
          <t>만렙 +14.5%</t>
        </is>
      </c>
    </row>
    <row r="126">
      <c r="A126" s="8" t="inlineStr">
        <is>
          <t>v1.61</t>
        </is>
      </c>
      <c r="B126" s="8" t="inlineStr">
        <is>
          <t>신규+통합</t>
        </is>
      </c>
      <c r="C126" s="8" t="inlineStr">
        <is>
          <t>game/companion.js</t>
        </is>
      </c>
      <c r="D126" s="8" t="inlineStr">
        <is>
          <t>동료 시스템</t>
        </is>
      </c>
      <c r="E126" s="8" t="inlineStr">
        <is>
          <t>6 NPC + 호감도</t>
        </is>
      </c>
    </row>
    <row r="127">
      <c r="A127" s="9" t="inlineStr">
        <is>
          <t>v1.61</t>
        </is>
      </c>
      <c r="B127" s="9" t="inlineStr">
        <is>
          <t>🎵 아리아</t>
        </is>
      </c>
      <c r="C127" s="9" t="inlineStr">
        <is>
          <t>음유시인 / Lv10+</t>
        </is>
      </c>
      <c r="D127" s="9" t="inlineStr">
        <is>
          <t>EXP +10% / 공속 +5%</t>
        </is>
      </c>
      <c r="E127" s="9" t="inlineStr">
        <is>
          <t>최애: 비단</t>
        </is>
      </c>
    </row>
    <row r="128">
      <c r="A128" s="8" t="inlineStr">
        <is>
          <t>v1.61</t>
        </is>
      </c>
      <c r="B128" s="8" t="inlineStr">
        <is>
          <t>⚔️ 브루투스</t>
        </is>
      </c>
      <c r="C128" s="8" t="inlineStr">
        <is>
          <t>검사 / Lv20+</t>
        </is>
      </c>
      <c r="D128" s="8" t="inlineStr">
        <is>
          <t>ATK +25 / 크리 +5%</t>
        </is>
      </c>
      <c r="E128" s="8" t="inlineStr">
        <is>
          <t>최애: 철광석</t>
        </is>
      </c>
    </row>
    <row r="129">
      <c r="A129" s="9" t="inlineStr">
        <is>
          <t>v1.61</t>
        </is>
      </c>
      <c r="B129" s="9" t="inlineStr">
        <is>
          <t>✨ 셀레스테</t>
        </is>
      </c>
      <c r="C129" s="9" t="inlineStr">
        <is>
          <t>마법사 / Lv25+</t>
        </is>
      </c>
      <c r="D129" s="9" t="inlineStr">
        <is>
          <t>크리DMG +20% / EXP +15%</t>
        </is>
      </c>
      <c r="E129" s="9" t="inlineStr">
        <is>
          <t>최애: 마법수정</t>
        </is>
      </c>
    </row>
    <row r="130">
      <c r="A130" s="8" t="inlineStr">
        <is>
          <t>v1.61</t>
        </is>
      </c>
      <c r="B130" s="8" t="inlineStr">
        <is>
          <t>🐲 드라고</t>
        </is>
      </c>
      <c r="C130" s="8" t="inlineStr">
        <is>
          <t>용의 후예</t>
        </is>
      </c>
      <c r="D130" s="8" t="inlineStr">
        <is>
          <t>ATK +30 / 화염 +20%</t>
        </is>
      </c>
      <c r="E130" s="8" t="inlineStr">
        <is>
          <t>최애: 용재료</t>
        </is>
      </c>
    </row>
    <row r="131">
      <c r="A131" s="9" t="inlineStr">
        <is>
          <t>v1.61</t>
        </is>
      </c>
      <c r="B131" s="9" t="inlineStr">
        <is>
          <t>🔥 엠버</t>
        </is>
      </c>
      <c r="C131" s="9" t="inlineStr">
        <is>
          <t>도둑</t>
        </is>
      </c>
      <c r="D131" s="9" t="inlineStr">
        <is>
          <t>GOLD +20% / 드롭 +10%</t>
        </is>
      </c>
      <c r="E131" s="9" t="inlineStr">
        <is>
          <t>최애: 보석</t>
        </is>
      </c>
    </row>
    <row r="132">
      <c r="A132" s="8" t="inlineStr">
        <is>
          <t>v1.61</t>
        </is>
      </c>
      <c r="B132" s="8" t="inlineStr">
        <is>
          <t>👼 세라피나</t>
        </is>
      </c>
      <c r="C132" s="8" t="inlineStr">
        <is>
          <t>사제</t>
        </is>
      </c>
      <c r="D132" s="8" t="inlineStr">
        <is>
          <t>HP +200 / HP재생 +30% / 피해 -5%</t>
        </is>
      </c>
      <c r="E132" s="8" t="inlineStr">
        <is>
          <t>최애: 왕의 연회</t>
        </is>
      </c>
    </row>
    <row r="133">
      <c r="A133" s="9" t="inlineStr">
        <is>
          <t>v1.60</t>
        </is>
      </c>
      <c r="B133" s="9" t="inlineStr">
        <is>
          <t>🎯 마일스톤</t>
        </is>
      </c>
      <c r="C133" s="9" t="inlineStr">
        <is>
          <t>60번째 패치</t>
        </is>
      </c>
      <c r="D133" s="9" t="inlineStr">
        <is>
          <t>월드 이벤트 시스템</t>
        </is>
      </c>
      <c r="E133" s="9" t="inlineStr">
        <is>
          <t>game/world_event.js</t>
        </is>
      </c>
    </row>
    <row r="134">
      <c r="A134" s="8" t="inlineStr">
        <is>
          <t>v1.60</t>
        </is>
      </c>
      <c r="B134" s="8" t="inlineStr">
        <is>
          <t>💰 황금시간</t>
        </is>
      </c>
      <c r="C134" s="8" t="inlineStr">
        <is>
          <t>30분 / 30%</t>
        </is>
      </c>
      <c r="D134" s="8" t="inlineStr">
        <is>
          <t>전 서버 골드 ×2</t>
        </is>
      </c>
      <c r="E134" s="8" t="inlineStr">
        <is>
          <t>goldBonus +100%</t>
        </is>
      </c>
    </row>
    <row r="135">
      <c r="A135" s="9" t="inlineStr">
        <is>
          <t>v1.60</t>
        </is>
      </c>
      <c r="B135" s="9" t="inlineStr">
        <is>
          <t>⭐ EXP폭발</t>
        </is>
      </c>
      <c r="C135" s="9" t="inlineStr">
        <is>
          <t>30분 / 30%</t>
        </is>
      </c>
      <c r="D135" s="9" t="inlineStr">
        <is>
          <t>전 서버 EXP ×2</t>
        </is>
      </c>
      <c r="E135" s="9" t="inlineStr">
        <is>
          <t>expBonus +100%</t>
        </is>
      </c>
    </row>
    <row r="136">
      <c r="A136" s="8" t="inlineStr">
        <is>
          <t>v1.60</t>
        </is>
      </c>
      <c r="B136" s="8" t="inlineStr">
        <is>
          <t>🐉 드래곤 침공</t>
        </is>
      </c>
      <c r="C136" s="8" t="inlineStr">
        <is>
          <t>20분 / 15%</t>
        </is>
      </c>
      <c r="D136" s="8" t="inlineStr">
        <is>
          <t>전 지역 드래곤 출현</t>
        </is>
      </c>
      <c r="E136" s="8" t="inlineStr">
        <is>
          <t>특별 드롭</t>
        </is>
      </c>
    </row>
    <row r="137">
      <c r="A137" s="9" t="inlineStr">
        <is>
          <t>v1.60</t>
        </is>
      </c>
      <c r="B137" s="9" t="inlineStr">
        <is>
          <t>☄️ 운석우</t>
        </is>
      </c>
      <c r="C137" s="9" t="inlineStr">
        <is>
          <t>15분 / 10%</t>
        </is>
      </c>
      <c r="D137" s="9" t="inlineStr">
        <is>
          <t>희귀 재료 드롭</t>
        </is>
      </c>
      <c r="E137" s="9" t="inlineStr">
        <is>
          <t>용재료/영혼석/별가루</t>
        </is>
      </c>
    </row>
    <row r="138">
      <c r="A138" s="8" t="inlineStr">
        <is>
          <t>v1.60</t>
        </is>
      </c>
      <c r="B138" s="8" t="inlineStr">
        <is>
          <t>🌟 보물 비</t>
        </is>
      </c>
      <c r="C138" s="8" t="inlineStr">
        <is>
          <t>15분 / 10%</t>
        </is>
      </c>
      <c r="D138" s="8" t="inlineStr">
        <is>
          <t>맵 곳곳 보물 50개</t>
        </is>
      </c>
      <c r="E138" s="8" t="inlineStr">
        <is>
          <t>common 등급</t>
        </is>
      </c>
    </row>
    <row r="139">
      <c r="A139" s="9" t="inlineStr">
        <is>
          <t>v1.60</t>
        </is>
      </c>
      <c r="B139" s="9" t="inlineStr">
        <is>
          <t>🌙 혈월</t>
        </is>
      </c>
      <c r="C139" s="9" t="inlineStr">
        <is>
          <t>60분 / 5%</t>
        </is>
      </c>
      <c r="D139" s="9" t="inlineStr">
        <is>
          <t>PvP ×3 / 몬스터 강화</t>
        </is>
      </c>
      <c r="E139" s="9" t="inlineStr">
        <is>
          <t>가장 희귀</t>
        </is>
      </c>
    </row>
    <row r="140">
      <c r="A140" s="8" t="inlineStr">
        <is>
          <t>v1.59</t>
        </is>
      </c>
      <c r="B140" s="8" t="inlineStr">
        <is>
          <t>신규+통합</t>
        </is>
      </c>
      <c r="C140" s="8" t="inlineStr">
        <is>
          <t>game/postoffice.js</t>
        </is>
      </c>
      <c r="D140" s="8" t="inlineStr">
        <is>
          <t>택배 운송</t>
        </is>
      </c>
      <c r="E140" s="8" t="inlineStr">
        <is>
          <t>5종 패키지</t>
        </is>
      </c>
    </row>
    <row r="141">
      <c r="A141" s="9" t="inlineStr">
        <is>
          <t>v1.59</t>
        </is>
      </c>
      <c r="B141" s="9" t="inlineStr">
        <is>
          <t>왕실 봉인</t>
        </is>
      </c>
      <c r="C141" s="9" t="inlineStr">
        <is>
          <t>5000G 베이스</t>
        </is>
      </c>
      <c r="D141" s="9" t="inlineStr">
        <is>
          <t>거리당 10% 보너스</t>
        </is>
      </c>
      <c r="E141" s="9" t="inlineStr">
        <is>
          <t>최대 ~2만G 가능</t>
        </is>
      </c>
    </row>
    <row r="142">
      <c r="A142" s="8" t="inlineStr">
        <is>
          <t>v1.59</t>
        </is>
      </c>
      <c r="B142" s="8" t="inlineStr">
        <is>
          <t>data/zones 의존</t>
        </is>
      </c>
      <c r="C142" s="8" t="inlineStr">
        <is>
          <t>마을 (safe:true) 자동 추출</t>
        </is>
      </c>
      <c r="D142" s="8" t="inlineStr">
        <is>
          <t>거리 기반 보상</t>
        </is>
      </c>
      <c r="E142" s="8" t="inlineStr">
        <is>
          <t>30분 제한</t>
        </is>
      </c>
    </row>
    <row r="143">
      <c r="A143" s="9" t="inlineStr">
        <is>
          <t>v1.58</t>
        </is>
      </c>
      <c r="B143" s="9" t="inlineStr">
        <is>
          <t>신규+통합</t>
        </is>
      </c>
      <c r="C143" s="9" t="inlineStr">
        <is>
          <t>game/transmog.js</t>
        </is>
      </c>
      <c r="D143" s="9" t="inlineStr">
        <is>
          <t>외형 변환</t>
        </is>
      </c>
      <c r="E143" s="9" t="inlineStr">
        <is>
          <t>12종 스킨</t>
        </is>
      </c>
    </row>
    <row r="144">
      <c r="A144" s="8" t="inlineStr">
        <is>
          <t>v1.58</t>
        </is>
      </c>
      <c r="B144" s="8" t="inlineStr">
        <is>
          <t>신화 스킨</t>
        </is>
      </c>
      <c r="C144" s="8" t="inlineStr">
        <is>
          <t>태초의 오라</t>
        </is>
      </c>
      <c r="D144" s="8" t="inlineStr">
        <is>
          <t>모든 카테고리 1위 + 태초 구슬</t>
        </is>
      </c>
      <c r="E144" s="8" t="inlineStr">
        <is>
          <t>#ff00ff cosmic</t>
        </is>
      </c>
    </row>
    <row r="145">
      <c r="A145" s="9" t="inlineStr">
        <is>
          <t>v1.58</t>
        </is>
      </c>
      <c r="B145" s="9" t="inlineStr">
        <is>
          <t>전설 스킨</t>
        </is>
      </c>
      <c r="C145" s="9" t="inlineStr">
        <is>
          <t>천공의 검 / 왕의 왕관</t>
        </is>
      </c>
      <c r="D145" s="9" t="inlineStr">
        <is>
          <t>레이드 MVP / 주간 1위</t>
        </is>
      </c>
      <c r="E145" s="9" t="inlineStr">
        <is>
          <t>금색 effects</t>
        </is>
      </c>
    </row>
    <row r="146">
      <c r="A146" s="8" t="inlineStr">
        <is>
          <t>v1.57</t>
        </is>
      </c>
      <c r="B146" s="8" t="inlineStr">
        <is>
          <t>신규+통합</t>
        </is>
      </c>
      <c r="C146" s="8" t="inlineStr">
        <is>
          <t>game/fortune.js</t>
        </is>
      </c>
      <c r="D146" s="8" t="inlineStr">
        <is>
          <t>일일 운세</t>
        </is>
      </c>
      <c r="E146" s="8" t="inlineStr">
        <is>
          <t>8종 × 24시간 버프</t>
        </is>
      </c>
    </row>
    <row r="147">
      <c r="A147" s="9" t="inlineStr">
        <is>
          <t>v1.57</t>
        </is>
      </c>
      <c r="B147" s="9" t="inlineStr">
        <is>
          <t>대길 (5%)</t>
        </is>
      </c>
      <c r="C147" s="9" t="inlineStr">
        <is>
          <t>goldBonus +30% / expBonus +30% / drop +20% / 크리 +5%</t>
        </is>
      </c>
      <c r="D147" s="9" t="inlineStr">
        <is>
          <t>희귀 운세</t>
        </is>
      </c>
      <c r="E147" s="9" t="inlineStr">
        <is>
          <t>전 서버 알림</t>
        </is>
      </c>
    </row>
    <row r="148">
      <c r="A148" s="8" t="inlineStr">
        <is>
          <t>v1.57</t>
        </is>
      </c>
      <c r="B148" s="8" t="inlineStr">
        <is>
          <t>스트릭</t>
        </is>
      </c>
      <c r="C148" s="8" t="inlineStr">
        <is>
          <t>3일 +5% / 7일 +10% / 14일 +20% / 30일 +30%</t>
        </is>
      </c>
      <c r="D148" s="8" t="inlineStr">
        <is>
          <t>효과 배수 + 골드/다이아 보상</t>
        </is>
      </c>
      <c r="E148" s="8" t="inlineStr">
        <is>
          <t>-</t>
        </is>
      </c>
    </row>
    <row r="149">
      <c r="A149" s="9" t="inlineStr">
        <is>
          <t>v1.56</t>
        </is>
      </c>
      <c r="B149" s="9" t="inlineStr">
        <is>
          <t>신규+통합</t>
        </is>
      </c>
      <c r="C149" s="9" t="inlineStr">
        <is>
          <t>game/insurance.js</t>
        </is>
      </c>
      <c r="D149" s="9" t="inlineStr">
        <is>
          <t>장비 보험</t>
        </is>
      </c>
      <c r="E149" s="9" t="inlineStr">
        <is>
          <t>5등급 × 7일</t>
        </is>
      </c>
    </row>
    <row r="150">
      <c r="A150" s="8" t="inlineStr">
        <is>
          <t>v1.56</t>
        </is>
      </c>
      <c r="B150" s="8" t="inlineStr">
        <is>
          <t>프리미엄</t>
        </is>
      </c>
      <c r="C150" s="8" t="inlineStr">
        <is>
          <t>일반 100G / 고급 500G / 희귀 2000G</t>
        </is>
      </c>
      <c r="D150" s="8" t="inlineStr">
        <is>
          <t>영웅 8000G / 전설 30000G</t>
        </is>
      </c>
      <c r="E150" s="8" t="inlineStr">
        <is>
          <t>자동갱신 -10%</t>
        </is>
      </c>
    </row>
    <row r="151">
      <c r="A151" s="9" t="inlineStr">
        <is>
          <t>v1.56</t>
        </is>
      </c>
      <c r="B151" s="9" t="inlineStr">
        <is>
          <t>보장</t>
        </is>
      </c>
      <c r="C151" s="9" t="inlineStr">
        <is>
          <t>사망: 장비 환급 / 강화 실패: 골드 50%</t>
        </is>
      </c>
      <c r="D151" s="9" t="inlineStr">
        <is>
          <t>만료된 비자동 정책 자동 청소</t>
        </is>
      </c>
      <c r="E151" s="9" t="inlineStr">
        <is>
          <t>data/equipment.js 의존</t>
        </is>
      </c>
    </row>
    <row r="152">
      <c r="A152" s="8" t="inlineStr">
        <is>
          <t>v1.55</t>
        </is>
      </c>
      <c r="B152" s="8" t="inlineStr">
        <is>
          <t>신규+통합</t>
        </is>
      </c>
      <c r="C152" s="8" t="inlineStr">
        <is>
          <t>game/expedition.js</t>
        </is>
      </c>
      <c r="D152" s="8" t="inlineStr">
        <is>
          <t>멀티 스테이지 원정</t>
        </is>
      </c>
      <c r="E152" s="8" t="inlineStr">
        <is>
          <t>3종 × 5~7 단계</t>
        </is>
      </c>
    </row>
    <row r="153">
      <c r="A153" s="9" t="inlineStr">
        <is>
          <t>v1.55</t>
        </is>
      </c>
      <c r="B153" s="9" t="inlineStr">
        <is>
          <t>드래곤 슬레이어</t>
        </is>
      </c>
      <c r="C153" s="9" t="inlineStr">
        <is>
          <t>7단계 / Lv30+</t>
        </is>
      </c>
      <c r="D153" s="9" t="inlineStr">
        <is>
          <t>단서→유적→둥지→분기→격파→전리품→귀환</t>
        </is>
      </c>
      <c r="E153" s="9" t="inlineStr">
        <is>
          <t>드래곤 소드 + 칭호</t>
        </is>
      </c>
    </row>
    <row r="154">
      <c r="A154" s="8" t="inlineStr">
        <is>
          <t>v1.55</t>
        </is>
      </c>
      <c r="B154" s="8" t="inlineStr">
        <is>
          <t>보물 사냥꾼</t>
        </is>
      </c>
      <c r="C154" s="8" t="inlineStr">
        <is>
          <t>5단계 / Lv15+</t>
        </is>
      </c>
      <c r="D154" s="8" t="inlineStr">
        <is>
          <t>지도→함정→분기→발굴→귀환</t>
        </is>
      </c>
      <c r="E154" s="8" t="inlineStr">
        <is>
          <t>신화 유물 상자</t>
        </is>
      </c>
    </row>
    <row r="155">
      <c r="A155" s="9" t="inlineStr">
        <is>
          <t>v1.55</t>
        </is>
      </c>
      <c r="B155" s="9" t="inlineStr">
        <is>
          <t>공허의 탐험가</t>
        </is>
      </c>
      <c r="C155" s="9" t="inlineStr">
        <is>
          <t>7단계 / Lv40+</t>
        </is>
      </c>
      <c r="D155" s="9" t="inlineStr">
        <is>
          <t>균열→안정화→지식→분기→격파→봉인→귀환</t>
        </is>
      </c>
      <c r="E155" s="9" t="inlineStr">
        <is>
          <t>태초의 구슬 + void_walker 칭호</t>
        </is>
      </c>
    </row>
    <row r="156">
      <c r="A156" s="8" t="inlineStr">
        <is>
          <t>v1.54</t>
        </is>
      </c>
      <c r="B156" s="8" t="inlineStr">
        <is>
          <t>신규+통합</t>
        </is>
      </c>
      <c r="C156" s="8" t="inlineStr">
        <is>
          <t>game/raid.js</t>
        </is>
      </c>
      <c r="D156" s="8" t="inlineStr">
        <is>
          <t>대규모 레이드</t>
        </is>
      </c>
      <c r="E156" s="8" t="inlineStr">
        <is>
          <t>3 보스 × 3~5 페이즈</t>
        </is>
      </c>
    </row>
    <row r="157">
      <c r="A157" s="9" t="inlineStr">
        <is>
          <t>v1.54</t>
        </is>
      </c>
      <c r="B157" s="9" t="inlineStr">
        <is>
          <t>지옥불 군주</t>
        </is>
      </c>
      <c r="C157" s="9" t="inlineStr">
        <is>
          <t>60만 HP / 3페이즈</t>
        </is>
      </c>
      <c r="D157" s="9" t="inlineStr">
        <is>
          <t>MVP: 30000G + 200💎 + 망토</t>
        </is>
      </c>
      <c r="E157" s="9" t="inlineStr">
        <is>
          <t>Lv30+, 10~30인</t>
        </is>
      </c>
    </row>
    <row r="158">
      <c r="A158" s="8" t="inlineStr">
        <is>
          <t>v1.54</t>
        </is>
      </c>
      <c r="B158" s="8" t="inlineStr">
        <is>
          <t>심연의 거인</t>
        </is>
      </c>
      <c r="C158" s="8" t="inlineStr">
        <is>
          <t>140만 HP / 4페이즈</t>
        </is>
      </c>
      <c r="D158" s="8" t="inlineStr">
        <is>
          <t>MVP: 60000G + 400💎 + 구슬</t>
        </is>
      </c>
      <c r="E158" s="8" t="inlineStr">
        <is>
          <t>Lv40+, 15~30인</t>
        </is>
      </c>
    </row>
    <row r="159">
      <c r="A159" s="9" t="inlineStr">
        <is>
          <t>v1.54</t>
        </is>
      </c>
      <c r="B159" s="9" t="inlineStr">
        <is>
          <t>천공의 수호자</t>
        </is>
      </c>
      <c r="C159" s="9" t="inlineStr">
        <is>
          <t>310만 HP / 5페이즈</t>
        </is>
      </c>
      <c r="D159" s="9" t="inlineStr">
        <is>
          <t>MVP: 150000G + 1000💎 + 검</t>
        </is>
      </c>
      <c r="E159" s="9" t="inlineStr">
        <is>
          <t>Lv50+, 20~30인</t>
        </is>
      </c>
    </row>
    <row r="160">
      <c r="A160" s="8" t="inlineStr">
        <is>
          <t>v1.53</t>
        </is>
      </c>
      <c r="B160" s="8" t="inlineStr">
        <is>
          <t>신규+통합</t>
        </is>
      </c>
      <c r="C160" s="8" t="inlineStr">
        <is>
          <t>game/transmutation.js</t>
        </is>
      </c>
      <c r="D160" s="8" t="inlineStr">
        <is>
          <t>변환 시스템</t>
        </is>
      </c>
      <c r="E160" s="8" t="inlineStr">
        <is>
          <t>분해/정제/압축/업그레이드</t>
        </is>
      </c>
    </row>
    <row r="161">
      <c r="A161" s="9" t="inlineStr">
        <is>
          <t>v1.53</t>
        </is>
      </c>
      <c r="B161" s="9" t="inlineStr">
        <is>
          <t>분해</t>
        </is>
      </c>
      <c r="C161" s="9" t="inlineStr">
        <is>
          <t>5등급별 yield</t>
        </is>
      </c>
      <c r="D161" s="9" t="inlineStr">
        <is>
          <t>일반:마법재료1 / 전설:용재료1+영혼석5+보석2</t>
        </is>
      </c>
      <c r="E161" s="9" t="inlineStr">
        <is>
          <t>귀속 장비 제외</t>
        </is>
      </c>
    </row>
    <row r="162">
      <c r="A162" s="8" t="inlineStr">
        <is>
          <t>v1.53</t>
        </is>
      </c>
      <c r="B162" s="8" t="inlineStr">
        <is>
          <t>업그레이드</t>
        </is>
      </c>
      <c r="C162" s="8" t="inlineStr">
        <is>
          <t>mat_magic 10 → mat_soul 1</t>
        </is>
      </c>
      <c r="D162" s="8" t="inlineStr">
        <is>
          <t>70% 성공률 / 1000G</t>
        </is>
      </c>
      <c r="E162" s="8" t="inlineStr">
        <is>
          <t>실패 시 재료 소실</t>
        </is>
      </c>
    </row>
    <row r="163">
      <c r="A163" s="9" t="inlineStr">
        <is>
          <t>v1.52</t>
        </is>
      </c>
      <c r="B163" s="9" t="inlineStr">
        <is>
          <t>신규+통합</t>
        </is>
      </c>
      <c r="C163" s="9" t="inlineStr">
        <is>
          <t>game/jobs.js</t>
        </is>
      </c>
      <c r="D163" s="9" t="inlineStr">
        <is>
          <t>부직업 시스템</t>
        </is>
      </c>
      <c r="E163" s="9" t="inlineStr">
        <is>
          <t>5직업 × Lv50</t>
        </is>
      </c>
    </row>
    <row r="164">
      <c r="A164" s="8" t="inlineStr">
        <is>
          <t>v1.52</t>
        </is>
      </c>
      <c r="B164" s="8" t="inlineStr">
        <is>
          <t>대장장이</t>
        </is>
      </c>
      <c r="C164" s="8" t="inlineStr">
        <is>
          <t>enchantSuccess</t>
        </is>
      </c>
      <c r="D164" s="8" t="inlineStr">
        <is>
          <t>강화 성공률 +0.5%/Lv</t>
        </is>
      </c>
      <c r="E164" s="8" t="inlineStr">
        <is>
          <t>일일 5회 제작</t>
        </is>
      </c>
    </row>
    <row r="165">
      <c r="A165" s="9" t="inlineStr">
        <is>
          <t>v1.52</t>
        </is>
      </c>
      <c r="B165" s="9" t="inlineStr">
        <is>
          <t>연금술사</t>
        </is>
      </c>
      <c r="C165" s="9" t="inlineStr">
        <is>
          <t>buffDuration</t>
        </is>
      </c>
      <c r="D165" s="9" t="inlineStr">
        <is>
          <t>버프 지속 +1%/Lv</t>
        </is>
      </c>
      <c r="E165" s="9" t="inlineStr">
        <is>
          <t>일일 3회 엘릭서</t>
        </is>
      </c>
    </row>
    <row r="166">
      <c r="A166" s="8" t="inlineStr">
        <is>
          <t>v1.52</t>
        </is>
      </c>
      <c r="B166" s="8" t="inlineStr">
        <is>
          <t>약초학자</t>
        </is>
      </c>
      <c r="C166" s="8" t="inlineStr">
        <is>
          <t>farmSpeed</t>
        </is>
      </c>
      <c r="D166" s="8" t="inlineStr">
        <is>
          <t>농장 시간 -0.5%/Lv</t>
        </is>
      </c>
      <c r="E166" s="8" t="inlineStr">
        <is>
          <t>일일 5회 수확</t>
        </is>
      </c>
    </row>
    <row r="167">
      <c r="A167" s="9" t="inlineStr">
        <is>
          <t>v1.52</t>
        </is>
      </c>
      <c r="B167" s="9" t="inlineStr">
        <is>
          <t>광부</t>
        </is>
      </c>
      <c r="C167" s="9" t="inlineStr">
        <is>
          <t>goldFromMonster</t>
        </is>
      </c>
      <c r="D167" s="9" t="inlineStr">
        <is>
          <t>몬스터 골드 +0.5%/Lv</t>
        </is>
      </c>
      <c r="E167" s="9" t="inlineStr">
        <is>
          <t>일일 30 처치</t>
        </is>
      </c>
    </row>
    <row r="168">
      <c r="A168" s="8" t="inlineStr">
        <is>
          <t>v1.52</t>
        </is>
      </c>
      <c r="B168" s="8" t="inlineStr">
        <is>
          <t>인첸터</t>
        </is>
      </c>
      <c r="C168" s="8" t="inlineStr">
        <is>
          <t>runePower</t>
        </is>
      </c>
      <c r="D168" s="8" t="inlineStr">
        <is>
          <t>룬 효과 +0.5%/Lv</t>
        </is>
      </c>
      <c r="E168" s="8" t="inlineStr">
        <is>
          <t>일일 2회 룬 제작</t>
        </is>
      </c>
    </row>
    <row r="169">
      <c r="A169" s="9" t="inlineStr">
        <is>
          <t>v1.51</t>
        </is>
      </c>
      <c r="B169" s="9" t="inlineStr">
        <is>
          <t>신규+통합</t>
        </is>
      </c>
      <c r="C169" s="9" t="inlineStr">
        <is>
          <t>game/black_market.js</t>
        </is>
      </c>
      <c r="D169" s="9" t="inlineStr">
        <is>
          <t>6시간 갱신 미스터리 상점</t>
        </is>
      </c>
      <c r="E169" s="9" t="inlineStr">
        <is>
          <t>13종 풀 / 4슬롯</t>
        </is>
      </c>
    </row>
    <row r="170">
      <c r="A170" s="8" t="inlineStr">
        <is>
          <t>v1.51</t>
        </is>
      </c>
      <c r="B170" s="8" t="inlineStr">
        <is>
          <t>등급 분포</t>
        </is>
      </c>
      <c r="C170" s="8" t="inlineStr">
        <is>
          <t>희귀 70% / 영웅 25% / 전설 5%</t>
        </is>
      </c>
      <c r="D170" s="8" t="inlineStr">
        <is>
          <t>가중치 RNG</t>
        </is>
      </c>
      <c r="E170" s="8" t="inlineStr">
        <is>
          <t>결정적 시드 (모두 동일 상품)</t>
        </is>
      </c>
    </row>
    <row r="171">
      <c r="A171" s="9" t="inlineStr">
        <is>
          <t>v1.51</t>
        </is>
      </c>
      <c r="B171" s="9" t="inlineStr">
        <is>
          <t>한정 상품</t>
        </is>
      </c>
      <c r="C171" s="9" t="inlineStr">
        <is>
          <t>신화 펫 / 시즌 패스 스킵</t>
        </is>
      </c>
      <c r="D171" s="9" t="inlineStr">
        <is>
          <t>환생 축복 / 시간 결정</t>
        </is>
      </c>
      <c r="E171" s="9" t="inlineStr">
        <is>
          <t>다이아 4000~8000</t>
        </is>
      </c>
    </row>
    <row r="172">
      <c r="A172" s="8" t="inlineStr">
        <is>
          <t>v1.50</t>
        </is>
      </c>
      <c r="B172" s="8" t="inlineStr">
        <is>
          <t>🎉 마일스톤</t>
        </is>
      </c>
      <c r="C172" s="8" t="inlineStr">
        <is>
          <t>50번째 패치</t>
        </is>
      </c>
      <c r="D172" s="8" t="inlineStr">
        <is>
          <t>종합 랭킹 시스템</t>
        </is>
      </c>
      <c r="E172" s="8" t="inlineStr">
        <is>
          <t>game/leaderboard.js (200줄)</t>
        </is>
      </c>
    </row>
    <row r="173">
      <c r="A173" s="9" t="inlineStr">
        <is>
          <t>v1.50</t>
        </is>
      </c>
      <c r="B173" s="9" t="inlineStr">
        <is>
          <t>카테고리 10종</t>
        </is>
      </c>
      <c r="C173" s="9" t="inlineStr">
        <is>
          <t>레벨/골드/PvP/사냥꾼/월드보스</t>
        </is>
      </c>
      <c r="D173" s="9" t="inlineStr">
        <is>
          <t>+ 시즌/보스러시/보물/낚시/펫배틀</t>
        </is>
      </c>
      <c r="E173" s="9" t="inlineStr">
        <is>
          <t>v1.20+ 모듈 모두 연계</t>
        </is>
      </c>
    </row>
    <row r="174">
      <c r="A174" s="8" t="inlineStr">
        <is>
          <t>v1.50</t>
        </is>
      </c>
      <c r="B174" s="8" t="inlineStr">
        <is>
          <t>주간 보상</t>
        </is>
      </c>
      <c r="C174" s="8" t="inlineStr">
        <is>
          <t>TOP3 × 10 카테고리 = 30 보상</t>
        </is>
      </c>
      <c r="D174" s="8" t="inlineStr">
        <is>
          <t>1위: 10000G+200💎+칭호</t>
        </is>
      </c>
      <c r="E174" s="8" t="inlineStr">
        <is>
          <t>2위 5000/100, 3위 3000/50</t>
        </is>
      </c>
    </row>
    <row r="175">
      <c r="A175" s="9" t="inlineStr">
        <is>
          <t>v1.49</t>
        </is>
      </c>
      <c r="B175" s="9" t="inlineStr">
        <is>
          <t>신규+통합</t>
        </is>
      </c>
      <c r="C175" s="9" t="inlineStr">
        <is>
          <t>game/runes.js</t>
        </is>
      </c>
      <c r="D175" s="9" t="inlineStr">
        <is>
          <t>룬 시스템</t>
        </is>
      </c>
      <c r="E175" s="9" t="inlineStr">
        <is>
          <t>12종 × 3등급 / 슬롯당 3개</t>
        </is>
      </c>
    </row>
    <row r="176">
      <c r="A176" s="8" t="inlineStr">
        <is>
          <t>v1.49</t>
        </is>
      </c>
      <c r="B176" s="8" t="inlineStr">
        <is>
          <t>룬 워드</t>
        </is>
      </c>
      <c r="C176" s="8" t="inlineStr">
        <is>
          <t>전사 / 수호자 / 학자 / 흡혈귀</t>
        </is>
      </c>
      <c r="D176" s="8" t="inlineStr">
        <is>
          <t>3룬 동시 장착 시 자동 활성</t>
        </is>
      </c>
      <c r="E176" s="8" t="inlineStr">
        <is>
          <t>+ ach_rune_word 업적 추적</t>
        </is>
      </c>
    </row>
    <row r="177">
      <c r="A177" s="9" t="inlineStr">
        <is>
          <t>v1.49</t>
        </is>
      </c>
      <c r="B177" s="9" t="inlineStr">
        <is>
          <t>검증</t>
        </is>
      </c>
      <c r="C177" s="9" t="inlineStr">
        <is>
          <t>전사 워드</t>
        </is>
      </c>
      <c r="D177" s="9" t="inlineStr">
        <is>
          <t>vigor+fury+haste 장착</t>
        </is>
      </c>
      <c r="E177" s="9" t="inlineStr">
        <is>
          <t>ATK +10/+30, 크리 +5%/+10%, 공속 +8%/+15%</t>
        </is>
      </c>
    </row>
    <row r="178">
      <c r="A178" s="8" t="inlineStr">
        <is>
          <t>v1.48</t>
        </is>
      </c>
      <c r="B178" s="8" t="inlineStr">
        <is>
          <t>신규+통합</t>
        </is>
      </c>
      <c r="C178" s="8" t="inlineStr">
        <is>
          <t>game/breeding.js</t>
        </is>
      </c>
      <c r="D178" s="8" t="inlineStr">
        <is>
          <t>펫 교배 시스템</t>
        </is>
      </c>
      <c r="E178" s="8" t="inlineStr">
        <is>
          <t>game/pet.js의 PETS import</t>
        </is>
      </c>
    </row>
    <row r="179">
      <c r="A179" s="9" t="inlineStr">
        <is>
          <t>v1.48</t>
        </is>
      </c>
      <c r="B179" s="9" t="inlineStr">
        <is>
          <t>특별 hybrid</t>
        </is>
      </c>
      <c r="C179" s="9" t="inlineStr">
        <is>
          <t>4종</t>
        </is>
      </c>
      <c r="D179" s="9" t="inlineStr">
        <is>
          <t>특정 부모 조합 시 30% 확률</t>
        </is>
      </c>
      <c r="E179" s="9" t="inlineStr">
        <is>
          <t>슬라임 늑대 등</t>
        </is>
      </c>
    </row>
    <row r="180">
      <c r="A180" s="8" t="inlineStr">
        <is>
          <t>v1.48</t>
        </is>
      </c>
      <c r="B180" s="8" t="inlineStr">
        <is>
          <t>변이</t>
        </is>
      </c>
      <c r="C180" s="8" t="inlineStr">
        <is>
          <t>10% 확률</t>
        </is>
      </c>
      <c r="D180" s="8" t="inlineStr">
        <is>
          <t>부모 효과 +50% 보너스</t>
        </is>
      </c>
      <c r="E180" s="8" t="inlineStr">
        <is>
          <t>일반 자손 대비</t>
        </is>
      </c>
    </row>
    <row r="181">
      <c r="A181" s="9" t="inlineStr">
        <is>
          <t>v1.47</t>
        </is>
      </c>
      <c r="B181" s="9" t="inlineStr">
        <is>
          <t>신규+통합</t>
        </is>
      </c>
      <c r="C181" s="9" t="inlineStr">
        <is>
          <t>game/relic.js</t>
        </is>
      </c>
      <c r="D181" s="9" t="inlineStr">
        <is>
          <t>유물 시스템</t>
        </is>
      </c>
      <c r="E181" s="9" t="inlineStr">
        <is>
          <t>10종 × 동시 3개 장착</t>
        </is>
      </c>
    </row>
    <row r="182">
      <c r="A182" s="8" t="inlineStr">
        <is>
          <t>v1.47</t>
        </is>
      </c>
      <c r="B182" s="8" t="inlineStr">
        <is>
          <t>신화 유물</t>
        </is>
      </c>
      <c r="C182" s="8" t="inlineStr">
        <is>
          <t>태초의 구슬</t>
        </is>
      </c>
      <c r="D182" s="8" t="inlineStr">
        <is>
          <t>신화의 크라켄 / 풀 클리어</t>
        </is>
      </c>
      <c r="E182" s="8" t="inlineStr">
        <is>
          <t>전 스탯 +10% / EXP +30%</t>
        </is>
      </c>
    </row>
    <row r="183">
      <c r="A183" s="9" t="inlineStr">
        <is>
          <t>v1.47</t>
        </is>
      </c>
      <c r="B183" s="9" t="inlineStr">
        <is>
          <t>전설 유물</t>
        </is>
      </c>
      <c r="C183" s="9" t="inlineStr">
        <is>
          <t>불사조 깃털 / 공허의 파편 / 운명의 별</t>
        </is>
      </c>
      <c r="D183" s="9" t="inlineStr">
        <is>
          <t>월드보스/심연/주간1위</t>
        </is>
      </c>
      <c r="E183" s="9" t="inlineStr">
        <is>
          <t>자동 부활 / 처형 / 전스탯 +5%</t>
        </is>
      </c>
    </row>
    <row r="184">
      <c r="A184" s="8" t="inlineStr">
        <is>
          <t>v1.46</t>
        </is>
      </c>
      <c r="B184" s="8" t="inlineStr">
        <is>
          <t>신규+통합</t>
        </is>
      </c>
      <c r="C184" s="8" t="inlineStr">
        <is>
          <t>game/treasure_map.js</t>
        </is>
      </c>
      <c r="D184" s="8" t="inlineStr">
        <is>
          <t>보물 지도 시스템</t>
        </is>
      </c>
      <c r="E184" s="8" t="inlineStr">
        <is>
          <t>5등급 × 무작위 좌표</t>
        </is>
      </c>
    </row>
    <row r="185">
      <c r="A185" s="9" t="inlineStr">
        <is>
          <t>v1.46</t>
        </is>
      </c>
      <c r="B185" s="9" t="inlineStr">
        <is>
          <t>등급</t>
        </is>
      </c>
      <c r="C185" s="9" t="inlineStr">
        <is>
          <t>일반/고급/희귀/영웅/전설</t>
        </is>
      </c>
      <c r="D185" s="9" t="inlineStr">
        <is>
          <t>각 등급별 보상 풀</t>
        </is>
      </c>
      <c r="E185" s="9" t="inlineStr">
        <is>
          <t>전설 80000G + 500💎</t>
        </is>
      </c>
    </row>
    <row r="186">
      <c r="A186" s="8" t="inlineStr">
        <is>
          <t>v1.46</t>
        </is>
      </c>
      <c r="B186" s="8" t="inlineStr">
        <is>
          <t>메커니즘</t>
        </is>
      </c>
      <c r="C186" s="8" t="inlineStr">
        <is>
          <t>거리 힌트</t>
        </is>
      </c>
      <c r="D186" s="8" t="inlineStr">
        <is>
          <t>🔥/🌡️/☀️/😐/❄️/🧊</t>
        </is>
      </c>
      <c r="E186" s="8" t="inlineStr">
        <is>
          <t>5유닛 이내 발굴 가능</t>
        </is>
      </c>
    </row>
    <row r="187">
      <c r="A187" s="9" t="inlineStr">
        <is>
          <t>v1.45</t>
        </is>
      </c>
      <c r="B187" s="9" t="inlineStr">
        <is>
          <t>신규+통합</t>
        </is>
      </c>
      <c r="C187" s="9" t="inlineStr">
        <is>
          <t>game/training.js</t>
        </is>
      </c>
      <c r="D187" s="9" t="inlineStr">
        <is>
          <t>일일 훈련 모듈</t>
        </is>
      </c>
      <c r="E187" s="9" t="inlineStr">
        <is>
          <t>5드릴 × 30랭크 + 임시 버프</t>
        </is>
      </c>
    </row>
    <row r="188">
      <c r="A188" s="8" t="inlineStr">
        <is>
          <t>v1.45</t>
        </is>
      </c>
      <c r="B188" s="8" t="inlineStr">
        <is>
          <t>드릴</t>
        </is>
      </c>
      <c r="C188" s="8" t="inlineStr">
        <is>
          <t>전투/방어/민첩/지혜/행운</t>
        </is>
      </c>
      <c r="D188" s="8" t="inlineStr">
        <is>
          <t>매일 5 스태미나</t>
        </is>
      </c>
      <c r="E188" s="8" t="inlineStr">
        <is>
          <t>각 영구 +0.5%~+1</t>
        </is>
      </c>
    </row>
    <row r="189">
      <c r="A189" s="9" t="inlineStr">
        <is>
          <t>v1.45</t>
        </is>
      </c>
      <c r="B189" s="9" t="inlineStr">
        <is>
          <t>보상</t>
        </is>
      </c>
      <c r="C189" s="9" t="inlineStr">
        <is>
          <t>회당 100G + 50EXP</t>
        </is>
      </c>
      <c r="D189" s="9" t="inlineStr">
        <is>
          <t>+ 1시간 임시 버프</t>
        </is>
      </c>
      <c r="E189" s="9" t="inlineStr">
        <is>
          <t>30💎 충전</t>
        </is>
      </c>
    </row>
    <row r="190">
      <c r="A190" s="8" t="inlineStr">
        <is>
          <t>v1.44</t>
        </is>
      </c>
      <c r="B190" s="8" t="inlineStr">
        <is>
          <t>함수 추출</t>
        </is>
      </c>
      <c r="C190" s="8" t="inlineStr">
        <is>
          <t>game/monster_spawn.js</t>
        </is>
      </c>
      <c r="D190" s="8" t="inlineStr">
        <is>
          <t>두 번째 함수 추출</t>
        </is>
      </c>
      <c r="E190" s="8" t="inlineStr">
        <is>
          <t>데이터 모듈 의존</t>
        </is>
      </c>
    </row>
    <row r="191">
      <c r="A191" s="9" t="inlineStr">
        <is>
          <t>v1.44</t>
        </is>
      </c>
      <c r="B191" s="9" t="inlineStr">
        <is>
          <t>검증</t>
        </is>
      </c>
      <c r="C191" s="9" t="inlineStr">
        <is>
          <t>1000 spawn</t>
        </is>
      </c>
      <c r="D191" s="9" t="inlineStr">
        <is>
          <t>normal 52% / elite 26% / rare 14% / boss 6% / leg 1%</t>
        </is>
      </c>
      <c r="E191" s="9" t="inlineStr">
        <is>
          <t>가중치 정상</t>
        </is>
      </c>
    </row>
    <row r="192">
      <c r="A192" s="8" t="inlineStr">
        <is>
          <t>v1.44</t>
        </is>
      </c>
      <c r="B192" s="8" t="inlineStr">
        <is>
          <t>검증</t>
        </is>
      </c>
      <c r="C192" s="8" t="inlineStr">
        <is>
          <t>scaleMonster</t>
        </is>
      </c>
      <c r="D192" s="8" t="inlineStr">
        <is>
          <t>Lv5: HP 80 / Lv25: HP 208</t>
        </is>
      </c>
      <c r="E192" s="8" t="inlineStr">
        <is>
          <t>2.6배 강화 정상</t>
        </is>
      </c>
    </row>
    <row r="193">
      <c r="A193" s="9" t="inlineStr">
        <is>
          <t>v1.43</t>
        </is>
      </c>
      <c r="B193" s="9" t="inlineStr">
        <is>
          <t>함수 추출</t>
        </is>
      </c>
      <c r="C193" s="9" t="inlineStr">
        <is>
          <t>game/helpers.js</t>
        </is>
      </c>
      <c r="D193" s="9" t="inlineStr">
        <is>
          <t>첫 함수 추출 모듈</t>
        </is>
      </c>
      <c r="E193" s="9" t="inlineStr">
        <is>
          <t>순수 유틸 6종</t>
        </is>
      </c>
    </row>
    <row r="194">
      <c r="A194" s="8" t="inlineStr">
        <is>
          <t>v1.43</t>
        </is>
      </c>
      <c r="B194" s="8" t="inlineStr">
        <is>
          <t>검증</t>
        </is>
      </c>
      <c r="C194" s="8" t="inlineStr">
        <is>
          <t>getExpRequired(50)</t>
        </is>
      </c>
      <c r="D194" s="8" t="inlineStr">
        <is>
          <t>25803</t>
        </is>
      </c>
      <c r="E194" s="8" t="inlineStr">
        <is>
          <t>지수 공식 정상</t>
        </is>
      </c>
    </row>
    <row r="195">
      <c r="A195" s="9" t="inlineStr">
        <is>
          <t>v1.43</t>
        </is>
      </c>
      <c r="B195" s="9" t="inlineStr">
        <is>
          <t>신규</t>
        </is>
      </c>
      <c r="C195" s="9" t="inlineStr">
        <is>
          <t>clamp / distance / getToday</t>
        </is>
      </c>
      <c r="D195" s="9" t="inlineStr">
        <is>
          <t>부가 헬퍼</t>
        </is>
      </c>
      <c r="E195" s="9" t="inlineStr">
        <is>
          <t>다음 추출 시 활용</t>
        </is>
      </c>
    </row>
    <row r="196">
      <c r="A196" s="8" t="inlineStr">
        <is>
          <t>v1.42</t>
        </is>
      </c>
      <c r="B196" s="8" t="inlineStr">
        <is>
          <t>신규+통합</t>
        </is>
      </c>
      <c r="C196" s="8" t="inlineStr">
        <is>
          <t>game/pet_battle.js</t>
        </is>
      </c>
      <c r="D196" s="8" t="inlineStr">
        <is>
          <t>펫 배틀 모듈 (PETS import)</t>
        </is>
      </c>
      <c r="E196" s="8" t="inlineStr">
        <is>
          <t>턴제 / 8강 토너먼트</t>
        </is>
      </c>
    </row>
    <row r="197">
      <c r="A197" s="9" t="inlineStr">
        <is>
          <t>v1.42</t>
        </is>
      </c>
      <c r="B197" s="9" t="inlineStr">
        <is>
          <t>검증</t>
        </is>
      </c>
      <c r="C197" s="9" t="inlineStr">
        <is>
          <t>pet_slime vs pet_dragon</t>
        </is>
      </c>
      <c r="D197" s="9" t="inlineStr">
        <is>
          <t>드래곤 4턴 승리</t>
        </is>
      </c>
      <c r="E197" s="9" t="inlineStr">
        <is>
          <t>시뮬레이션 정상</t>
        </is>
      </c>
    </row>
    <row r="198">
      <c r="A198" s="8" t="inlineStr">
        <is>
          <t>v1.42</t>
        </is>
      </c>
      <c r="B198" s="8" t="inlineStr">
        <is>
          <t>보상</t>
        </is>
      </c>
      <c r="C198" s="8" t="inlineStr">
        <is>
          <t>승리 시</t>
        </is>
      </c>
      <c r="D198" s="8" t="inlineStr">
        <is>
          <t>100G + 50EXP / 토너먼트 200💎+칭호</t>
        </is>
      </c>
      <c r="E198" s="8" t="inlineStr">
        <is>
          <t>일일 5회 무료</t>
        </is>
      </c>
    </row>
    <row r="199">
      <c r="A199" s="9" t="inlineStr">
        <is>
          <t>v1.41</t>
        </is>
      </c>
      <c r="B199" s="9" t="inlineStr">
        <is>
          <t>리팩토링</t>
        </is>
      </c>
      <c r="C199" s="9" t="inlineStr">
        <is>
          <t>Phase 5 (최종)</t>
        </is>
      </c>
      <c r="D199" s="9" t="inlineStr">
        <is>
          <t>game/data/economy.js 추출</t>
        </is>
      </c>
      <c r="E199" s="9" t="inlineStr">
        <is>
          <t>-172줄 (8868→8696)</t>
        </is>
      </c>
    </row>
    <row r="200">
      <c r="A200" s="8" t="inlineStr">
        <is>
          <t>v1.41</t>
        </is>
      </c>
      <c r="B200" s="8" t="inlineStr">
        <is>
          <t>분리</t>
        </is>
      </c>
      <c r="C200" s="8" t="inlineStr">
        <is>
          <t>경제 12종</t>
        </is>
      </c>
      <c r="D200" s="8" t="inlineStr">
        <is>
          <t>DIAMOND_PRODUCTS/NPCS/TRADE_GOODS/SHOP_ITEMS 등</t>
        </is>
      </c>
      <c r="E200" s="8" t="inlineStr">
        <is>
          <t>마지막 phase</t>
        </is>
      </c>
    </row>
    <row r="201">
      <c r="A201" s="9" t="inlineStr">
        <is>
          <t>v1.41</t>
        </is>
      </c>
      <c r="B201" s="9" t="inlineStr">
        <is>
          <t>마일스톤</t>
        </is>
      </c>
      <c r="C201" s="9" t="inlineStr">
        <is>
          <t>마스터 플랜 완료</t>
        </is>
      </c>
      <c r="D201" s="9" t="inlineStr">
        <is>
          <t>5단계 phase 모두 완료</t>
        </is>
      </c>
      <c r="E201" s="9" t="inlineStr">
        <is>
          <t>-926줄 / -9.6%</t>
        </is>
      </c>
    </row>
    <row r="202">
      <c r="A202" s="8" t="inlineStr">
        <is>
          <t>v1.41</t>
        </is>
      </c>
      <c r="B202" s="8" t="inlineStr">
        <is>
          <t>진척</t>
        </is>
      </c>
      <c r="C202" s="8" t="inlineStr">
        <is>
          <t>9622 → 8696</t>
        </is>
      </c>
      <c r="D202" s="8" t="inlineStr">
        <is>
          <t>game/data/ 5개 모듈 1082줄</t>
        </is>
      </c>
      <c r="E202" s="8" t="inlineStr">
        <is>
          <t>13개 → 17개 모듈</t>
        </is>
      </c>
    </row>
    <row r="203">
      <c r="A203" s="9" t="inlineStr">
        <is>
          <t>v1.40</t>
        </is>
      </c>
      <c r="B203" s="9" t="inlineStr">
        <is>
          <t>리팩토링</t>
        </is>
      </c>
      <c r="C203" s="9" t="inlineStr">
        <is>
          <t>Phase 4</t>
        </is>
      </c>
      <c r="D203" s="9" t="inlineStr">
        <is>
          <t>game/data/quests.js 추출</t>
        </is>
      </c>
      <c r="E203" s="9" t="inlineStr">
        <is>
          <t>-139줄 (9007→8868)</t>
        </is>
      </c>
    </row>
    <row r="204">
      <c r="A204" s="8" t="inlineStr">
        <is>
          <t>v1.40</t>
        </is>
      </c>
      <c r="B204" s="8" t="inlineStr">
        <is>
          <t>분리</t>
        </is>
      </c>
      <c r="C204" s="8" t="inlineStr">
        <is>
          <t>퀘스트 3종</t>
        </is>
      </c>
      <c r="D204" s="8" t="inlineStr">
        <is>
          <t>QUESTS / SKILLS / CLASS_ADVANCE</t>
        </is>
      </c>
      <c r="E204" s="8" t="inlineStr">
        <is>
          <t>전부 순수 데이터</t>
        </is>
      </c>
    </row>
    <row r="205">
      <c r="A205" s="9" t="inlineStr">
        <is>
          <t>v1.40</t>
        </is>
      </c>
      <c r="B205" s="9" t="inlineStr">
        <is>
          <t>진척</t>
        </is>
      </c>
      <c r="C205" s="9" t="inlineStr">
        <is>
          <t>-754줄 누적</t>
        </is>
      </c>
      <c r="D205" s="9" t="inlineStr">
        <is>
          <t>9622 → 8868</t>
        </is>
      </c>
      <c r="E205" s="9" t="inlineStr">
        <is>
          <t>-7.8%</t>
        </is>
      </c>
    </row>
    <row r="206">
      <c r="A206" s="8" t="inlineStr">
        <is>
          <t>v1.39</t>
        </is>
      </c>
      <c r="B206" s="8" t="inlineStr">
        <is>
          <t>리팩토링</t>
        </is>
      </c>
      <c r="C206" s="8" t="inlineStr">
        <is>
          <t>Phase 3</t>
        </is>
      </c>
      <c r="D206" s="8" t="inlineStr">
        <is>
          <t>game/data/equipment.js 추출</t>
        </is>
      </c>
      <c r="E206" s="8" t="inlineStr">
        <is>
          <t>-96줄 (9103→9007)</t>
        </is>
      </c>
    </row>
    <row r="207">
      <c r="A207" s="9" t="inlineStr">
        <is>
          <t>v1.39</t>
        </is>
      </c>
      <c r="B207" s="9" t="inlineStr">
        <is>
          <t>분리</t>
        </is>
      </c>
      <c r="C207" s="9" t="inlineStr">
        <is>
          <t>장비 6종</t>
        </is>
      </c>
      <c r="D207" s="9" t="inlineStr">
        <is>
          <t>SLOTS/SETS/GRADE/RAND/STATS/DESC</t>
        </is>
      </c>
      <c r="E207" s="9" t="inlineStr">
        <is>
          <t>generateRandomOptions 함수 유지</t>
        </is>
      </c>
    </row>
    <row r="208">
      <c r="A208" s="8" t="inlineStr">
        <is>
          <t>v1.39</t>
        </is>
      </c>
      <c r="B208" s="8" t="inlineStr">
        <is>
          <t>진척</t>
        </is>
      </c>
      <c r="C208" s="8" t="inlineStr">
        <is>
          <t>-615줄 누적</t>
        </is>
      </c>
      <c r="D208" s="8" t="inlineStr">
        <is>
          <t>9622 → 9007</t>
        </is>
      </c>
      <c r="E208" s="8" t="inlineStr">
        <is>
          <t>-6.4%</t>
        </is>
      </c>
    </row>
    <row r="209">
      <c r="A209" s="9" t="inlineStr">
        <is>
          <t>v1.38</t>
        </is>
      </c>
      <c r="B209" s="9" t="inlineStr">
        <is>
          <t>리팩토링</t>
        </is>
      </c>
      <c r="C209" s="9" t="inlineStr">
        <is>
          <t>Phase 2</t>
        </is>
      </c>
      <c r="D209" s="9" t="inlineStr">
        <is>
          <t>game/data/zones.js 추출</t>
        </is>
      </c>
      <c r="E209" s="9" t="inlineStr">
        <is>
          <t>-414줄 (9517→9103)</t>
        </is>
      </c>
    </row>
    <row r="210">
      <c r="A210" s="8" t="inlineStr">
        <is>
          <t>v1.38</t>
        </is>
      </c>
      <c r="B210" s="8" t="inlineStr">
        <is>
          <t>분리</t>
        </is>
      </c>
      <c r="C210" s="8" t="inlineStr">
        <is>
          <t>지역 8종</t>
        </is>
      </c>
      <c r="D210" s="8" t="inlineStr">
        <is>
          <t>ZONES/ZONE_AMBIENCE/MONSTER_LORE/등</t>
        </is>
      </c>
      <c r="E210" s="8" t="inlineStr">
        <is>
          <t>함수(isOnRoad/isBlocked) 유지</t>
        </is>
      </c>
    </row>
    <row r="211">
      <c r="A211" s="9" t="inlineStr">
        <is>
          <t>v1.38</t>
        </is>
      </c>
      <c r="B211" s="9" t="inlineStr">
        <is>
          <t>진척</t>
        </is>
      </c>
      <c r="C211" s="9" t="inlineStr">
        <is>
          <t>-519줄 누적</t>
        </is>
      </c>
      <c r="D211" s="9" t="inlineStr">
        <is>
          <t>9622 → 9103</t>
        </is>
      </c>
      <c r="E211" s="9" t="inlineStr">
        <is>
          <t>-5.4%</t>
        </is>
      </c>
    </row>
    <row r="212">
      <c r="A212" s="8" t="inlineStr">
        <is>
          <t>v1.37</t>
        </is>
      </c>
      <c r="B212" s="8" t="inlineStr">
        <is>
          <t>리팩토링</t>
        </is>
      </c>
      <c r="C212" s="8" t="inlineStr">
        <is>
          <t>Phase 1</t>
        </is>
      </c>
      <c r="D212" s="8" t="inlineStr">
        <is>
          <t>game/data/world_data.js 추출</t>
        </is>
      </c>
      <c r="E212" s="8" t="inlineStr">
        <is>
          <t>-105줄 (9622→9517)</t>
        </is>
      </c>
    </row>
    <row r="213">
      <c r="A213" s="9" t="inlineStr">
        <is>
          <t>v1.37</t>
        </is>
      </c>
      <c r="B213" s="9" t="inlineStr">
        <is>
          <t>마스터 플랜</t>
        </is>
      </c>
      <c r="C213" s="9" t="inlineStr">
        <is>
          <t>5단계 분리</t>
        </is>
      </c>
      <c r="D213" s="9" t="inlineStr">
        <is>
          <t>Phase 2: ZONES / 3: 장비 / 4: 퀘스트 / 5: 상점</t>
        </is>
      </c>
      <c r="E213" s="9" t="inlineStr">
        <is>
          <t>각 phase = 1 커밋</t>
        </is>
      </c>
    </row>
    <row r="214">
      <c r="A214" s="8" t="inlineStr">
        <is>
          <t>v1.37</t>
        </is>
      </c>
      <c r="B214" s="8" t="inlineStr">
        <is>
          <t>버그 수정</t>
        </is>
      </c>
      <c r="C214" s="8" t="inlineStr">
        <is>
          <t>MONSTER_TIERS</t>
        </is>
      </c>
      <c r="D214" s="8" t="inlineStr">
        <is>
          <t>깨진 한글 동시 수정</t>
        </is>
      </c>
      <c r="E214" s="8" t="inlineStr">
        <is>
          <t>드래곤 / 고대 드래곤</t>
        </is>
      </c>
    </row>
    <row r="215">
      <c r="A215" s="9" t="inlineStr">
        <is>
          <t>v1.36</t>
        </is>
      </c>
      <c r="B215" s="9" t="inlineStr">
        <is>
          <t>신규+통합</t>
        </is>
      </c>
      <c r="C215" s="9" t="inlineStr">
        <is>
          <t>game/farm.js</t>
        </is>
      </c>
      <c r="D215" s="9" t="inlineStr">
        <is>
          <t>농장 모듈 생성 + 즉시 통합</t>
        </is>
      </c>
      <c r="E215" s="9" t="inlineStr">
        <is>
          <t>7작물 / AFK 진행</t>
        </is>
      </c>
    </row>
    <row r="216">
      <c r="A216" s="8" t="inlineStr">
        <is>
          <t>v1.36</t>
        </is>
      </c>
      <c r="B216" s="8" t="inlineStr">
        <is>
          <t>작물 (전설)</t>
        </is>
      </c>
      <c r="C216" s="8" t="inlineStr">
        <is>
          <t>용 과일</t>
        </is>
      </c>
      <c r="D216" s="8" t="inlineStr">
        <is>
          <t>4시간 / 80💎</t>
        </is>
      </c>
      <c r="E216" s="8" t="inlineStr">
        <is>
          <t>용재료 ×1 + 영혼석 ×3 + 3000G</t>
        </is>
      </c>
    </row>
    <row r="217">
      <c r="A217" s="9" t="inlineStr">
        <is>
          <t>v1.36</t>
        </is>
      </c>
      <c r="B217" s="9" t="inlineStr">
        <is>
          <t>작물 (희귀)</t>
        </is>
      </c>
      <c r="C217" s="9" t="inlineStr">
        <is>
          <t>달꽃</t>
        </is>
      </c>
      <c r="D217" s="9" t="inlineStr">
        <is>
          <t>2시간 / 30💎</t>
        </is>
      </c>
      <c r="E217" s="9" t="inlineStr">
        <is>
          <t>마법재료 ×5 + 영혼석 ×1</t>
        </is>
      </c>
    </row>
    <row r="218">
      <c r="A218" s="8" t="inlineStr">
        <is>
          <t>v1.36</t>
        </is>
      </c>
      <c r="B218" s="8" t="inlineStr">
        <is>
          <t>시스템</t>
        </is>
      </c>
      <c r="C218" s="8" t="inlineStr">
        <is>
          <t>비료</t>
        </is>
      </c>
      <c r="D218" s="8" t="inlineStr">
        <is>
          <t>20💎 / 50% 시간 단축</t>
        </is>
      </c>
      <c r="E218" s="8" t="inlineStr">
        <is>
          <t>슬롯당 1회</t>
        </is>
      </c>
    </row>
    <row r="219">
      <c r="A219" s="9" t="inlineStr">
        <is>
          <t>v1.35</t>
        </is>
      </c>
      <c r="B219" s="9" t="inlineStr">
        <is>
          <t>신규+통합</t>
        </is>
      </c>
      <c r="C219" s="9" t="inlineStr">
        <is>
          <t>game/skill_tree.js</t>
        </is>
      </c>
      <c r="D219" s="9" t="inlineStr">
        <is>
          <t>특성 트리 모듈 생성 + 즉시 통합</t>
        </is>
      </c>
      <c r="E219" s="9" t="inlineStr">
        <is>
          <t>3브랜치 × 7노드</t>
        </is>
      </c>
    </row>
    <row r="220">
      <c r="A220" s="8" t="inlineStr">
        <is>
          <t>v1.35</t>
        </is>
      </c>
      <c r="B220" s="8" t="inlineStr">
        <is>
          <t>자동화</t>
        </is>
      </c>
      <c r="C220" s="8" t="inlineStr">
        <is>
          <t>레벨업 훅</t>
        </is>
      </c>
      <c r="D220" s="8" t="inlineStr">
        <is>
          <t>awardPoints(target, 1) 자동 호출</t>
        </is>
      </c>
      <c r="E220" s="8" t="inlineStr">
        <is>
          <t>별도 학습 불필요</t>
        </is>
      </c>
    </row>
    <row r="221">
      <c r="A221" s="9" t="inlineStr">
        <is>
          <t>v1.35</t>
        </is>
      </c>
      <c r="B221" s="9" t="inlineStr">
        <is>
          <t>마스터 노드</t>
        </is>
      </c>
      <c r="C221" s="9" t="inlineStr">
        <is>
          <t>off_master</t>
        </is>
      </c>
      <c r="D221" s="9" t="inlineStr">
        <is>
          <t>전쟁의 화신</t>
        </is>
      </c>
      <c r="E221" s="9" t="inlineStr">
        <is>
          <t>ATK +30 / 크리 +5%</t>
        </is>
      </c>
    </row>
    <row r="222">
      <c r="A222" s="8" t="inlineStr">
        <is>
          <t>v1.35</t>
        </is>
      </c>
      <c r="B222" s="8" t="inlineStr">
        <is>
          <t>마스터 노드</t>
        </is>
      </c>
      <c r="C222" s="8" t="inlineStr">
        <is>
          <t>def_master</t>
        </is>
      </c>
      <c r="D222" s="8" t="inlineStr">
        <is>
          <t>불멸의 의지</t>
        </is>
      </c>
      <c r="E222" s="8" t="inlineStr">
        <is>
          <t>DEF +30 / HP +300</t>
        </is>
      </c>
    </row>
    <row r="223">
      <c r="A223" s="9" t="inlineStr">
        <is>
          <t>v1.35</t>
        </is>
      </c>
      <c r="B223" s="9" t="inlineStr">
        <is>
          <t>마스터 노드</t>
        </is>
      </c>
      <c r="C223" s="9" t="inlineStr">
        <is>
          <t>util_master</t>
        </is>
      </c>
      <c r="D223" s="9" t="inlineStr">
        <is>
          <t>운명의 인도자</t>
        </is>
      </c>
      <c r="E223" s="9" t="inlineStr">
        <is>
          <t>EXP/GOLD +20% / 드롭 +10%</t>
        </is>
      </c>
    </row>
    <row r="224">
      <c r="A224" s="8" t="inlineStr">
        <is>
          <t>v1.34</t>
        </is>
      </c>
      <c r="B224" s="8" t="inlineStr">
        <is>
          <t>신규+통합</t>
        </is>
      </c>
      <c r="C224" s="8" t="inlineStr">
        <is>
          <t>game/mail.js</t>
        </is>
      </c>
      <c r="D224" s="8" t="inlineStr">
        <is>
          <t>우편함 모듈 생성 + 즉시 통합</t>
        </is>
      </c>
      <c r="E224" s="8" t="inlineStr">
        <is>
          <t>시스템/선물 + 첨부 + 만료</t>
        </is>
      </c>
    </row>
    <row r="225">
      <c r="A225" s="9" t="inlineStr">
        <is>
          <t>v1.34</t>
        </is>
      </c>
      <c r="B225" s="9" t="inlineStr">
        <is>
          <t>메일</t>
        </is>
      </c>
      <c r="C225" s="9" t="inlineStr">
        <is>
          <t>시스템 메일</t>
        </is>
      </c>
      <c r="D225" s="9" t="inlineStr">
        <is>
          <t>이벤트 보상/공지</t>
        </is>
      </c>
      <c r="E225" s="9" t="inlineStr">
        <is>
          <t>14일 만료</t>
        </is>
      </c>
    </row>
    <row r="226">
      <c r="A226" s="8" t="inlineStr">
        <is>
          <t>v1.34</t>
        </is>
      </c>
      <c r="B226" s="8" t="inlineStr">
        <is>
          <t>메일</t>
        </is>
      </c>
      <c r="C226" s="8" t="inlineStr">
        <is>
          <t>선물 메일</t>
        </is>
      </c>
      <c r="D226" s="8" t="inlineStr">
        <is>
          <t>플레이어 간 / 일일 10회</t>
        </is>
      </c>
      <c r="E226" s="8" t="inlineStr">
        <is>
          <t>7일 만료, 수수료 2%</t>
        </is>
      </c>
    </row>
    <row r="227">
      <c r="A227" s="9" t="inlineStr">
        <is>
          <t>v1.34</t>
        </is>
      </c>
      <c r="B227" s="9" t="inlineStr">
        <is>
          <t>검증</t>
        </is>
      </c>
      <c r="C227" s="9" t="inlineStr">
        <is>
          <t>발송 시 자원 차감</t>
        </is>
      </c>
      <c r="D227" s="9" t="inlineStr">
        <is>
          <t>수신자 우편함 가득 → 거부</t>
        </is>
      </c>
      <c r="E227" s="9" t="inlineStr">
        <is>
          <t>첨부 미수령 메일 삭제 거부</t>
        </is>
      </c>
    </row>
    <row r="228">
      <c r="A228" s="8" t="inlineStr">
        <is>
          <t>v1.33</t>
        </is>
      </c>
      <c r="B228" s="8" t="inlineStr">
        <is>
          <t>신규+통합</t>
        </is>
      </c>
      <c r="C228" s="8" t="inlineStr">
        <is>
          <t>game/codex.js</t>
        </is>
      </c>
      <c r="D228" s="8" t="inlineStr">
        <is>
          <t>도감 모듈 생성 + 즉시 통합</t>
        </is>
      </c>
      <c r="E228" s="8" t="inlineStr">
        <is>
          <t>5카테고리 × 4마일스톤</t>
        </is>
      </c>
    </row>
    <row r="229">
      <c r="A229" s="9" t="inlineStr">
        <is>
          <t>v1.33</t>
        </is>
      </c>
      <c r="B229" s="9" t="inlineStr">
        <is>
          <t>자동화</t>
        </is>
      </c>
      <c r="C229" s="9" t="inlineStr">
        <is>
          <t>trackQuest 훅</t>
        </is>
      </c>
      <c r="D229" s="9" t="inlineStr">
        <is>
          <t>explore_count → zone 자동 등록</t>
        </is>
      </c>
      <c r="E229" s="9" t="inlineStr">
        <is>
          <t>별도 학습 불필요</t>
        </is>
      </c>
    </row>
    <row r="230">
      <c r="A230" s="8" t="inlineStr">
        <is>
          <t>v1.33</t>
        </is>
      </c>
      <c r="B230" s="8" t="inlineStr">
        <is>
          <t>자동화</t>
        </is>
      </c>
      <c r="C230" s="8" t="inlineStr">
        <is>
          <t>fishing_cast 훅</t>
        </is>
      </c>
      <c r="D230" s="8" t="inlineStr">
        <is>
          <t>어종 자동 등록</t>
        </is>
      </c>
      <c r="E230" s="8" t="inlineStr">
        <is>
          <t>v1.24와 자연 연동</t>
        </is>
      </c>
    </row>
    <row r="231">
      <c r="A231" s="9" t="inlineStr">
        <is>
          <t>v1.33</t>
        </is>
      </c>
      <c r="B231" s="9" t="inlineStr">
        <is>
          <t>보상</t>
        </is>
      </c>
      <c r="C231" s="9" t="inlineStr">
        <is>
          <t>영구 스탯 보너스</t>
        </is>
      </c>
      <c r="D231" s="9" t="inlineStr">
        <is>
          <t>마일스톤 달성 시 누적</t>
        </is>
      </c>
      <c r="E231" s="9" t="inlineStr">
        <is>
          <t>codexBonuses 객체</t>
        </is>
      </c>
    </row>
    <row r="232">
      <c r="A232" s="8" t="inlineStr">
        <is>
          <t>v1.32</t>
        </is>
      </c>
      <c r="B232" s="8" t="inlineStr">
        <is>
          <t>신규+통합</t>
        </is>
      </c>
      <c r="C232" s="8" t="inlineStr">
        <is>
          <t>game/dailyshop.js</t>
        </is>
      </c>
      <c r="D232" s="8" t="inlineStr">
        <is>
          <t>일일 상점 모듈 생성 + 즉시 통합</t>
        </is>
      </c>
      <c r="E232" s="8" t="inlineStr">
        <is>
          <t>15종 풀 / 6슬롯 / 10~50% 할인</t>
        </is>
      </c>
    </row>
    <row r="233">
      <c r="A233" s="9" t="inlineStr">
        <is>
          <t>v1.32</t>
        </is>
      </c>
      <c r="B233" s="9" t="inlineStr">
        <is>
          <t>결정적 랜덤</t>
        </is>
      </c>
      <c r="C233" s="9" t="inlineStr">
        <is>
          <t>날짜 시드</t>
        </is>
      </c>
      <c r="D233" s="9" t="inlineStr">
        <is>
          <t>모든 플레이어 동일 상품</t>
        </is>
      </c>
      <c r="E233" s="9" t="inlineStr">
        <is>
          <t>seededRandom + Fisher-Yates</t>
        </is>
      </c>
    </row>
    <row r="234">
      <c r="A234" s="8" t="inlineStr">
        <is>
          <t>v1.32</t>
        </is>
      </c>
      <c r="B234" s="8" t="inlineStr">
        <is>
          <t>개인 갱신</t>
        </is>
      </c>
      <c r="C234" s="8" t="inlineStr">
        <is>
          <t>30💎</t>
        </is>
      </c>
      <c r="D234" s="8" t="inlineStr">
        <is>
          <t>개인 시드 생성</t>
        </is>
      </c>
      <c r="E234" s="8" t="inlineStr">
        <is>
          <t>구매 기록 초기화</t>
        </is>
      </c>
    </row>
    <row r="235">
      <c r="A235" s="9" t="inlineStr">
        <is>
          <t>v1.31</t>
        </is>
      </c>
      <c r="B235" s="9" t="inlineStr">
        <is>
          <t>통합</t>
        </is>
      </c>
      <c r="C235" s="9" t="inlineStr">
        <is>
          <t>auction → server.js</t>
        </is>
      </c>
      <c r="D235" s="9" t="inlineStr">
        <is>
          <t>6번째 (마지막) 모듈 통합</t>
        </is>
      </c>
      <c r="E235" s="9" t="inlineStr">
        <is>
          <t>자동 정산 + 환불 + 양방향 지급</t>
        </is>
      </c>
    </row>
    <row r="236">
      <c r="A236" s="8" t="inlineStr">
        <is>
          <t>v1.31</t>
        </is>
      </c>
      <c r="B236" s="8" t="inlineStr">
        <is>
          <t>자동화</t>
        </is>
      </c>
      <c r="C236" s="8" t="inlineStr">
        <is>
          <t>tickAuctions</t>
        </is>
      </c>
      <c r="D236" s="8" t="inlineStr">
        <is>
          <t>10초마다 만료 정산</t>
        </is>
      </c>
      <c r="E236" s="8" t="inlineStr">
        <is>
          <t>setInterval 통합</t>
        </is>
      </c>
    </row>
    <row r="237">
      <c r="A237" s="9" t="inlineStr">
        <is>
          <t>v1.31</t>
        </is>
      </c>
      <c r="B237" s="9" t="inlineStr">
        <is>
          <t>소켓</t>
        </is>
      </c>
      <c r="C237" s="9" t="inlineStr">
        <is>
          <t>auction_create</t>
        </is>
      </c>
      <c r="D237" s="9" t="inlineStr">
        <is>
          <t>경매 등록 (등록 수수료 자동 차감)</t>
        </is>
      </c>
      <c r="E237" s="9" t="inlineStr">
        <is>
          <t>3가지 기간</t>
        </is>
      </c>
    </row>
    <row r="238">
      <c r="A238" s="8" t="inlineStr">
        <is>
          <t>v1.31</t>
        </is>
      </c>
      <c r="B238" s="8" t="inlineStr">
        <is>
          <t>소켓</t>
        </is>
      </c>
      <c r="C238" s="8" t="inlineStr">
        <is>
          <t>auction_bid</t>
        </is>
      </c>
      <c r="D238" s="8" t="inlineStr">
        <is>
          <t>입찰 + 이전 입찰자 자동 환불</t>
        </is>
      </c>
      <c r="E238" s="8" t="inlineStr">
        <is>
          <t>스나이핑 방지 연장</t>
        </is>
      </c>
    </row>
    <row r="239">
      <c r="A239" s="9" t="inlineStr">
        <is>
          <t>v1.31</t>
        </is>
      </c>
      <c r="B239" s="9" t="inlineStr">
        <is>
          <t>소켓</t>
        </is>
      </c>
      <c r="C239" s="9" t="inlineStr">
        <is>
          <t>auction_my</t>
        </is>
      </c>
      <c r="D239" s="9" t="inlineStr">
        <is>
          <t>내 등록/입찰 내역 조회</t>
        </is>
      </c>
      <c r="E239" s="9" t="inlineStr">
        <is>
          <t>-</t>
        </is>
      </c>
    </row>
    <row r="240">
      <c r="A240" s="8" t="inlineStr">
        <is>
          <t>v1.31</t>
        </is>
      </c>
      <c r="B240" s="8" t="inlineStr">
        <is>
          <t>마일스톤</t>
        </is>
      </c>
      <c r="C240" s="8" t="inlineStr">
        <is>
          <t>신규 모듈 6/6</t>
        </is>
      </c>
      <c r="D240" s="8" t="inlineStr">
        <is>
          <t>100% 통합 완료</t>
        </is>
      </c>
      <c r="E240" s="8" t="inlineStr">
        <is>
          <t>lottery/fishing/event/season/boss_rush/auction</t>
        </is>
      </c>
    </row>
    <row r="241">
      <c r="A241" s="9" t="inlineStr">
        <is>
          <t>v1.30</t>
        </is>
      </c>
      <c r="B241" s="9" t="inlineStr">
        <is>
          <t>통합</t>
        </is>
      </c>
      <c r="C241" s="9" t="inlineStr">
        <is>
          <t>boss_rush → server.js</t>
        </is>
      </c>
      <c r="D241" s="9" t="inlineStr">
        <is>
          <t>5번째 모듈 통합</t>
        </is>
      </c>
      <c r="E241" s="9" t="inlineStr">
        <is>
          <t>메모리 세션 기반</t>
        </is>
      </c>
    </row>
    <row r="242">
      <c r="A242" s="8" t="inlineStr">
        <is>
          <t>v1.30</t>
        </is>
      </c>
      <c r="B242" s="8" t="inlineStr">
        <is>
          <t>상태</t>
        </is>
      </c>
      <c r="C242" s="8" t="inlineStr">
        <is>
          <t>bossRushSessions</t>
        </is>
      </c>
      <c r="D242" s="8" t="inlineStr">
        <is>
          <t>진행 중 세션 저장</t>
        </is>
      </c>
      <c r="E242" s="8" t="inlineStr">
        <is>
          <t>currentWave/시간 추적</t>
        </is>
      </c>
    </row>
    <row r="243">
      <c r="A243" s="9" t="inlineStr">
        <is>
          <t>v1.30</t>
        </is>
      </c>
      <c r="B243" s="9" t="inlineStr">
        <is>
          <t>상태</t>
        </is>
      </c>
      <c r="C243" s="9" t="inlineStr">
        <is>
          <t>bossRushRanking</t>
        </is>
      </c>
      <c r="D243" s="9" t="inlineStr">
        <is>
          <t>글로벌 랭킹 TOP 100</t>
        </is>
      </c>
      <c r="E243" s="9" t="inlineStr">
        <is>
          <t>웨이브 → 시간 정렬</t>
        </is>
      </c>
    </row>
    <row r="244">
      <c r="A244" s="8" t="inlineStr">
        <is>
          <t>v1.30</t>
        </is>
      </c>
      <c r="B244" s="8" t="inlineStr">
        <is>
          <t>소켓</t>
        </is>
      </c>
      <c r="C244" s="8" t="inlineStr">
        <is>
          <t>boss_rush_enter</t>
        </is>
      </c>
      <c r="D244" s="8" t="inlineStr">
        <is>
          <t>무료/유료/다이아 입장</t>
        </is>
      </c>
      <c r="E244" s="8" t="inlineStr">
        <is>
          <t>동시 1개 세션 제한</t>
        </is>
      </c>
    </row>
    <row r="245">
      <c r="A245" s="9" t="inlineStr">
        <is>
          <t>v1.30</t>
        </is>
      </c>
      <c r="B245" s="9" t="inlineStr">
        <is>
          <t>소켓</t>
        </is>
      </c>
      <c r="C245" s="9" t="inlineStr">
        <is>
          <t>boss_rush_advance</t>
        </is>
      </c>
      <c r="D245" s="9" t="inlineStr">
        <is>
          <t>웨이브 클리어 보고</t>
        </is>
      </c>
      <c r="E245" s="9" t="inlineStr">
        <is>
          <t>시간 초과 검증</t>
        </is>
      </c>
    </row>
    <row r="246">
      <c r="A246" s="8" t="inlineStr">
        <is>
          <t>v1.30</t>
        </is>
      </c>
      <c r="B246" s="8" t="inlineStr">
        <is>
          <t>보상</t>
        </is>
      </c>
      <c r="C246" s="8" t="inlineStr">
        <is>
          <t>풀클리어 보상</t>
        </is>
      </c>
      <c r="D246" s="8" t="inlineStr">
        <is>
          <t>20웨이브 누적</t>
        </is>
      </c>
      <c r="E246" s="8" t="inlineStr">
        <is>
          <t>전 서버 알림</t>
        </is>
      </c>
    </row>
    <row r="247">
      <c r="A247" s="9" t="inlineStr">
        <is>
          <t>v1.29</t>
        </is>
      </c>
      <c r="B247" s="9" t="inlineStr">
        <is>
          <t>통합</t>
        </is>
      </c>
      <c r="C247" s="9" t="inlineStr">
        <is>
          <t>season → server.js</t>
        </is>
      </c>
      <c r="D247" s="9" t="inlineStr">
        <is>
          <t>4번째 모듈 통합</t>
        </is>
      </c>
      <c r="E247" s="9" t="inlineStr">
        <is>
          <t>XP 자동 적립 + 보상 수령</t>
        </is>
      </c>
    </row>
    <row r="248">
      <c r="A248" s="8" t="inlineStr">
        <is>
          <t>v1.29</t>
        </is>
      </c>
      <c r="B248" s="8" t="inlineStr">
        <is>
          <t>자동화</t>
        </is>
      </c>
      <c r="C248" s="8" t="inlineStr">
        <is>
          <t>trackQuest 훅</t>
        </is>
      </c>
      <c r="D248" s="8" t="inlineStr">
        <is>
          <t>PvP/보스/월드보스/던전/제작 → 시즌 XP</t>
        </is>
      </c>
      <c r="E248" s="8" t="inlineStr">
        <is>
          <t>SEASON_XP_MAP 매핑</t>
        </is>
      </c>
    </row>
    <row r="249">
      <c r="A249" s="9" t="inlineStr">
        <is>
          <t>v1.29</t>
        </is>
      </c>
      <c r="B249" s="9" t="inlineStr">
        <is>
          <t>소켓</t>
        </is>
      </c>
      <c r="C249" s="9" t="inlineStr">
        <is>
          <t>season_status</t>
        </is>
      </c>
      <c r="D249" s="9" t="inlineStr">
        <is>
          <t>XP/티어/구매여부/수령내역 조회</t>
        </is>
      </c>
      <c r="E249" s="9" t="inlineStr">
        <is>
          <t>15티어 전체</t>
        </is>
      </c>
    </row>
    <row r="250">
      <c r="A250" s="8" t="inlineStr">
        <is>
          <t>v1.29</t>
        </is>
      </c>
      <c r="B250" s="8" t="inlineStr">
        <is>
          <t>소켓</t>
        </is>
      </c>
      <c r="C250" s="8" t="inlineStr">
        <is>
          <t>season_buy_pass</t>
        </is>
      </c>
      <c r="D250" s="8" t="inlineStr">
        <is>
          <t>프리미엄 패스 구매 (1500💎)</t>
        </is>
      </c>
      <c r="E250" s="8" t="inlineStr">
        <is>
          <t>전 서버 알림</t>
        </is>
      </c>
    </row>
    <row r="251">
      <c r="A251" s="9" t="inlineStr">
        <is>
          <t>v1.29</t>
        </is>
      </c>
      <c r="B251" s="9" t="inlineStr">
        <is>
          <t>소켓</t>
        </is>
      </c>
      <c r="C251" s="9" t="inlineStr">
        <is>
          <t>season_claim</t>
        </is>
      </c>
      <c r="D251" s="9" t="inlineStr">
        <is>
          <t>티어 보상 수령 (free/premium)</t>
        </is>
      </c>
      <c r="E251" s="9" t="inlineStr">
        <is>
          <t>자동 인벤토리 적용</t>
        </is>
      </c>
    </row>
    <row r="252">
      <c r="A252" s="8" t="inlineStr">
        <is>
          <t>v1.28</t>
        </is>
      </c>
      <c r="B252" s="8" t="inlineStr">
        <is>
          <t>통합</t>
        </is>
      </c>
      <c r="C252" s="8" t="inlineStr">
        <is>
          <t>event → server.js</t>
        </is>
      </c>
      <c r="D252" s="8" t="inlineStr">
        <is>
          <t>3번째 모듈 통합</t>
        </is>
      </c>
      <c r="E252" s="8" t="inlineStr">
        <is>
          <t>축제 시스템 활성화</t>
        </is>
      </c>
    </row>
    <row r="253">
      <c r="A253" s="9" t="inlineStr">
        <is>
          <t>v1.28</t>
        </is>
      </c>
      <c r="B253" s="9" t="inlineStr">
        <is>
          <t>소켓</t>
        </is>
      </c>
      <c r="C253" s="9" t="inlineStr">
        <is>
          <t>event_status</t>
        </is>
      </c>
      <c r="D253" s="9" t="inlineStr">
        <is>
          <t>현재 활성 축제 조회</t>
        </is>
      </c>
      <c r="E253" s="9" t="inlineStr">
        <is>
          <t>이름/기간/버프/한정 보상</t>
        </is>
      </c>
    </row>
    <row r="254">
      <c r="A254" s="8" t="inlineStr">
        <is>
          <t>v1.28</t>
        </is>
      </c>
      <c r="B254" s="8" t="inlineStr">
        <is>
          <t>API</t>
        </is>
      </c>
      <c r="C254" s="8" t="inlineStr">
        <is>
          <t>/status JSON</t>
        </is>
      </c>
      <c r="D254" s="8" t="inlineStr">
        <is>
          <t>festival 필드 추가</t>
        </is>
      </c>
      <c r="E254" s="8" t="inlineStr">
        <is>
          <t>대시보드 확인용</t>
        </is>
      </c>
    </row>
    <row r="255">
      <c r="A255" s="9" t="inlineStr">
        <is>
          <t>v1.28</t>
        </is>
      </c>
      <c r="B255" s="9" t="inlineStr">
        <is>
          <t>NPC</t>
        </is>
      </c>
      <c r="C255" s="9" t="inlineStr">
        <is>
          <t>축제 인사</t>
        </is>
      </c>
      <c r="D255" s="9" t="inlineStr">
        <is>
          <t>30% 확률로 NPC가 축제 대사 출력</t>
        </is>
      </c>
      <c r="E255" s="9" t="inlineStr">
        <is>
          <t>spring_blossom 등 5종</t>
        </is>
      </c>
    </row>
    <row r="256">
      <c r="A256" s="8" t="inlineStr">
        <is>
          <t>v1.27</t>
        </is>
      </c>
      <c r="B256" s="8" t="inlineStr">
        <is>
          <t>통합</t>
        </is>
      </c>
      <c r="C256" s="8" t="inlineStr">
        <is>
          <t>fishing → server.js</t>
        </is>
      </c>
      <c r="D256" s="8" t="inlineStr">
        <is>
          <t>require + 소켓 핸들러 3종</t>
        </is>
      </c>
      <c r="E256" s="8" t="inlineStr">
        <is>
          <t>두 번째 모듈 통합</t>
        </is>
      </c>
    </row>
    <row r="257">
      <c r="A257" s="9" t="inlineStr">
        <is>
          <t>v1.27</t>
        </is>
      </c>
      <c r="B257" s="9" t="inlineStr">
        <is>
          <t>소켓</t>
        </is>
      </c>
      <c r="C257" s="9" t="inlineStr">
        <is>
          <t>fishing_status</t>
        </is>
      </c>
      <c r="D257" s="9" t="inlineStr">
        <is>
          <t>지역/낚싯대/미끼/시간대 조회</t>
        </is>
      </c>
      <c r="E257" s="9" t="inlineStr">
        <is>
          <t>클라이언트 표시용</t>
        </is>
      </c>
    </row>
    <row r="258">
      <c r="A258" s="8" t="inlineStr">
        <is>
          <t>v1.27</t>
        </is>
      </c>
      <c r="B258" s="8" t="inlineStr">
        <is>
          <t>소켓</t>
        </is>
      </c>
      <c r="C258" s="8" t="inlineStr">
        <is>
          <t>fishing_cast</t>
        </is>
      </c>
      <c r="D258" s="8" t="inlineStr">
        <is>
          <t>낚시 시도 (지역+낚싯대+미끼 검증)</t>
        </is>
      </c>
      <c r="E258" s="8" t="inlineStr">
        <is>
          <t>전설/신화 → 서버 알림</t>
        </is>
      </c>
    </row>
    <row r="259">
      <c r="A259" s="9" t="inlineStr">
        <is>
          <t>v1.27</t>
        </is>
      </c>
      <c r="B259" s="9" t="inlineStr">
        <is>
          <t>소켓</t>
        </is>
      </c>
      <c r="C259" s="9" t="inlineStr">
        <is>
          <t>fishing_buy_rod</t>
        </is>
      </c>
      <c r="D259" s="9" t="inlineStr">
        <is>
          <t>낚싯대 구매 (골드/다이아)</t>
        </is>
      </c>
      <c r="E259" s="9" t="inlineStr">
        <is>
          <t>5등급 모두</t>
        </is>
      </c>
    </row>
    <row r="260">
      <c r="A260" s="8" t="inlineStr">
        <is>
          <t>v1.26</t>
        </is>
      </c>
      <c r="B260" s="8" t="inlineStr">
        <is>
          <t>통합</t>
        </is>
      </c>
      <c r="C260" s="8" t="inlineStr">
        <is>
          <t>lottery → server.js</t>
        </is>
      </c>
      <c r="D260" s="8" t="inlineStr">
        <is>
          <t>require + 소켓 핸들러 3종</t>
        </is>
      </c>
      <c r="E260" s="8" t="inlineStr">
        <is>
          <t>첫 모듈 통합 마일스톤</t>
        </is>
      </c>
    </row>
    <row r="261">
      <c r="A261" s="9" t="inlineStr">
        <is>
          <t>v1.26</t>
        </is>
      </c>
      <c r="B261" s="9" t="inlineStr">
        <is>
          <t>소켓 이벤트</t>
        </is>
      </c>
      <c r="C261" s="9" t="inlineStr">
        <is>
          <t>lottery_status</t>
        </is>
      </c>
      <c r="D261" s="9" t="inlineStr">
        <is>
          <t>상태/가격/상품 풀 조회</t>
        </is>
      </c>
      <c r="E261" s="9" t="inlineStr">
        <is>
          <t>클라이언트 표시용</t>
        </is>
      </c>
    </row>
    <row r="262">
      <c r="A262" s="8" t="inlineStr">
        <is>
          <t>v1.26</t>
        </is>
      </c>
      <c r="B262" s="8" t="inlineStr">
        <is>
          <t>소켓 이벤트</t>
        </is>
      </c>
      <c r="C262" s="8" t="inlineStr">
        <is>
          <t>lottery_free_spin</t>
        </is>
      </c>
      <c r="D262" s="8" t="inlineStr">
        <is>
          <t>매일 무료 1회 스핀</t>
        </is>
      </c>
      <c r="E262" s="8" t="inlineStr">
        <is>
          <t>자정 초기화</t>
        </is>
      </c>
    </row>
    <row r="263">
      <c r="A263" s="9" t="inlineStr">
        <is>
          <t>v1.26</t>
        </is>
      </c>
      <c r="B263" s="9" t="inlineStr">
        <is>
          <t>소켓 이벤트</t>
        </is>
      </c>
      <c r="C263" s="9" t="inlineStr">
        <is>
          <t>lottery_paid_spin</t>
        </is>
      </c>
      <c r="D263" s="9" t="inlineStr">
        <is>
          <t>유료 1회 / 10연속</t>
        </is>
      </c>
      <c r="E263" s="9" t="inlineStr">
        <is>
          <t>count: 1 또는 10</t>
        </is>
      </c>
    </row>
    <row r="264">
      <c r="A264" s="8" t="inlineStr">
        <is>
          <t>v1.25</t>
        </is>
      </c>
      <c r="B264" s="8" t="inlineStr">
        <is>
          <t>경매장</t>
        </is>
      </c>
      <c r="C264" s="8" t="inlineStr">
        <is>
          <t>game/auction.js 신규</t>
        </is>
      </c>
      <c r="D264" s="8" t="inlineStr">
        <is>
          <t>입찰식 / 3기간 / 5% 인상 / 스나이핑 방지</t>
        </is>
      </c>
      <c r="E264" s="8" t="inlineStr">
        <is>
          <t>등록 2% + 낙찰 5%</t>
        </is>
      </c>
    </row>
    <row r="265">
      <c r="A265" s="9" t="inlineStr">
        <is>
          <t>v1.25</t>
        </is>
      </c>
      <c r="B265" s="9" t="inlineStr">
        <is>
          <t>경매장</t>
        </is>
      </c>
      <c r="C265" s="9" t="inlineStr">
        <is>
          <t>활성 한도</t>
        </is>
      </c>
      <c r="D265" s="9" t="inlineStr">
        <is>
          <t>플레이어당 10개</t>
        </is>
      </c>
      <c r="E265" s="9" t="inlineStr">
        <is>
          <t>자기 입찰 금지</t>
        </is>
      </c>
    </row>
    <row r="266">
      <c r="A266" s="8" t="inlineStr">
        <is>
          <t>v1.24</t>
        </is>
      </c>
      <c r="B266" s="8" t="inlineStr">
        <is>
          <t>낚시</t>
        </is>
      </c>
      <c r="C266" s="8" t="inlineStr">
        <is>
          <t>game/fishing.js 신규</t>
        </is>
      </c>
      <c r="D266" s="8" t="inlineStr">
        <is>
          <t>11종 어종 / 5등급 낚싯대 / 4종 미끼</t>
        </is>
      </c>
      <c r="E266" s="8" t="inlineStr">
        <is>
          <t>신화 크라켄 = 20000G + 칭호</t>
        </is>
      </c>
    </row>
    <row r="267">
      <c r="A267" s="9" t="inlineStr">
        <is>
          <t>v1.24</t>
        </is>
      </c>
      <c r="B267" s="9" t="inlineStr">
        <is>
          <t>낚시</t>
        </is>
      </c>
      <c r="C267" s="9" t="inlineStr">
        <is>
          <t>전설의 비단잉어</t>
        </is>
      </c>
      <c r="D267" s="9" t="inlineStr">
        <is>
          <t>드래곤 낚싯대 + 가중치 1</t>
        </is>
      </c>
      <c r="E267" s="9" t="inlineStr">
        <is>
          <t>5000G + 평생 행운 +5%</t>
        </is>
      </c>
    </row>
    <row r="268">
      <c r="A268" s="8" t="inlineStr">
        <is>
          <t>v1.23</t>
        </is>
      </c>
      <c r="B268" s="8" t="inlineStr">
        <is>
          <t>보스 러시</t>
        </is>
      </c>
      <c r="C268" s="8" t="inlineStr">
        <is>
          <t>game/boss_rush.js 신규</t>
        </is>
      </c>
      <c r="D268" s="8" t="inlineStr">
        <is>
          <t>20웨이브 / HP ×1.35 스케일링</t>
        </is>
      </c>
      <c r="E268" s="8" t="inlineStr">
        <is>
          <t>최종 보상: 200💎 + 용재료 ×5</t>
        </is>
      </c>
    </row>
    <row r="269">
      <c r="A269" s="9" t="inlineStr">
        <is>
          <t>v1.23</t>
        </is>
      </c>
      <c r="B269" s="9" t="inlineStr">
        <is>
          <t>보스 러시</t>
        </is>
      </c>
      <c r="C269" s="9" t="inlineStr">
        <is>
          <t>입장</t>
        </is>
      </c>
      <c r="D269" s="9" t="inlineStr">
        <is>
          <t>매일 무료 3회 / 1000G / 30💎</t>
        </is>
      </c>
      <c r="E269" s="9" t="inlineStr">
        <is>
          <t>랭킹 시스템</t>
        </is>
      </c>
    </row>
    <row r="270">
      <c r="A270" s="8" t="inlineStr">
        <is>
          <t>v1.23</t>
        </is>
      </c>
      <c r="B270" s="8" t="inlineStr">
        <is>
          <t>보스 러시</t>
        </is>
      </c>
      <c r="C270" s="8" t="inlineStr">
        <is>
          <t>챔피언 보상</t>
        </is>
      </c>
      <c r="D270" s="8" t="inlineStr">
        <is>
          <t>1위: 500💎 + 칭호 / 2위: 300💎 / 3위: 200💎</t>
        </is>
      </c>
      <c r="E270" s="8" t="inlineStr">
        <is>
          <t>-</t>
        </is>
      </c>
    </row>
    <row r="271">
      <c r="A271" s="9" t="inlineStr">
        <is>
          <t>v1.22</t>
        </is>
      </c>
      <c r="B271" s="9" t="inlineStr">
        <is>
          <t>행운의 룰렛</t>
        </is>
      </c>
      <c r="C271" s="9" t="inlineStr">
        <is>
          <t>game/lottery.js 신규</t>
        </is>
      </c>
      <c r="D271" s="9" t="inlineStr">
        <is>
          <t>10종 보상 / 가중치 1000</t>
        </is>
      </c>
      <c r="E271" s="9" t="inlineStr">
        <is>
          <t>매일 무료 1회 + 유료</t>
        </is>
      </c>
    </row>
    <row r="272">
      <c r="A272" s="8" t="inlineStr">
        <is>
          <t>v1.22</t>
        </is>
      </c>
      <c r="B272" s="8" t="inlineStr">
        <is>
          <t>룰렛 (전설)</t>
        </is>
      </c>
      <c r="C272" s="8" t="inlineStr">
        <is>
          <t>영웅 장비 상자</t>
        </is>
      </c>
      <c r="D272" s="8" t="inlineStr">
        <is>
          <t>확률 0.2% (가장 희귀)</t>
        </is>
      </c>
      <c r="E272" s="8" t="inlineStr">
        <is>
          <t>전설 보상</t>
        </is>
      </c>
    </row>
    <row r="273">
      <c r="A273" s="9" t="inlineStr">
        <is>
          <t>v1.22</t>
        </is>
      </c>
      <c r="B273" s="9" t="inlineStr">
        <is>
          <t>룰렛 (전설)</t>
        </is>
      </c>
      <c r="C273" s="9" t="inlineStr">
        <is>
          <t>200 다이아</t>
        </is>
      </c>
      <c r="D273" s="9" t="inlineStr">
        <is>
          <t>확률 0.8%</t>
        </is>
      </c>
      <c r="E273" s="9" t="inlineStr">
        <is>
          <t>잭팟</t>
        </is>
      </c>
    </row>
    <row r="274">
      <c r="A274" s="8" t="inlineStr">
        <is>
          <t>v1.21</t>
        </is>
      </c>
      <c r="B274" s="8" t="inlineStr">
        <is>
          <t>축제 이벤트</t>
        </is>
      </c>
      <c r="C274" s="8" t="inlineStr">
        <is>
          <t>신년 축제</t>
        </is>
      </c>
      <c r="D274" s="8" t="inlineStr">
        <is>
          <t>1/1 ~ 1/7</t>
        </is>
      </c>
      <c r="E274" s="8" t="inlineStr">
        <is>
          <t>골드 +50% / EXP +30%</t>
        </is>
      </c>
    </row>
    <row r="275">
      <c r="A275" s="9" t="inlineStr">
        <is>
          <t>v1.21</t>
        </is>
      </c>
      <c r="B275" s="9" t="inlineStr">
        <is>
          <t>축제 이벤트</t>
        </is>
      </c>
      <c r="C275" s="9" t="inlineStr">
        <is>
          <t>봄꽃 축제</t>
        </is>
      </c>
      <c r="D275" s="9" t="inlineStr">
        <is>
          <t>4/1 ~ 4/14</t>
        </is>
      </c>
      <c r="E275" s="9" t="inlineStr">
        <is>
          <t>HP재생 +30% / 드롭 +20%</t>
        </is>
      </c>
    </row>
    <row r="276">
      <c r="A276" s="8" t="inlineStr">
        <is>
          <t>v1.21</t>
        </is>
      </c>
      <c r="B276" s="8" t="inlineStr">
        <is>
          <t>축제 이벤트</t>
        </is>
      </c>
      <c r="C276" s="8" t="inlineStr">
        <is>
          <t>한여름 밤의 축제</t>
        </is>
      </c>
      <c r="D276" s="8" t="inlineStr">
        <is>
          <t>7/15 ~ 8/15</t>
        </is>
      </c>
      <c r="E276" s="8" t="inlineStr">
        <is>
          <t>화염 +30% / PvP 보상 +50%</t>
        </is>
      </c>
    </row>
    <row r="277">
      <c r="A277" s="9" t="inlineStr">
        <is>
          <t>v1.21</t>
        </is>
      </c>
      <c r="B277" s="9" t="inlineStr">
        <is>
          <t>축제 이벤트</t>
        </is>
      </c>
      <c r="C277" s="9" t="inlineStr">
        <is>
          <t>할로윈 축제</t>
        </is>
      </c>
      <c r="D277" s="9" t="inlineStr">
        <is>
          <t>10/25 ~ 11/1</t>
        </is>
      </c>
      <c r="E277" s="9" t="inlineStr">
        <is>
          <t>크리 +10% / 언데드 +50%</t>
        </is>
      </c>
    </row>
    <row r="278">
      <c r="A278" s="8" t="inlineStr">
        <is>
          <t>v1.21</t>
        </is>
      </c>
      <c r="B278" s="8" t="inlineStr">
        <is>
          <t>축제 이벤트</t>
        </is>
      </c>
      <c r="C278" s="8" t="inlineStr">
        <is>
          <t>겨울 축제</t>
        </is>
      </c>
      <c r="D278" s="8" t="inlineStr">
        <is>
          <t>12/20 ~ 12/31</t>
        </is>
      </c>
      <c r="E278" s="8" t="inlineStr">
        <is>
          <t>골드 +30% / EXP +30% / 드롭 +30%</t>
        </is>
      </c>
    </row>
    <row r="279">
      <c r="A279" s="9" t="inlineStr">
        <is>
          <t>v1.20</t>
        </is>
      </c>
      <c r="B279" s="9" t="inlineStr">
        <is>
          <t>시즌 패스</t>
        </is>
      </c>
      <c r="C279" s="9" t="inlineStr">
        <is>
          <t>game/season.js 신규</t>
        </is>
      </c>
      <c r="D279" s="9" t="inlineStr">
        <is>
          <t>15티어 / 30일 / 무료+프리미엄</t>
        </is>
      </c>
      <c r="E279" s="9" t="inlineStr">
        <is>
          <t>만렙 보상: 태초 반지 + 시즌 칭호</t>
        </is>
      </c>
    </row>
    <row r="280">
      <c r="A280" s="8" t="inlineStr">
        <is>
          <t>v1.20</t>
        </is>
      </c>
      <c r="B280" s="8" t="inlineStr">
        <is>
          <t>시즌 패스</t>
        </is>
      </c>
      <c r="C280" s="8" t="inlineStr">
        <is>
          <t>XP 획득 7종</t>
        </is>
      </c>
      <c r="D280" s="8" t="inlineStr">
        <is>
          <t>퀘/보스/PvP/월드보스/던전/제작</t>
        </is>
      </c>
      <c r="E280" s="8" t="inlineStr">
        <is>
          <t>일일 +200 ~ 월드보스 +500</t>
        </is>
      </c>
    </row>
    <row r="281">
      <c r="A281" s="9" t="inlineStr">
        <is>
          <t>v1.20</t>
        </is>
      </c>
      <c r="B281" s="9" t="inlineStr">
        <is>
          <t>시즌 패스</t>
        </is>
      </c>
      <c r="C281" s="9" t="inlineStr">
        <is>
          <t>프리미엄 가격</t>
        </is>
      </c>
      <c r="D281" s="9" t="inlineStr">
        <is>
          <t>1500 다이아</t>
        </is>
      </c>
      <c r="E281" s="9" t="inlineStr">
        <is>
          <t>시즌 당 1회</t>
        </is>
      </c>
    </row>
    <row r="282">
      <c r="A282" s="8" t="inlineStr">
        <is>
          <t>v1.19</t>
        </is>
      </c>
      <c r="B282" s="8" t="inlineStr">
        <is>
          <t>무료 다이아</t>
        </is>
      </c>
      <c r="C282" s="8" t="inlineStr">
        <is>
          <t>Lv.40 달성</t>
        </is>
      </c>
      <c r="D282" s="8" t="inlineStr">
        <is>
          <t>각성기 해금 마일스톤</t>
        </is>
      </c>
      <c r="E282" s="8" t="inlineStr">
        <is>
          <t>150💎</t>
        </is>
      </c>
    </row>
    <row r="283">
      <c r="A283" s="9" t="inlineStr">
        <is>
          <t>v1.19</t>
        </is>
      </c>
      <c r="B283" s="9" t="inlineStr">
        <is>
          <t>무료 다이아</t>
        </is>
      </c>
      <c r="C283" s="9" t="inlineStr">
        <is>
          <t>Lv.50 달성</t>
        </is>
      </c>
      <c r="D283" s="9" t="inlineStr">
        <is>
          <t>환생 가능 마일스톤</t>
        </is>
      </c>
      <c r="E283" s="9" t="inlineStr">
        <is>
          <t>250💎</t>
        </is>
      </c>
    </row>
    <row r="284">
      <c r="A284" s="8" t="inlineStr">
        <is>
          <t>v1.19</t>
        </is>
      </c>
      <c r="B284" s="8" t="inlineStr">
        <is>
          <t>무료 다이아</t>
        </is>
      </c>
      <c r="C284" s="8" t="inlineStr">
        <is>
          <t>첫 환생</t>
        </is>
      </c>
      <c r="D284" s="8" t="inlineStr">
        <is>
          <t>prestige 1차</t>
        </is>
      </c>
      <c r="E284" s="8" t="inlineStr">
        <is>
          <t>500💎</t>
        </is>
      </c>
    </row>
    <row r="285">
      <c r="A285" s="9" t="inlineStr">
        <is>
          <t>v1.19</t>
        </is>
      </c>
      <c r="B285" s="9" t="inlineStr">
        <is>
          <t>무료 다이아</t>
        </is>
      </c>
      <c r="C285" s="9" t="inlineStr">
        <is>
          <t>첫 월드 보스</t>
        </is>
      </c>
      <c r="D285" s="9" t="inlineStr">
        <is>
          <t>월드 보스 처치 보너스</t>
        </is>
      </c>
      <c r="E285" s="9" t="inlineStr">
        <is>
          <t>100💎</t>
        </is>
      </c>
    </row>
    <row r="286">
      <c r="A286" s="8" t="inlineStr">
        <is>
          <t>v1.19</t>
        </is>
      </c>
      <c r="B286" s="8" t="inlineStr">
        <is>
          <t>무료 다이아</t>
        </is>
      </c>
      <c r="C286" s="8" t="inlineStr">
        <is>
          <t>업적 50개</t>
        </is>
      </c>
      <c r="D286" s="8" t="inlineStr">
        <is>
          <t>업적 마일스톤</t>
        </is>
      </c>
      <c r="E286" s="8" t="inlineStr">
        <is>
          <t>200💎</t>
        </is>
      </c>
    </row>
    <row r="287">
      <c r="A287" s="9" t="inlineStr">
        <is>
          <t>v1.18</t>
        </is>
      </c>
      <c r="B287" s="9" t="inlineStr">
        <is>
          <t>상점 (스킨)</t>
        </is>
      </c>
      <c r="C287" s="9" t="inlineStr">
        <is>
          <t>불사조 스킨</t>
        </is>
      </c>
      <c r="D287" s="9" t="inlineStr">
        <is>
          <t>1200 다이아</t>
        </is>
      </c>
      <c r="E287" s="9" t="inlineStr">
        <is>
          <t>불사조 깃털 이펙트 (영구)</t>
        </is>
      </c>
    </row>
    <row r="288">
      <c r="A288" s="8" t="inlineStr">
        <is>
          <t>v1.18</t>
        </is>
      </c>
      <c r="B288" s="8" t="inlineStr">
        <is>
          <t>상점 (스킨)</t>
        </is>
      </c>
      <c r="C288" s="8" t="inlineStr">
        <is>
          <t>폭풍 스킨</t>
        </is>
      </c>
      <c r="D288" s="8" t="inlineStr">
        <is>
          <t>1200 다이아</t>
        </is>
      </c>
      <c r="E288" s="8" t="inlineStr">
        <is>
          <t>번개 오라 이펙트 (영구)</t>
        </is>
      </c>
    </row>
    <row r="289">
      <c r="A289" s="9" t="inlineStr">
        <is>
          <t>v1.18</t>
        </is>
      </c>
      <c r="B289" s="9" t="inlineStr">
        <is>
          <t>상점 (편의)</t>
        </is>
      </c>
      <c r="C289" s="9" t="inlineStr">
        <is>
          <t>프리미엄 자동물약</t>
        </is>
      </c>
      <c r="D289" s="9" t="inlineStr">
        <is>
          <t>500 다이아</t>
        </is>
      </c>
      <c r="E289" s="9" t="inlineStr">
        <is>
          <t>24시간 자동물약 무한</t>
        </is>
      </c>
    </row>
    <row r="290">
      <c r="A290" s="8" t="inlineStr">
        <is>
          <t>v1.18</t>
        </is>
      </c>
      <c r="B290" s="8" t="inlineStr">
        <is>
          <t>상점 (상자)</t>
        </is>
      </c>
      <c r="C290" s="8" t="inlineStr">
        <is>
          <t>프리미엄 보물 상자</t>
        </is>
      </c>
      <c r="D290" s="8" t="inlineStr">
        <is>
          <t>300 다이아</t>
        </is>
      </c>
      <c r="E290" s="8" t="inlineStr">
        <is>
          <t>전설 장비 확정 + 다이아</t>
        </is>
      </c>
    </row>
    <row r="291">
      <c r="A291" s="9" t="inlineStr">
        <is>
          <t>v1.18</t>
        </is>
      </c>
      <c r="B291" s="9" t="inlineStr">
        <is>
          <t>상점 (재료)</t>
        </is>
      </c>
      <c r="C291" s="9" t="inlineStr">
        <is>
          <t>전설 재료 패키지</t>
        </is>
      </c>
      <c r="D291" s="9" t="inlineStr">
        <is>
          <t>600 다이아</t>
        </is>
      </c>
      <c r="E291" s="9" t="inlineStr">
        <is>
          <t>용재료×10 + 영혼석×20 + 마법재료×20</t>
        </is>
      </c>
    </row>
    <row r="292">
      <c r="A292" s="8" t="inlineStr">
        <is>
          <t>v1.17</t>
        </is>
      </c>
      <c r="B292" s="8" t="inlineStr">
        <is>
          <t>혈맹 Lv.6</t>
        </is>
      </c>
      <c r="C292" s="8" t="inlineStr">
        <is>
          <t>혈맹의 분노</t>
        </is>
      </c>
      <c r="D292" s="8" t="inlineStr">
        <is>
          <t>크리티컬 +5%</t>
        </is>
      </c>
      <c r="E292" s="8" t="inlineStr">
        <is>
          <t>60명 정원</t>
        </is>
      </c>
    </row>
    <row r="293">
      <c r="A293" s="9" t="inlineStr">
        <is>
          <t>v1.17</t>
        </is>
      </c>
      <c r="B293" s="9" t="inlineStr">
        <is>
          <t>혈맹 Lv.7</t>
        </is>
      </c>
      <c r="C293" s="9" t="inlineStr">
        <is>
          <t>혈맹의 신속</t>
        </is>
      </c>
      <c r="D293" s="9" t="inlineStr">
        <is>
          <t>이동속도 +10%</t>
        </is>
      </c>
      <c r="E293" s="9" t="inlineStr">
        <is>
          <t>70명 정원</t>
        </is>
      </c>
    </row>
    <row r="294">
      <c r="A294" s="8" t="inlineStr">
        <is>
          <t>v1.17</t>
        </is>
      </c>
      <c r="B294" s="8" t="inlineStr">
        <is>
          <t>혈맹 Lv.8</t>
        </is>
      </c>
      <c r="C294" s="8" t="inlineStr">
        <is>
          <t>혈맹의 회복</t>
        </is>
      </c>
      <c r="D294" s="8" t="inlineStr">
        <is>
          <t>HP 재생 +50%</t>
        </is>
      </c>
      <c r="E294" s="8" t="inlineStr">
        <is>
          <t>80명 정원</t>
        </is>
      </c>
    </row>
    <row r="295">
      <c r="A295" s="9" t="inlineStr">
        <is>
          <t>v1.17</t>
        </is>
      </c>
      <c r="B295" s="9" t="inlineStr">
        <is>
          <t>혈맹 Lv.9</t>
        </is>
      </c>
      <c r="C295" s="9" t="inlineStr">
        <is>
          <t>혈맹의 운명</t>
        </is>
      </c>
      <c r="D295" s="9" t="inlineStr">
        <is>
          <t>회피 +5%</t>
        </is>
      </c>
      <c r="E295" s="9" t="inlineStr">
        <is>
          <t>90명 정원</t>
        </is>
      </c>
    </row>
    <row r="296">
      <c r="A296" s="8" t="inlineStr">
        <is>
          <t>v1.17</t>
        </is>
      </c>
      <c r="B296" s="8" t="inlineStr">
        <is>
          <t>혈맹 Lv.10</t>
        </is>
      </c>
      <c r="C296" s="8" t="inlineStr">
        <is>
          <t>혈맹의 전설</t>
        </is>
      </c>
      <c r="D296" s="8" t="inlineStr">
        <is>
          <t>전 스탯 +5%</t>
        </is>
      </c>
      <c r="E296" s="8" t="inlineStr">
        <is>
          <t>100명 정원 — 최종</t>
        </is>
      </c>
    </row>
    <row r="297">
      <c r="A297" s="9" t="inlineStr">
        <is>
          <t>v1.16</t>
        </is>
      </c>
      <c r="B297" s="9" t="inlineStr">
        <is>
          <t>신규 NPC</t>
        </is>
      </c>
      <c r="C297" s="9" t="inlineStr">
        <is>
          <t>점쟁이</t>
        </is>
      </c>
      <c r="D297" s="9" t="inlineStr">
        <is>
          <t>운세 / 행운 버프 (밤·카르마 반응)</t>
        </is>
      </c>
      <c r="E297" s="9" t="inlineStr">
        <is>
          <t>상황 대사 4종</t>
        </is>
      </c>
    </row>
    <row r="298">
      <c r="A298" s="8" t="inlineStr">
        <is>
          <t>v1.16</t>
        </is>
      </c>
      <c r="B298" s="8" t="inlineStr">
        <is>
          <t>신규 NPC</t>
        </is>
      </c>
      <c r="C298" s="8" t="inlineStr">
        <is>
          <t>감정사</t>
        </is>
      </c>
      <c r="D298" s="8" t="inlineStr">
        <is>
          <t>미감정 장비 감정 (Lv.30+ 특수)</t>
        </is>
      </c>
      <c r="E298" s="8" t="inlineStr">
        <is>
          <t>상황 대사 4종</t>
        </is>
      </c>
    </row>
    <row r="299">
      <c r="A299" s="9" t="inlineStr">
        <is>
          <t>v1.16</t>
        </is>
      </c>
      <c r="B299" s="9" t="inlineStr">
        <is>
          <t>신규 NPC</t>
        </is>
      </c>
      <c r="C299" s="9" t="inlineStr">
        <is>
          <t>수집가</t>
        </is>
      </c>
      <c r="D299" s="9" t="inlineStr">
        <is>
          <t>희귀 아이템 매입 (골드 50000+ 특별)</t>
        </is>
      </c>
      <c r="E299" s="9" t="inlineStr">
        <is>
          <t>상황 대사 4종</t>
        </is>
      </c>
    </row>
    <row r="300">
      <c r="A300" s="8" t="inlineStr">
        <is>
          <t>v1.15</t>
        </is>
      </c>
      <c r="B300" s="8" t="inlineStr">
        <is>
          <t>각성기 (어쌔신)</t>
        </is>
      </c>
      <c r="C300" s="8" t="inlineStr">
        <is>
          <t>천 개의 칼날</t>
        </is>
      </c>
      <c r="D300" s="8" t="inlineStr">
        <is>
          <t>3.5배 × 7타 / 광역 / 쿨150초</t>
        </is>
      </c>
      <c r="E300" s="8" t="inlineStr">
        <is>
          <t>Lv.40</t>
        </is>
      </c>
    </row>
    <row r="301">
      <c r="A301" s="9" t="inlineStr">
        <is>
          <t>v1.15</t>
        </is>
      </c>
      <c r="B301" s="9" t="inlineStr">
        <is>
          <t>각성기 (워리어)</t>
        </is>
      </c>
      <c r="C301" s="9" t="inlineStr">
        <is>
          <t>대지 가르기</t>
        </is>
      </c>
      <c r="D301" s="9" t="inlineStr">
        <is>
          <t>6.0배 / 광역 5범위 / 스턴 2초</t>
        </is>
      </c>
      <c r="E301" s="9" t="inlineStr">
        <is>
          <t>Lv.40</t>
        </is>
      </c>
    </row>
    <row r="302">
      <c r="A302" s="8" t="inlineStr">
        <is>
          <t>v1.15</t>
        </is>
      </c>
      <c r="B302" s="8" t="inlineStr">
        <is>
          <t>각성기 (나이트)</t>
        </is>
      </c>
      <c r="C302" s="8" t="inlineStr">
        <is>
          <t>불멸의 수호자</t>
        </is>
      </c>
      <c r="D302" s="8" t="inlineStr">
        <is>
          <t>피해 90% 감소 / 도발 / 10초</t>
        </is>
      </c>
      <c r="E302" s="8" t="inlineStr">
        <is>
          <t>Lv.40</t>
        </is>
      </c>
    </row>
    <row r="303">
      <c r="A303" s="9" t="inlineStr">
        <is>
          <t>v1.15</t>
        </is>
      </c>
      <c r="B303" s="9" t="inlineStr">
        <is>
          <t>각성기 (메이지)</t>
        </is>
      </c>
      <c r="C303" s="9" t="inlineStr">
        <is>
          <t>시간 정지</t>
        </is>
      </c>
      <c r="D303" s="9" t="inlineStr">
        <is>
          <t>12.0배 / 광역 6범위 / 슬로우 90%</t>
        </is>
      </c>
      <c r="E303" s="9" t="inlineStr">
        <is>
          <t>Lv.40</t>
        </is>
      </c>
    </row>
    <row r="304">
      <c r="A304" s="8" t="inlineStr">
        <is>
          <t>v1.15</t>
        </is>
      </c>
      <c r="B304" s="8" t="inlineStr">
        <is>
          <t>각성기 (클레릭)</t>
        </is>
      </c>
      <c r="C304" s="8" t="inlineStr">
        <is>
          <t>신의 은총</t>
        </is>
      </c>
      <c r="D304" s="8" t="inlineStr">
        <is>
          <t>HP 100% 회복 / 전스탯 +50%</t>
        </is>
      </c>
      <c r="E304" s="8" t="inlineStr">
        <is>
          <t>Lv.40</t>
        </is>
      </c>
    </row>
    <row r="305">
      <c r="A305" s="9" t="inlineStr">
        <is>
          <t>v1.14</t>
        </is>
      </c>
      <c r="B305" s="9" t="inlineStr">
        <is>
          <t>업적</t>
        </is>
      </c>
      <c r="C305" s="9" t="inlineStr">
        <is>
          <t>폭풍 정복자</t>
        </is>
      </c>
      <c r="D305" s="9" t="inlineStr">
        <is>
          <t>폭풍의 거인 처치</t>
        </is>
      </c>
      <c r="E305" s="9" t="inlineStr">
        <is>
          <t>10,000G + 150다이아</t>
        </is>
      </c>
    </row>
    <row r="306">
      <c r="A306" s="8" t="inlineStr">
        <is>
          <t>v1.14</t>
        </is>
      </c>
      <c r="B306" s="8" t="inlineStr">
        <is>
          <t>업적</t>
        </is>
      </c>
      <c r="C306" s="8" t="inlineStr">
        <is>
          <t>연금술사</t>
        </is>
      </c>
      <c r="D306" s="8" t="inlineStr">
        <is>
          <t>엘릭서 10회 제작</t>
        </is>
      </c>
      <c r="E306" s="8" t="inlineStr">
        <is>
          <t>5,000G + 80다이아</t>
        </is>
      </c>
    </row>
    <row r="307">
      <c r="A307" s="9" t="inlineStr">
        <is>
          <t>v1.14</t>
        </is>
      </c>
      <c r="B307" s="9" t="inlineStr">
        <is>
          <t>업적</t>
        </is>
      </c>
      <c r="C307" s="9" t="inlineStr">
        <is>
          <t>그림자 정복자</t>
        </is>
      </c>
      <c r="D307" s="9" t="inlineStr">
        <is>
          <t>그림자 미궁 클리어</t>
        </is>
      </c>
      <c r="E307" s="9" t="inlineStr">
        <is>
          <t>8,000G + 120다이아</t>
        </is>
      </c>
    </row>
    <row r="308">
      <c r="A308" s="8" t="inlineStr">
        <is>
          <t>v1.14</t>
        </is>
      </c>
      <c r="B308" s="8" t="inlineStr">
        <is>
          <t>업적</t>
        </is>
      </c>
      <c r="C308" s="8" t="inlineStr">
        <is>
          <t>전설의 동반자</t>
        </is>
      </c>
      <c r="D308" s="8" t="inlineStr">
        <is>
          <t>전설급 펫 진화</t>
        </is>
      </c>
      <c r="E308" s="8" t="inlineStr">
        <is>
          <t>6,000G + 100다이아</t>
        </is>
      </c>
    </row>
    <row r="309">
      <c r="A309" s="9" t="inlineStr">
        <is>
          <t>v1.14</t>
        </is>
      </c>
      <c r="B309" s="9" t="inlineStr">
        <is>
          <t>업적</t>
        </is>
      </c>
      <c r="C309" s="9" t="inlineStr">
        <is>
          <t>이국의 상인</t>
        </is>
      </c>
      <c r="D309" s="9" t="inlineStr">
        <is>
          <t>사치품 교역 5회</t>
        </is>
      </c>
      <c r="E309" s="9" t="inlineStr">
        <is>
          <t>4,000G + 60다이아</t>
        </is>
      </c>
    </row>
    <row r="310">
      <c r="A310" s="8" t="inlineStr">
        <is>
          <t>v1.13</t>
        </is>
      </c>
      <c r="B310" s="8" t="inlineStr">
        <is>
          <t>월드 보스</t>
        </is>
      </c>
      <c r="C310" s="8" t="inlineStr">
        <is>
          <t>폭풍의 거인</t>
        </is>
      </c>
      <c r="D310" s="8" t="inlineStr">
        <is>
          <t>HP 100,000 / ATK 140 / DEF 90</t>
        </is>
      </c>
      <c r="E310" s="8" t="inlineStr">
        <is>
          <t>EXP 10000 + 6000G</t>
        </is>
      </c>
    </row>
    <row r="311">
      <c r="A311" s="9" t="inlineStr">
        <is>
          <t>v1.13</t>
        </is>
      </c>
      <c r="B311" s="9" t="inlineStr">
        <is>
          <t>월드 보스</t>
        </is>
      </c>
      <c r="C311" s="9" t="inlineStr">
        <is>
          <t>시간의 수호자</t>
        </is>
      </c>
      <c r="D311" s="9" t="inlineStr">
        <is>
          <t>HP 70,000 / ATK 170 / DEF 60</t>
        </is>
      </c>
      <c r="E311" s="9" t="inlineStr">
        <is>
          <t>EXP 9000 + 7000G</t>
        </is>
      </c>
    </row>
    <row r="312">
      <c r="A312" s="8" t="inlineStr">
        <is>
          <t>v1.13</t>
        </is>
      </c>
      <c r="B312" s="8" t="inlineStr">
        <is>
          <t>교역품</t>
        </is>
      </c>
      <c r="C312" s="8" t="inlineStr">
        <is>
          <t>불사조 깃털 / 공허의 정수 / 천공의 비단</t>
        </is>
      </c>
      <c r="D312" s="8" t="inlineStr">
        <is>
          <t>이국의 사치품 3종</t>
        </is>
      </c>
      <c r="E312" s="8" t="inlineStr">
        <is>
          <t>기본가 600~900G</t>
        </is>
      </c>
    </row>
    <row r="313">
      <c r="A313" s="9" t="inlineStr">
        <is>
          <t>v1.12</t>
        </is>
      </c>
      <c r="B313" s="9" t="inlineStr">
        <is>
          <t>연금술</t>
        </is>
      </c>
      <c r="C313" s="9" t="inlineStr">
        <is>
          <t>타이탄의 엘릭서</t>
        </is>
      </c>
      <c r="D313" s="9" t="inlineStr">
        <is>
          <t>용재료×3 + 마법재료×10</t>
        </is>
      </c>
      <c r="E313" s="9" t="inlineStr">
        <is>
          <t>ATK ×1.5 / 30분</t>
        </is>
      </c>
    </row>
    <row r="314">
      <c r="A314" s="8" t="inlineStr">
        <is>
          <t>v1.12</t>
        </is>
      </c>
      <c r="B314" s="8" t="inlineStr">
        <is>
          <t>연금술</t>
        </is>
      </c>
      <c r="C314" s="8" t="inlineStr">
        <is>
          <t>강철 엘릭서</t>
        </is>
      </c>
      <c r="D314" s="8" t="inlineStr">
        <is>
          <t>철광석×30 + 마법재료×10</t>
        </is>
      </c>
      <c r="E314" s="8" t="inlineStr">
        <is>
          <t>DEF ×1.5 / 30분</t>
        </is>
      </c>
    </row>
    <row r="315">
      <c r="A315" s="9" t="inlineStr">
        <is>
          <t>v1.12</t>
        </is>
      </c>
      <c r="B315" s="9" t="inlineStr">
        <is>
          <t>연금술</t>
        </is>
      </c>
      <c r="C315" s="9" t="inlineStr">
        <is>
          <t>질풍 엘릭서</t>
        </is>
      </c>
      <c r="D315" s="9" t="inlineStr">
        <is>
          <t>약초×20 + 마법재료×8</t>
        </is>
      </c>
      <c r="E315" s="9" t="inlineStr">
        <is>
          <t>SPD ×1.4 / 20분</t>
        </is>
      </c>
    </row>
    <row r="316">
      <c r="A316" s="8" t="inlineStr">
        <is>
          <t>v1.12</t>
        </is>
      </c>
      <c r="B316" s="8" t="inlineStr">
        <is>
          <t>연금술</t>
        </is>
      </c>
      <c r="C316" s="8" t="inlineStr">
        <is>
          <t>지혜 엘릭서</t>
        </is>
      </c>
      <c r="D316" s="8" t="inlineStr">
        <is>
          <t>마법수정×5 + 영혼재료×5</t>
        </is>
      </c>
      <c r="E316" s="8" t="inlineStr">
        <is>
          <t>EXP ×2.5 / 15분</t>
        </is>
      </c>
    </row>
    <row r="317">
      <c r="A317" s="9" t="inlineStr">
        <is>
          <t>v1.12</t>
        </is>
      </c>
      <c r="B317" s="9" t="inlineStr">
        <is>
          <t>연금술</t>
        </is>
      </c>
      <c r="C317" s="9" t="inlineStr">
        <is>
          <t>행운 엘릭서</t>
        </is>
      </c>
      <c r="D317" s="9" t="inlineStr">
        <is>
          <t>보석×10 + 마법재료×5</t>
        </is>
      </c>
      <c r="E317" s="9" t="inlineStr">
        <is>
          <t>GOLD ×2.0 / 15분</t>
        </is>
      </c>
    </row>
    <row r="318">
      <c r="A318" s="8" t="inlineStr">
        <is>
          <t>v1.11</t>
        </is>
      </c>
      <c r="B318" s="8" t="inlineStr">
        <is>
          <t>신규 펫</t>
        </is>
      </c>
      <c r="C318" s="8" t="inlineStr">
        <is>
          <t>불사조 (pet_phoenix)</t>
        </is>
      </c>
      <c r="D318" s="8" t="inlineStr">
        <is>
          <t>불꽃산 보스 50처치</t>
        </is>
      </c>
      <c r="E318" s="8" t="inlineStr">
        <is>
          <t>화염 DMG +20% (진화 +40%)</t>
        </is>
      </c>
    </row>
    <row r="319">
      <c r="A319" s="9" t="inlineStr">
        <is>
          <t>v1.11</t>
        </is>
      </c>
      <c r="B319" s="9" t="inlineStr">
        <is>
          <t>신규 펫</t>
        </is>
      </c>
      <c r="C319" s="9" t="inlineStr">
        <is>
          <t>유니콘 (pet_unicorn)</t>
        </is>
      </c>
      <c r="D319" s="9" t="inlineStr">
        <is>
          <t>다이아 800개</t>
        </is>
      </c>
      <c r="E319" s="9" t="inlineStr">
        <is>
          <t>회피 +10% (진화 +20%)</t>
        </is>
      </c>
    </row>
    <row r="320">
      <c r="A320" s="8" t="inlineStr">
        <is>
          <t>v1.11</t>
        </is>
      </c>
      <c r="B320" s="8" t="inlineStr">
        <is>
          <t>신규 탈것</t>
        </is>
      </c>
      <c r="C320" s="8" t="inlineStr">
        <is>
          <t>페가수스 (mount_pegasus)</t>
        </is>
      </c>
      <c r="D320" s="8" t="inlineStr">
        <is>
          <t>다이아 1200개</t>
        </is>
      </c>
      <c r="E320" s="8" t="inlineStr">
        <is>
          <t>이동속도 +85% / 비행</t>
        </is>
      </c>
    </row>
    <row r="321">
      <c r="A321" s="9" t="inlineStr">
        <is>
          <t>v1.10</t>
        </is>
      </c>
      <c r="B321" s="9" t="inlineStr">
        <is>
          <t>신규 던전</t>
        </is>
      </c>
      <c r="C321" s="9" t="inlineStr">
        <is>
          <t>그림자 미궁</t>
        </is>
      </c>
      <c r="D321" s="9" t="inlineStr">
        <is>
          <t>Lv.38 / 8인 파티 / 7스테이지</t>
        </is>
      </c>
      <c r="E321" s="9" t="inlineStr">
        <is>
          <t>22000G + 32000EXP</t>
        </is>
      </c>
    </row>
    <row r="322">
      <c r="A322" s="8" t="inlineStr">
        <is>
          <t>v1.10</t>
        </is>
      </c>
      <c r="B322" s="8" t="inlineStr">
        <is>
          <t>드롭</t>
        </is>
      </c>
      <c r="C322" s="8" t="inlineStr">
        <is>
          <t>드래곤 검/망토/투구/장갑</t>
        </is>
      </c>
      <c r="D322" s="8" t="inlineStr">
        <is>
          <t>그림자 미궁 보스 드롭</t>
        </is>
      </c>
      <c r="E322" s="8" t="inlineStr">
        <is>
          <t>전설급</t>
        </is>
      </c>
    </row>
    <row r="323">
      <c r="A323" s="9" t="inlineStr">
        <is>
          <t>v1.9</t>
        </is>
      </c>
      <c r="B323" s="9" t="inlineStr">
        <is>
          <t>전설 칭호</t>
        </is>
      </c>
      <c r="C323" s="9" t="inlineStr">
        <is>
          <t>공허의 방랑자</t>
        </is>
      </c>
      <c r="D323" s="9" t="inlineStr">
        <is>
          <t>몬스터 10,000 처치</t>
        </is>
      </c>
      <c r="E323" s="9" t="inlineStr">
        <is>
          <t>ATK +7%</t>
        </is>
      </c>
    </row>
    <row r="324">
      <c r="A324" s="8" t="inlineStr">
        <is>
          <t>v1.9</t>
        </is>
      </c>
      <c r="B324" s="8" t="inlineStr">
        <is>
          <t>전설 칭호</t>
        </is>
      </c>
      <c r="C324" s="8" t="inlineStr">
        <is>
          <t>불멸자</t>
        </is>
      </c>
      <c r="D324" s="8" t="inlineStr">
        <is>
          <t>환생 5회</t>
        </is>
      </c>
      <c r="E324" s="8" t="inlineStr">
        <is>
          <t>EXP +25%</t>
        </is>
      </c>
    </row>
    <row r="325">
      <c r="A325" s="9" t="inlineStr">
        <is>
          <t>v1.9</t>
        </is>
      </c>
      <c r="B325" s="9" t="inlineStr">
        <is>
          <t>전설 칭호</t>
        </is>
      </c>
      <c r="C325" s="9" t="inlineStr">
        <is>
          <t>천공의 군주</t>
        </is>
      </c>
      <c r="D325" s="9" t="inlineStr">
        <is>
          <t>월드 보스 10회 처치</t>
        </is>
      </c>
      <c r="E325" s="9" t="inlineStr">
        <is>
          <t>보스DMG +15%</t>
        </is>
      </c>
    </row>
    <row r="326">
      <c r="A326" s="8" t="inlineStr">
        <is>
          <t>v1.9</t>
        </is>
      </c>
      <c r="B326" s="8" t="inlineStr">
        <is>
          <t>기획서</t>
        </is>
      </c>
      <c r="C326" s="8" t="inlineStr">
        <is>
          <t>지역 시트 갱신</t>
        </is>
      </c>
      <c r="D326" s="8" t="inlineStr">
        <is>
          <t>25→51개 지역 반영</t>
        </is>
      </c>
      <c r="E326" s="8" t="inlineStr">
        <is>
          <t>-</t>
        </is>
      </c>
    </row>
    <row r="327">
      <c r="A327" s="9" t="inlineStr">
        <is>
          <t>v1.9</t>
        </is>
      </c>
      <c r="B327" s="9" t="inlineStr">
        <is>
          <t>기획서</t>
        </is>
      </c>
      <c r="C327" s="9" t="inlineStr">
        <is>
          <t>칭호 시트 갱신</t>
        </is>
      </c>
      <c r="D327" s="9" t="inlineStr">
        <is>
          <t>7→16종 + 효과/색상 추가</t>
        </is>
      </c>
      <c r="E327" s="9" t="inlineStr">
        <is>
          <t>-</t>
        </is>
      </c>
    </row>
    <row r="328">
      <c r="A328" s="8" t="inlineStr">
        <is>
          <t>v1.9</t>
        </is>
      </c>
      <c r="B328" s="8" t="inlineStr">
        <is>
          <t>기획서</t>
        </is>
      </c>
      <c r="C328" s="8" t="inlineStr">
        <is>
          <t>출석 캘린더 시트</t>
        </is>
      </c>
      <c r="D328" s="8" t="inlineStr">
        <is>
          <t>신규 추가 (28일 사이클)</t>
        </is>
      </c>
      <c r="E328" s="8" t="inlineStr">
        <is>
          <t>-</t>
        </is>
      </c>
    </row>
    <row r="329">
      <c r="A329" s="9" t="inlineStr">
        <is>
          <t>v1.9</t>
        </is>
      </c>
      <c r="B329" s="9" t="inlineStr">
        <is>
          <t>기획서</t>
        </is>
      </c>
      <c r="C329" s="9" t="inlineStr">
        <is>
          <t>장비 세트 시트</t>
        </is>
      </c>
      <c r="D329" s="9" t="inlineStr">
        <is>
          <t>신규 추가 (드래곤/영웅/태초)</t>
        </is>
      </c>
      <c r="E329" s="9" t="inlineStr">
        <is>
          <t>-</t>
        </is>
      </c>
    </row>
    <row r="330">
      <c r="A330" s="8" t="inlineStr">
        <is>
          <t>v1.9</t>
        </is>
      </c>
      <c r="B330" s="8" t="inlineStr">
        <is>
          <t>기획서</t>
        </is>
      </c>
      <c r="C330" s="8" t="inlineStr">
        <is>
          <t>장비 등급 시트</t>
        </is>
      </c>
      <c r="D330" s="8" t="inlineStr">
        <is>
          <t>신규 추가 (5등급 + 랜덤 옵션 7종)</t>
        </is>
      </c>
      <c r="E330" s="8" t="inlineStr">
        <is>
          <t>-</t>
        </is>
      </c>
    </row>
    <row r="331">
      <c r="A331" s="9" t="inlineStr">
        <is>
          <t>v1.9</t>
        </is>
      </c>
      <c r="B331" s="9" t="inlineStr">
        <is>
          <t>기획서</t>
        </is>
      </c>
      <c r="C331" s="9" t="inlineStr">
        <is>
          <t>디버프 시트</t>
        </is>
      </c>
      <c r="D331" s="9" t="inlineStr">
        <is>
          <t>신규 추가 (10종, v1.7 5종 포함)</t>
        </is>
      </c>
      <c r="E331" s="9" t="inlineStr">
        <is>
          <t>-</t>
        </is>
      </c>
    </row>
    <row r="332">
      <c r="A332" s="8" t="inlineStr">
        <is>
          <t>v1.9</t>
        </is>
      </c>
      <c r="B332" s="8" t="inlineStr">
        <is>
          <t>기획서</t>
        </is>
      </c>
      <c r="C332" s="8" t="inlineStr">
        <is>
          <t>패치 노트 시트</t>
        </is>
      </c>
      <c r="D332" s="8" t="inlineStr">
        <is>
          <t>신규 추가 (히스토리)</t>
        </is>
      </c>
      <c r="E332" s="8" t="inlineStr">
        <is>
          <t>-</t>
        </is>
      </c>
    </row>
    <row r="333">
      <c r="A333" s="9" t="inlineStr">
        <is>
          <t>v1.10</t>
        </is>
      </c>
      <c r="B333" s="9" t="inlineStr">
        <is>
          <t>기획서</t>
        </is>
      </c>
      <c r="C333" s="9" t="inlineStr">
        <is>
          <t>던전 시트</t>
        </is>
      </c>
      <c r="D333" s="9" t="inlineStr">
        <is>
          <t>신규 추가 (7종 던전)</t>
        </is>
      </c>
      <c r="E333" s="9" t="inlineStr">
        <is>
          <t>-</t>
        </is>
      </c>
    </row>
  </sheetData>
  <mergeCells count="1">
    <mergeCell ref="A1:E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8" customWidth="1" min="2" max="2"/>
    <col width="16" customWidth="1" min="3" max="3"/>
    <col width="10" customWidth="1" min="4" max="4"/>
    <col width="14" customWidth="1" min="5" max="5"/>
    <col width="20" customWidth="1" min="6" max="6"/>
    <col width="14" customWidth="1" min="7" max="7"/>
    <col width="8" customWidth="1" min="8" max="8"/>
    <col width="25" customWidth="1" min="9" max="9"/>
    <col width="16" customWidth="1" min="10" max="10"/>
    <col width="10" customWidth="1" min="11" max="11"/>
  </cols>
  <sheetData>
    <row r="1">
      <c r="A1" s="6" t="inlineStr">
        <is>
          <t>메인 스토리 퀘스트 체인 (5챕터 30퀘스트)</t>
        </is>
      </c>
    </row>
    <row r="3">
      <c r="A3" s="7" t="inlineStr">
        <is>
          <t>챕터</t>
        </is>
      </c>
      <c r="B3" s="7" t="inlineStr">
        <is>
          <t>퀘스트ID</t>
        </is>
      </c>
      <c r="C3" s="7" t="inlineStr">
        <is>
          <t>퀘스트명</t>
        </is>
      </c>
      <c r="D3" s="7" t="inlineStr">
        <is>
          <t>요구 레벨</t>
        </is>
      </c>
      <c r="E3" s="7" t="inlineStr">
        <is>
          <t>선행 조건</t>
        </is>
      </c>
      <c r="F3" s="7" t="inlineStr">
        <is>
          <t>목표</t>
        </is>
      </c>
      <c r="G3" s="7" t="inlineStr">
        <is>
          <t>추적 타겟</t>
        </is>
      </c>
      <c r="H3" s="7" t="inlineStr">
        <is>
          <t>목표량</t>
        </is>
      </c>
      <c r="I3" s="7" t="inlineStr">
        <is>
          <t>보상</t>
        </is>
      </c>
      <c r="J3" s="7" t="inlineStr">
        <is>
          <t>설계 의도</t>
        </is>
      </c>
      <c r="K3" s="7" t="inlineStr">
        <is>
          <t>유형</t>
        </is>
      </c>
    </row>
    <row r="4">
      <c r="A4" s="8" t="inlineStr">
        <is>
          <t>CH1</t>
        </is>
      </c>
      <c r="B4" s="8" t="inlineStr">
        <is>
          <t>1-1</t>
        </is>
      </c>
      <c r="C4" s="8" t="inlineStr">
        <is>
          <t>첫 발걸음</t>
        </is>
      </c>
      <c r="D4" s="8" t="inlineStr">
        <is>
          <t>Lv.1</t>
        </is>
      </c>
      <c r="E4" s="8" t="inlineStr">
        <is>
          <t>없음</t>
        </is>
      </c>
      <c r="F4" s="8" t="inlineStr">
        <is>
          <t>몬스터 3마리 처치</t>
        </is>
      </c>
      <c r="G4" s="8" t="inlineStr">
        <is>
          <t>kill_monster</t>
        </is>
      </c>
      <c r="H4" s="8" t="inlineStr">
        <is>
          <t>3</t>
        </is>
      </c>
      <c r="I4" s="8" t="inlineStr">
        <is>
          <t>골드 200, EXP 100</t>
        </is>
      </c>
      <c r="J4" s="8" t="inlineStr">
        <is>
          <t>전투 기본 학습</t>
        </is>
      </c>
      <c r="K4" s="8" t="inlineStr">
        <is>
          <t>일반</t>
        </is>
      </c>
    </row>
    <row r="5">
      <c r="A5" s="9" t="inlineStr">
        <is>
          <t>CH1</t>
        </is>
      </c>
      <c r="B5" s="9" t="inlineStr">
        <is>
          <t>1-2</t>
        </is>
      </c>
      <c r="C5" s="9" t="inlineStr">
        <is>
          <t>장비의 중요성</t>
        </is>
      </c>
      <c r="D5" s="9" t="inlineStr">
        <is>
          <t>Lv.3</t>
        </is>
      </c>
      <c r="E5" s="9" t="inlineStr">
        <is>
          <t>1-1 완료</t>
        </is>
      </c>
      <c r="F5" s="9" t="inlineStr">
        <is>
          <t>장비 1개 장착</t>
        </is>
      </c>
      <c r="G5" s="9" t="inlineStr">
        <is>
          <t>equip_item</t>
        </is>
      </c>
      <c r="H5" s="9" t="inlineStr">
        <is>
          <t>1</t>
        </is>
      </c>
      <c r="I5" s="9" t="inlineStr">
        <is>
          <t>철제 검 지급, 골드 300</t>
        </is>
      </c>
      <c r="J5" s="9" t="inlineStr">
        <is>
          <t>장비 시스템 학습</t>
        </is>
      </c>
      <c r="K5" s="9" t="inlineStr">
        <is>
          <t>일반</t>
        </is>
      </c>
    </row>
    <row r="6">
      <c r="A6" s="8" t="inlineStr">
        <is>
          <t>CH1</t>
        </is>
      </c>
      <c r="B6" s="8" t="inlineStr">
        <is>
          <t>1-3</t>
        </is>
      </c>
      <c r="C6" s="8" t="inlineStr">
        <is>
          <t>마을 탐험</t>
        </is>
      </c>
      <c r="D6" s="8" t="inlineStr">
        <is>
          <t>Lv.5</t>
        </is>
      </c>
      <c r="E6" s="8" t="inlineStr">
        <is>
          <t>1-2 완료</t>
        </is>
      </c>
      <c r="F6" s="8" t="inlineStr">
        <is>
          <t>아덴 마을 NPC 3명 대화</t>
        </is>
      </c>
      <c r="G6" s="8" t="inlineStr">
        <is>
          <t>npc_talk</t>
        </is>
      </c>
      <c r="H6" s="8" t="inlineStr">
        <is>
          <t>3</t>
        </is>
      </c>
      <c r="I6" s="8" t="inlineStr">
        <is>
          <t>물약 x5, 골드 500</t>
        </is>
      </c>
      <c r="J6" s="8" t="inlineStr">
        <is>
          <t>NPC/상점 학습</t>
        </is>
      </c>
      <c r="K6" s="8" t="inlineStr">
        <is>
          <t>일반</t>
        </is>
      </c>
    </row>
    <row r="7">
      <c r="A7" s="9" t="inlineStr">
        <is>
          <t>CH1</t>
        </is>
      </c>
      <c r="B7" s="9" t="inlineStr">
        <is>
          <t>1-4</t>
        </is>
      </c>
      <c r="C7" s="9" t="inlineStr">
        <is>
          <t>더 강한 적</t>
        </is>
      </c>
      <c r="D7" s="9" t="inlineStr">
        <is>
          <t>Lv.7</t>
        </is>
      </c>
      <c r="E7" s="9" t="inlineStr">
        <is>
          <t>1-3 완료</t>
        </is>
      </c>
      <c r="F7" s="9" t="inlineStr">
        <is>
          <t>엘리트 몬스터 1마리 처치</t>
        </is>
      </c>
      <c r="G7" s="9" t="inlineStr">
        <is>
          <t>kill_elite</t>
        </is>
      </c>
      <c r="H7" s="9" t="inlineStr">
        <is>
          <t>1</t>
        </is>
      </c>
      <c r="I7" s="9" t="inlineStr">
        <is>
          <t>장비 상자, 골드 800</t>
        </is>
      </c>
      <c r="J7" s="9" t="inlineStr">
        <is>
          <t>엘리트 몬스터 인지</t>
        </is>
      </c>
      <c r="K7" s="9" t="inlineStr">
        <is>
          <t>일반</t>
        </is>
      </c>
    </row>
    <row r="8">
      <c r="A8" s="8" t="inlineStr">
        <is>
          <t>CH1</t>
        </is>
      </c>
      <c r="B8" s="8" t="inlineStr">
        <is>
          <t>1-5</t>
        </is>
      </c>
      <c r="C8" s="8" t="inlineStr">
        <is>
          <t>10킬 스트릭</t>
        </is>
      </c>
      <c r="D8" s="8" t="inlineStr">
        <is>
          <t>Lv.8</t>
        </is>
      </c>
      <c r="E8" s="8" t="inlineStr">
        <is>
          <t>1-4 완료</t>
        </is>
      </c>
      <c r="F8" s="8" t="inlineStr">
        <is>
          <t>10킬 스트릭 달성</t>
        </is>
      </c>
      <c r="G8" s="8" t="inlineStr">
        <is>
          <t>kill_streak</t>
        </is>
      </c>
      <c r="H8" s="8" t="inlineStr">
        <is>
          <t>10</t>
        </is>
      </c>
      <c r="I8" s="8" t="inlineStr">
        <is>
          <t>칭호: 신입 전사, 다이아 20</t>
        </is>
      </c>
      <c r="J8" s="8" t="inlineStr">
        <is>
          <t>연속 전투 학습</t>
        </is>
      </c>
      <c r="K8" s="8" t="inlineStr">
        <is>
          <t>일반</t>
        </is>
      </c>
    </row>
    <row r="9">
      <c r="A9" s="9" t="inlineStr">
        <is>
          <t>CH1</t>
        </is>
      </c>
      <c r="B9" s="9" t="inlineStr">
        <is>
          <t>1-6</t>
        </is>
      </c>
      <c r="C9" s="9" t="inlineStr">
        <is>
          <t>첫 번째 전직</t>
        </is>
      </c>
      <c r="D9" s="9" t="inlineStr">
        <is>
          <t>Lv.10</t>
        </is>
      </c>
      <c r="E9" s="9" t="inlineStr">
        <is>
          <t>1-5 완료</t>
        </is>
      </c>
      <c r="F9" s="9" t="inlineStr">
        <is>
          <t>전직 완료</t>
        </is>
      </c>
      <c r="G9" s="9" t="inlineStr">
        <is>
          <t>class_advance</t>
        </is>
      </c>
      <c r="H9" s="9" t="inlineStr">
        <is>
          <t>1</t>
        </is>
      </c>
      <c r="I9" s="9" t="inlineStr">
        <is>
          <t>스킬 포인트 5, 다이아 50</t>
        </is>
      </c>
      <c r="J9" s="9" t="inlineStr">
        <is>
          <t>전직 시스템 학습</t>
        </is>
      </c>
      <c r="K9" s="9" t="inlineStr">
        <is>
          <t>일반</t>
        </is>
      </c>
    </row>
    <row r="10">
      <c r="A10" s="8" t="inlineStr">
        <is>
          <t>CH2</t>
        </is>
      </c>
      <c r="B10" s="8" t="inlineStr">
        <is>
          <t>2-1</t>
        </is>
      </c>
      <c r="C10" s="8" t="inlineStr">
        <is>
          <t>던전의 부름</t>
        </is>
      </c>
      <c r="D10" s="8" t="inlineStr">
        <is>
          <t>Lv.10</t>
        </is>
      </c>
      <c r="E10" s="8" t="inlineStr">
        <is>
          <t>1-6 완료</t>
        </is>
      </c>
      <c r="F10" s="8" t="inlineStr">
        <is>
          <t>던전 1회 클리어</t>
        </is>
      </c>
      <c r="G10" s="8" t="inlineStr">
        <is>
          <t>dungeon_clear</t>
        </is>
      </c>
      <c r="H10" s="8" t="inlineStr">
        <is>
          <t>1</t>
        </is>
      </c>
      <c r="I10" s="8" t="inlineStr">
        <is>
          <t>유물 조각 x3, 골드 2000</t>
        </is>
      </c>
      <c r="J10" s="8" t="inlineStr">
        <is>
          <t>던전 시스템 학습</t>
        </is>
      </c>
      <c r="K10" s="8" t="inlineStr">
        <is>
          <t>일반</t>
        </is>
      </c>
    </row>
    <row r="11">
      <c r="A11" s="9" t="inlineStr">
        <is>
          <t>CH2</t>
        </is>
      </c>
      <c r="B11" s="9" t="inlineStr">
        <is>
          <t>2-2</t>
        </is>
      </c>
      <c r="C11" s="9" t="inlineStr">
        <is>
          <t>동료를 구해라</t>
        </is>
      </c>
      <c r="D11" s="9" t="inlineStr">
        <is>
          <t>Lv.12</t>
        </is>
      </c>
      <c r="E11" s="9" t="inlineStr">
        <is>
          <t>2-1 완료</t>
        </is>
      </c>
      <c r="F11" s="9" t="inlineStr">
        <is>
          <t>몬스터 테이밍 1회</t>
        </is>
      </c>
      <c r="G11" s="9" t="inlineStr">
        <is>
          <t>tame_count</t>
        </is>
      </c>
      <c r="H11" s="9" t="inlineStr">
        <is>
          <t>1</t>
        </is>
      </c>
      <c r="I11" s="9" t="inlineStr">
        <is>
          <t>테이밍 비용 50% 할인권, 골드 1500</t>
        </is>
      </c>
      <c r="J11" s="9" t="inlineStr">
        <is>
          <t>테이밍 학습</t>
        </is>
      </c>
      <c r="K11" s="9" t="inlineStr">
        <is>
          <t>일반</t>
        </is>
      </c>
    </row>
    <row r="12">
      <c r="A12" s="8" t="inlineStr">
        <is>
          <t>CH2</t>
        </is>
      </c>
      <c r="B12" s="8" t="inlineStr">
        <is>
          <t>2-3</t>
        </is>
      </c>
      <c r="C12" s="8" t="inlineStr">
        <is>
          <t>대장장이의 부탁</t>
        </is>
      </c>
      <c r="D12" s="8" t="inlineStr">
        <is>
          <t>Lv.13</t>
        </is>
      </c>
      <c r="E12" s="8" t="inlineStr">
        <is>
          <t>2-2 완료</t>
        </is>
      </c>
      <c r="F12" s="8" t="inlineStr">
        <is>
          <t>장비 강화 +5 달성</t>
        </is>
      </c>
      <c r="G12" s="8" t="inlineStr">
        <is>
          <t>enchant_level</t>
        </is>
      </c>
      <c r="H12" s="8" t="inlineStr">
        <is>
          <t>5</t>
        </is>
      </c>
      <c r="I12" s="8" t="inlineStr">
        <is>
          <t>강화석 x10, 골드 3000</t>
        </is>
      </c>
      <c r="J12" s="8" t="inlineStr">
        <is>
          <t>강화 시스템 학습</t>
        </is>
      </c>
      <c r="K12" s="8" t="inlineStr">
        <is>
          <t>일반</t>
        </is>
      </c>
    </row>
    <row r="13">
      <c r="A13" s="9" t="inlineStr">
        <is>
          <t>CH2</t>
        </is>
      </c>
      <c r="B13" s="9" t="inlineStr">
        <is>
          <t>2-4</t>
        </is>
      </c>
      <c r="C13" s="9" t="inlineStr">
        <is>
          <t>펫 사육사</t>
        </is>
      </c>
      <c r="D13" s="9" t="inlineStr">
        <is>
          <t>Lv.15</t>
        </is>
      </c>
      <c r="E13" s="9" t="inlineStr">
        <is>
          <t>2-3 완료</t>
        </is>
      </c>
      <c r="F13" s="9" t="inlineStr">
        <is>
          <t>펫 1마리 구매</t>
        </is>
      </c>
      <c r="G13" s="9" t="inlineStr">
        <is>
          <t>pet_count</t>
        </is>
      </c>
      <c r="H13" s="9" t="inlineStr">
        <is>
          <t>1</t>
        </is>
      </c>
      <c r="I13" s="9" t="inlineStr">
        <is>
          <t>펫 먹이 x20, 다이아 30</t>
        </is>
      </c>
      <c r="J13" s="9" t="inlineStr">
        <is>
          <t>펫 시스템 학습</t>
        </is>
      </c>
      <c r="K13" s="9" t="inlineStr">
        <is>
          <t>일반</t>
        </is>
      </c>
    </row>
    <row r="14">
      <c r="A14" s="8" t="inlineStr">
        <is>
          <t>CH2</t>
        </is>
      </c>
      <c r="B14" s="8" t="inlineStr">
        <is>
          <t>2-5</t>
        </is>
      </c>
      <c r="C14" s="8" t="inlineStr">
        <is>
          <t>혈맹 가입</t>
        </is>
      </c>
      <c r="D14" s="8" t="inlineStr">
        <is>
          <t>Lv.15</t>
        </is>
      </c>
      <c r="E14" s="8" t="inlineStr">
        <is>
          <t>2-4 완료</t>
        </is>
      </c>
      <c r="F14" s="8" t="inlineStr">
        <is>
          <t>혈맹 가입 또는 창설</t>
        </is>
      </c>
      <c r="G14" s="8" t="inlineStr">
        <is>
          <t>join_clan</t>
        </is>
      </c>
      <c r="H14" s="8" t="inlineStr">
        <is>
          <t>1</t>
        </is>
      </c>
      <c r="I14" s="8" t="inlineStr">
        <is>
          <t>혈맹 기부 보너스, 골드 5000</t>
        </is>
      </c>
      <c r="J14" s="8" t="inlineStr">
        <is>
          <t>길드 시스템 학습</t>
        </is>
      </c>
      <c r="K14" s="8" t="inlineStr">
        <is>
          <t>일반</t>
        </is>
      </c>
    </row>
    <row r="15">
      <c r="A15" s="9" t="inlineStr">
        <is>
          <t>CH2</t>
        </is>
      </c>
      <c r="B15" s="9" t="inlineStr">
        <is>
          <t>2-6</t>
        </is>
      </c>
      <c r="C15" s="9" t="inlineStr">
        <is>
          <t>탑의 도전</t>
        </is>
      </c>
      <c r="D15" s="9" t="inlineStr">
        <is>
          <t>Lv.18</t>
        </is>
      </c>
      <c r="E15" s="9" t="inlineStr">
        <is>
          <t>2-5 완료</t>
        </is>
      </c>
      <c r="F15" s="9" t="inlineStr">
        <is>
          <t>무한의 탑 5층 클리어</t>
        </is>
      </c>
      <c r="G15" s="9" t="inlineStr">
        <is>
          <t>tower_floor</t>
        </is>
      </c>
      <c r="H15" s="9" t="inlineStr">
        <is>
          <t>5</t>
        </is>
      </c>
      <c r="I15" s="9" t="inlineStr">
        <is>
          <t>전설 장비 상자, 다이아 80</t>
        </is>
      </c>
      <c r="J15" s="9" t="inlineStr">
        <is>
          <t>무한의 탑 학습</t>
        </is>
      </c>
      <c r="K15" s="9" t="inlineStr">
        <is>
          <t>일반</t>
        </is>
      </c>
    </row>
    <row r="16">
      <c r="A16" s="8" t="inlineStr">
        <is>
          <t>CH2</t>
        </is>
      </c>
      <c r="B16" s="8" t="inlineStr">
        <is>
          <t>2-7</t>
        </is>
      </c>
      <c r="C16" s="8" t="inlineStr">
        <is>
          <t>낚시의 여유</t>
        </is>
      </c>
      <c r="D16" s="8" t="inlineStr">
        <is>
          <t>Lv.20</t>
        </is>
      </c>
      <c r="E16" s="8" t="inlineStr">
        <is>
          <t>2-6 완료</t>
        </is>
      </c>
      <c r="F16" s="8" t="inlineStr">
        <is>
          <t>물고기 10마리 낚기</t>
        </is>
      </c>
      <c r="G16" s="8" t="inlineStr">
        <is>
          <t>fish_catch</t>
        </is>
      </c>
      <c r="H16" s="8" t="inlineStr">
        <is>
          <t>10</t>
        </is>
      </c>
      <c r="I16" s="8" t="inlineStr">
        <is>
          <t>황금 낚싯대, 골드 3000</t>
        </is>
      </c>
      <c r="J16" s="8" t="inlineStr">
        <is>
          <t>낚시 시스템 학습</t>
        </is>
      </c>
      <c r="K16" s="8" t="inlineStr">
        <is>
          <t>일반</t>
        </is>
      </c>
    </row>
    <row r="17">
      <c r="A17" s="9" t="inlineStr">
        <is>
          <t>CH3</t>
        </is>
      </c>
      <c r="B17" s="9" t="inlineStr">
        <is>
          <t>3-1</t>
        </is>
      </c>
      <c r="C17" s="9" t="inlineStr">
        <is>
          <t>미지의 존 발견</t>
        </is>
      </c>
      <c r="D17" s="9" t="inlineStr">
        <is>
          <t>Lv.20</t>
        </is>
      </c>
      <c r="E17" s="9" t="inlineStr">
        <is>
          <t>2-7 완료</t>
        </is>
      </c>
      <c r="F17" s="9" t="inlineStr">
        <is>
          <t>5개 존 탐험</t>
        </is>
      </c>
      <c r="G17" s="9" t="inlineStr">
        <is>
          <t>explore_count</t>
        </is>
      </c>
      <c r="H17" s="9" t="inlineStr">
        <is>
          <t>5</t>
        </is>
      </c>
      <c r="I17" s="9" t="inlineStr">
        <is>
          <t>월드맵 확장, 골드 5000</t>
        </is>
      </c>
      <c r="J17" s="9" t="inlineStr">
        <is>
          <t>탐험 동기</t>
        </is>
      </c>
      <c r="K17" s="9" t="inlineStr">
        <is>
          <t>일반</t>
        </is>
      </c>
    </row>
    <row r="18">
      <c r="A18" s="8" t="inlineStr">
        <is>
          <t>CH3</t>
        </is>
      </c>
      <c r="B18" s="8" t="inlineStr">
        <is>
          <t>3-2</t>
        </is>
      </c>
      <c r="C18" s="8" t="inlineStr">
        <is>
          <t>교역의 길</t>
        </is>
      </c>
      <c r="D18" s="8" t="inlineStr">
        <is>
          <t>Lv.22</t>
        </is>
      </c>
      <c r="E18" s="8" t="inlineStr">
        <is>
          <t>3-1 완료</t>
        </is>
      </c>
      <c r="F18" s="8" t="inlineStr">
        <is>
          <t>교역 3회 완료</t>
        </is>
      </c>
      <c r="G18" s="8" t="inlineStr">
        <is>
          <t>trade_count</t>
        </is>
      </c>
      <c r="H18" s="8" t="inlineStr">
        <is>
          <t>3</t>
        </is>
      </c>
      <c r="I18" s="8" t="inlineStr">
        <is>
          <t>교역 상인 할인, 골드 8000</t>
        </is>
      </c>
      <c r="J18" s="8" t="inlineStr">
        <is>
          <t>교역 학습</t>
        </is>
      </c>
      <c r="K18" s="8" t="inlineStr">
        <is>
          <t>일반</t>
        </is>
      </c>
    </row>
    <row r="19">
      <c r="A19" s="9" t="inlineStr">
        <is>
          <t>CH3</t>
        </is>
      </c>
      <c r="B19" s="9" t="inlineStr">
        <is>
          <t>3-3</t>
        </is>
      </c>
      <c r="C19" s="9" t="inlineStr">
        <is>
          <t>진영 선택</t>
        </is>
      </c>
      <c r="D19" s="9" t="inlineStr">
        <is>
          <t>Lv.25</t>
        </is>
      </c>
      <c r="E19" s="9" t="inlineStr">
        <is>
          <t>3-2 완료</t>
        </is>
      </c>
      <c r="F19" s="9" t="inlineStr">
        <is>
          <t>진영 가입</t>
        </is>
      </c>
      <c r="G19" s="9" t="inlineStr">
        <is>
          <t>faction_join</t>
        </is>
      </c>
      <c r="H19" s="9" t="inlineStr">
        <is>
          <t>1</t>
        </is>
      </c>
      <c r="I19" s="9" t="inlineStr">
        <is>
          <t>진영 전용 무기, 다이아 100</t>
        </is>
      </c>
      <c r="J19" s="9" t="inlineStr">
        <is>
          <t>분기</t>
        </is>
      </c>
      <c r="K19" s="9" t="inlineStr">
        <is>
          <t>분기</t>
        </is>
      </c>
    </row>
    <row r="20">
      <c r="A20" s="8" t="inlineStr">
        <is>
          <t>CH3</t>
        </is>
      </c>
      <c r="B20" s="8" t="inlineStr">
        <is>
          <t>3-3A</t>
        </is>
      </c>
      <c r="C20" s="8" t="inlineStr">
        <is>
          <t>태양의 맹세</t>
        </is>
      </c>
      <c r="D20" s="8" t="inlineStr">
        <is>
          <t>Lv.25</t>
        </is>
      </c>
      <c r="E20" s="8" t="inlineStr">
        <is>
          <t>3-3 태양 선택</t>
        </is>
      </c>
      <c r="F20" s="8" t="inlineStr">
        <is>
          <t>태양 진영 기여 50</t>
        </is>
      </c>
      <c r="G20" s="8" t="inlineStr">
        <is>
          <t>faction_rep</t>
        </is>
      </c>
      <c r="H20" s="8" t="inlineStr">
        <is>
          <t>50</t>
        </is>
      </c>
      <c r="I20" s="8" t="inlineStr">
        <is>
          <t>태양의 검 (ATK+50), 골드 10000</t>
        </is>
      </c>
      <c r="J20" s="8" t="inlineStr">
        <is>
          <t>태양 루트</t>
        </is>
      </c>
      <c r="K20" s="8" t="inlineStr">
        <is>
          <t>분기-태양</t>
        </is>
      </c>
    </row>
    <row r="21">
      <c r="A21" s="9" t="inlineStr">
        <is>
          <t>CH3</t>
        </is>
      </c>
      <c r="B21" s="9" t="inlineStr">
        <is>
          <t>3-3B</t>
        </is>
      </c>
      <c r="C21" s="9" t="inlineStr">
        <is>
          <t>달빛의 서약</t>
        </is>
      </c>
      <c r="D21" s="9" t="inlineStr">
        <is>
          <t>Lv.25</t>
        </is>
      </c>
      <c r="E21" s="9" t="inlineStr">
        <is>
          <t>3-3 달 선택</t>
        </is>
      </c>
      <c r="F21" s="9" t="inlineStr">
        <is>
          <t>달 진영 기여 50</t>
        </is>
      </c>
      <c r="G21" s="9" t="inlineStr">
        <is>
          <t>faction_rep</t>
        </is>
      </c>
      <c r="H21" s="9" t="inlineStr">
        <is>
          <t>50</t>
        </is>
      </c>
      <c r="I21" s="9" t="inlineStr">
        <is>
          <t>달빛 갑옷 (DEF+50), 골드 10000</t>
        </is>
      </c>
      <c r="J21" s="9" t="inlineStr">
        <is>
          <t>달 루트</t>
        </is>
      </c>
      <c r="K21" s="9" t="inlineStr">
        <is>
          <t>분기-달</t>
        </is>
      </c>
    </row>
    <row r="22">
      <c r="A22" s="8" t="inlineStr">
        <is>
          <t>CH3</t>
        </is>
      </c>
      <c r="B22" s="8" t="inlineStr">
        <is>
          <t>3-3C</t>
        </is>
      </c>
      <c r="C22" s="8" t="inlineStr">
        <is>
          <t>별의 길</t>
        </is>
      </c>
      <c r="D22" s="8" t="inlineStr">
        <is>
          <t>Lv.25</t>
        </is>
      </c>
      <c r="E22" s="8" t="inlineStr">
        <is>
          <t>3-3 별 선택</t>
        </is>
      </c>
      <c r="F22" s="8" t="inlineStr">
        <is>
          <t>별 진영 기여 50</t>
        </is>
      </c>
      <c r="G22" s="8" t="inlineStr">
        <is>
          <t>faction_rep</t>
        </is>
      </c>
      <c r="H22" s="8" t="inlineStr">
        <is>
          <t>50</t>
        </is>
      </c>
      <c r="I22" s="8" t="inlineStr">
        <is>
          <t>별의 반지 (CRIT+10%), 골드 10000</t>
        </is>
      </c>
      <c r="J22" s="8" t="inlineStr">
        <is>
          <t>별 루트</t>
        </is>
      </c>
      <c r="K22" s="8" t="inlineStr">
        <is>
          <t>분기-별</t>
        </is>
      </c>
    </row>
    <row r="23">
      <c r="A23" s="9" t="inlineStr">
        <is>
          <t>CH3</t>
        </is>
      </c>
      <c r="B23" s="9" t="inlineStr">
        <is>
          <t>3-4</t>
        </is>
      </c>
      <c r="C23" s="9" t="inlineStr">
        <is>
          <t>제작의 달인</t>
        </is>
      </c>
      <c r="D23" s="9" t="inlineStr">
        <is>
          <t>Lv.28</t>
        </is>
      </c>
      <c r="E23" s="9" t="inlineStr">
        <is>
          <t>3-3 완료</t>
        </is>
      </c>
      <c r="F23" s="9" t="inlineStr">
        <is>
          <t>제작 5회 성공</t>
        </is>
      </c>
      <c r="G23" s="9" t="inlineStr">
        <is>
          <t>craft_count</t>
        </is>
      </c>
      <c r="H23" s="9" t="inlineStr">
        <is>
          <t>5</t>
        </is>
      </c>
      <c r="I23" s="9" t="inlineStr">
        <is>
          <t>전설 레시피, 다이아 50</t>
        </is>
      </c>
      <c r="J23" s="9" t="inlineStr">
        <is>
          <t>제작 심화</t>
        </is>
      </c>
      <c r="K23" s="9" t="inlineStr">
        <is>
          <t>일반</t>
        </is>
      </c>
    </row>
    <row r="24">
      <c r="A24" s="8" t="inlineStr">
        <is>
          <t>CH3</t>
        </is>
      </c>
      <c r="B24" s="8" t="inlineStr">
        <is>
          <t>3-5</t>
        </is>
      </c>
      <c r="C24" s="8" t="inlineStr">
        <is>
          <t>레이드 도전</t>
        </is>
      </c>
      <c r="D24" s="8" t="inlineStr">
        <is>
          <t>Lv.30</t>
        </is>
      </c>
      <c r="E24" s="8" t="inlineStr">
        <is>
          <t>3-4 완료</t>
        </is>
      </c>
      <c r="F24" s="8" t="inlineStr">
        <is>
          <t>혈맹 레이드 1회 클리어</t>
        </is>
      </c>
      <c r="G24" s="8" t="inlineStr">
        <is>
          <t>guild_raid</t>
        </is>
      </c>
      <c r="H24" s="8" t="inlineStr">
        <is>
          <t>1</t>
        </is>
      </c>
      <c r="I24" s="8" t="inlineStr">
        <is>
          <t>레이드 전용 장비, 골드 15000</t>
        </is>
      </c>
      <c r="J24" s="8" t="inlineStr">
        <is>
          <t>레이드 학습</t>
        </is>
      </c>
      <c r="K24" s="8" t="inlineStr">
        <is>
          <t>일반</t>
        </is>
      </c>
    </row>
    <row r="25">
      <c r="A25" s="9" t="inlineStr">
        <is>
          <t>CH3</t>
        </is>
      </c>
      <c r="B25" s="9" t="inlineStr">
        <is>
          <t>3-6</t>
        </is>
      </c>
      <c r="C25" s="9" t="inlineStr">
        <is>
          <t>PvP 세례</t>
        </is>
      </c>
      <c r="D25" s="9" t="inlineStr">
        <is>
          <t>Lv.32</t>
        </is>
      </c>
      <c r="E25" s="9" t="inlineStr">
        <is>
          <t>3-5 완료</t>
        </is>
      </c>
      <c r="F25" s="9" t="inlineStr">
        <is>
          <t>아레나 실버 티어 달성</t>
        </is>
      </c>
      <c r="G25" s="9" t="inlineStr">
        <is>
          <t>arena_tier</t>
        </is>
      </c>
      <c r="H25" s="9" t="inlineStr">
        <is>
          <t>2</t>
        </is>
      </c>
      <c r="I25" s="9" t="inlineStr">
        <is>
          <t>PvP 전용 스킨, 다이아 150</t>
        </is>
      </c>
      <c r="J25" s="9" t="inlineStr">
        <is>
          <t>PvP 심화</t>
        </is>
      </c>
      <c r="K25" s="9" t="inlineStr">
        <is>
          <t>일반</t>
        </is>
      </c>
    </row>
    <row r="26">
      <c r="A26" s="8" t="inlineStr">
        <is>
          <t>CH4</t>
        </is>
      </c>
      <c r="B26" s="8" t="inlineStr">
        <is>
          <t>4-1</t>
        </is>
      </c>
      <c r="C26" s="8" t="inlineStr">
        <is>
          <t>월드 보스 토벌</t>
        </is>
      </c>
      <c r="D26" s="8" t="inlineStr">
        <is>
          <t>Lv.35</t>
        </is>
      </c>
      <c r="E26" s="8" t="inlineStr">
        <is>
          <t>3-6 완료</t>
        </is>
      </c>
      <c r="F26" s="8" t="inlineStr">
        <is>
          <t>월드 보스 3회 처치</t>
        </is>
      </c>
      <c r="G26" s="8" t="inlineStr">
        <is>
          <t>worldboss_kill</t>
        </is>
      </c>
      <c r="H26" s="8" t="inlineStr">
        <is>
          <t>3</t>
        </is>
      </c>
      <c r="I26" s="8" t="inlineStr">
        <is>
          <t>드래곤 비늘 x10, 골드 20000</t>
        </is>
      </c>
      <c r="J26" s="8" t="inlineStr">
        <is>
          <t>고난도 보스</t>
        </is>
      </c>
      <c r="K26" s="8" t="inlineStr">
        <is>
          <t>일반</t>
        </is>
      </c>
    </row>
    <row r="27">
      <c r="A27" s="9" t="inlineStr">
        <is>
          <t>CH4</t>
        </is>
      </c>
      <c r="B27" s="9" t="inlineStr">
        <is>
          <t>4-2</t>
        </is>
      </c>
      <c r="C27" s="9" t="inlineStr">
        <is>
          <t>전설의 강화</t>
        </is>
      </c>
      <c r="D27" s="9" t="inlineStr">
        <is>
          <t>Lv.38</t>
        </is>
      </c>
      <c r="E27" s="9" t="inlineStr">
        <is>
          <t>4-1 완료</t>
        </is>
      </c>
      <c r="F27" s="9" t="inlineStr">
        <is>
          <t>장비 강화 +10 달성</t>
        </is>
      </c>
      <c r="G27" s="9" t="inlineStr">
        <is>
          <t>enchant_level</t>
        </is>
      </c>
      <c r="H27" s="9" t="inlineStr">
        <is>
          <t>10</t>
        </is>
      </c>
      <c r="I27" s="9" t="inlineStr">
        <is>
          <t>축복의 강화석, 다이아 200</t>
        </is>
      </c>
      <c r="J27" s="9" t="inlineStr">
        <is>
          <t>강화 마스터</t>
        </is>
      </c>
      <c r="K27" s="9" t="inlineStr">
        <is>
          <t>일반</t>
        </is>
      </c>
    </row>
    <row r="28">
      <c r="A28" s="8" t="inlineStr">
        <is>
          <t>CH4</t>
        </is>
      </c>
      <c r="B28" s="8" t="inlineStr">
        <is>
          <t>4-3</t>
        </is>
      </c>
      <c r="C28" s="8" t="inlineStr">
        <is>
          <t>세트 효과</t>
        </is>
      </c>
      <c r="D28" s="8" t="inlineStr">
        <is>
          <t>Lv.40</t>
        </is>
      </c>
      <c r="E28" s="8" t="inlineStr">
        <is>
          <t>4-2 완료</t>
        </is>
      </c>
      <c r="F28" s="8" t="inlineStr">
        <is>
          <t>장비 세트 보너스 활성</t>
        </is>
      </c>
      <c r="G28" s="8" t="inlineStr">
        <is>
          <t>set_bonus</t>
        </is>
      </c>
      <c r="H28" s="8" t="inlineStr">
        <is>
          <t>1</t>
        </is>
      </c>
      <c r="I28" s="8" t="inlineStr">
        <is>
          <t>세트 전용 룬, 골드 25000</t>
        </is>
      </c>
      <c r="J28" s="8" t="inlineStr">
        <is>
          <t>세트 수집</t>
        </is>
      </c>
      <c r="K28" s="8" t="inlineStr">
        <is>
          <t>일반</t>
        </is>
      </c>
    </row>
    <row r="29">
      <c r="A29" s="9" t="inlineStr">
        <is>
          <t>CH4</t>
        </is>
      </c>
      <c r="B29" s="9" t="inlineStr">
        <is>
          <t>4-4</t>
        </is>
      </c>
      <c r="C29" s="9" t="inlineStr">
        <is>
          <t>보스 러시</t>
        </is>
      </c>
      <c r="D29" s="9" t="inlineStr">
        <is>
          <t>Lv.42</t>
        </is>
      </c>
      <c r="E29" s="9" t="inlineStr">
        <is>
          <t>4-3 완료</t>
        </is>
      </c>
      <c r="F29" s="9" t="inlineStr">
        <is>
          <t>보스 러시 10웨이브</t>
        </is>
      </c>
      <c r="G29" s="9" t="inlineStr">
        <is>
          <t>boss_rush_wave</t>
        </is>
      </c>
      <c r="H29" s="9" t="inlineStr">
        <is>
          <t>10</t>
        </is>
      </c>
      <c r="I29" s="9" t="inlineStr">
        <is>
          <t>보스 러시 전용 칭호, 다이아 300</t>
        </is>
      </c>
      <c r="J29" s="9" t="inlineStr">
        <is>
          <t>극한 도전</t>
        </is>
      </c>
      <c r="K29" s="9" t="inlineStr">
        <is>
          <t>일반</t>
        </is>
      </c>
    </row>
    <row r="30">
      <c r="A30" s="8" t="inlineStr">
        <is>
          <t>CH4</t>
        </is>
      </c>
      <c r="B30" s="8" t="inlineStr">
        <is>
          <t>4-5</t>
        </is>
      </c>
      <c r="C30" s="8" t="inlineStr">
        <is>
          <t>차원의 균열</t>
        </is>
      </c>
      <c r="D30" s="8" t="inlineStr">
        <is>
          <t>Lv.45</t>
        </is>
      </c>
      <c r="E30" s="8" t="inlineStr">
        <is>
          <t>4-4 완료</t>
        </is>
      </c>
      <c r="F30" s="8" t="inlineStr">
        <is>
          <t>차원 균열 10층 돌파</t>
        </is>
      </c>
      <c r="G30" s="8" t="inlineStr">
        <is>
          <t>rift_clear</t>
        </is>
      </c>
      <c r="H30" s="8" t="inlineStr">
        <is>
          <t>10</t>
        </is>
      </c>
      <c r="I30" s="8" t="inlineStr">
        <is>
          <t>차원 장비, 골드 30000</t>
        </is>
      </c>
      <c r="J30" s="8" t="inlineStr">
        <is>
          <t>엔드게임 진입</t>
        </is>
      </c>
      <c r="K30" s="8" t="inlineStr">
        <is>
          <t>일반</t>
        </is>
      </c>
    </row>
    <row r="31">
      <c r="A31" s="9" t="inlineStr">
        <is>
          <t>CH4</t>
        </is>
      </c>
      <c r="B31" s="9" t="inlineStr">
        <is>
          <t>4-6</t>
        </is>
      </c>
      <c r="C31" s="9" t="inlineStr">
        <is>
          <t>영웅 등극</t>
        </is>
      </c>
      <c r="D31" s="9" t="inlineStr">
        <is>
          <t>Lv.50</t>
        </is>
      </c>
      <c r="E31" s="9" t="inlineStr">
        <is>
          <t>4-5 완료</t>
        </is>
      </c>
      <c r="F31" s="9" t="inlineStr">
        <is>
          <t>MVP 1회 달성</t>
        </is>
      </c>
      <c r="G31" s="9" t="inlineStr">
        <is>
          <t>worldboss_mvp</t>
        </is>
      </c>
      <c r="H31" s="9" t="inlineStr">
        <is>
          <t>1</t>
        </is>
      </c>
      <c r="I31" s="9" t="inlineStr">
        <is>
          <t>칭호: 영웅, 전설 펫, 다이아 500</t>
        </is>
      </c>
      <c r="J31" s="9" t="inlineStr">
        <is>
          <t>영웅 인정</t>
        </is>
      </c>
      <c r="K31" s="9" t="inlineStr">
        <is>
          <t>일반</t>
        </is>
      </c>
    </row>
    <row r="32">
      <c r="A32" s="8" t="inlineStr">
        <is>
          <t>CH5</t>
        </is>
      </c>
      <c r="B32" s="8" t="inlineStr">
        <is>
          <t>5-1</t>
        </is>
      </c>
      <c r="C32" s="8" t="inlineStr">
        <is>
          <t>환생의 길</t>
        </is>
      </c>
      <c r="D32" s="8" t="inlineStr">
        <is>
          <t>Lv.50</t>
        </is>
      </c>
      <c r="E32" s="8" t="inlineStr">
        <is>
          <t>4-6 완료</t>
        </is>
      </c>
      <c r="F32" s="8" t="inlineStr">
        <is>
          <t>환생 1회</t>
        </is>
      </c>
      <c r="G32" s="8" t="inlineStr">
        <is>
          <t>prestige_count</t>
        </is>
      </c>
      <c r="H32" s="8" t="inlineStr">
        <is>
          <t>1</t>
        </is>
      </c>
      <c r="I32" s="8" t="inlineStr">
        <is>
          <t>환생 전용 스킨, 다이아 500</t>
        </is>
      </c>
      <c r="J32" s="8" t="inlineStr">
        <is>
          <t>환생 시스템</t>
        </is>
      </c>
      <c r="K32" s="8" t="inlineStr">
        <is>
          <t>일반</t>
        </is>
      </c>
    </row>
    <row r="33">
      <c r="A33" s="9" t="inlineStr">
        <is>
          <t>CH5</t>
        </is>
      </c>
      <c r="B33" s="9" t="inlineStr">
        <is>
          <t>5-2</t>
        </is>
      </c>
      <c r="C33" s="9" t="inlineStr">
        <is>
          <t>마스터의 증명</t>
        </is>
      </c>
      <c r="D33" s="9" t="inlineStr">
        <is>
          <t>환생 1차</t>
        </is>
      </c>
      <c r="E33" s="9" t="inlineStr">
        <is>
          <t>5-1 완료</t>
        </is>
      </c>
      <c r="F33" s="9" t="inlineStr">
        <is>
          <t>아레나 골드 티어</t>
        </is>
      </c>
      <c r="G33" s="9" t="inlineStr">
        <is>
          <t>arena_tier</t>
        </is>
      </c>
      <c r="H33" s="9" t="inlineStr">
        <is>
          <t>3</t>
        </is>
      </c>
      <c r="I33" s="9" t="inlineStr">
        <is>
          <t>마스터 칭호, 골드 50000</t>
        </is>
      </c>
      <c r="J33" s="9" t="inlineStr">
        <is>
          <t>마스터 등급</t>
        </is>
      </c>
      <c r="K33" s="9" t="inlineStr">
        <is>
          <t>일반</t>
        </is>
      </c>
    </row>
    <row r="34">
      <c r="A34" s="8" t="inlineStr">
        <is>
          <t>CH5</t>
        </is>
      </c>
      <c r="B34" s="8" t="inlineStr">
        <is>
          <t>5-3</t>
        </is>
      </c>
      <c r="C34" s="8" t="inlineStr">
        <is>
          <t>차원 정복자</t>
        </is>
      </c>
      <c r="D34" s="8" t="inlineStr">
        <is>
          <t>환생 2차</t>
        </is>
      </c>
      <c r="E34" s="8" t="inlineStr">
        <is>
          <t>5-2 완료</t>
        </is>
      </c>
      <c r="F34" s="8" t="inlineStr">
        <is>
          <t>차원 균열 30층</t>
        </is>
      </c>
      <c r="G34" s="8" t="inlineStr">
        <is>
          <t>rift_clear</t>
        </is>
      </c>
      <c r="H34" s="8" t="inlineStr">
        <is>
          <t>30</t>
        </is>
      </c>
      <c r="I34" s="8" t="inlineStr">
        <is>
          <t>차원 정복자 칭호, 다이아 800</t>
        </is>
      </c>
      <c r="J34" s="8" t="inlineStr">
        <is>
          <t>최상위 도전</t>
        </is>
      </c>
      <c r="K34" s="8" t="inlineStr">
        <is>
          <t>일반</t>
        </is>
      </c>
    </row>
    <row r="35">
      <c r="A35" s="9" t="inlineStr">
        <is>
          <t>CH5</t>
        </is>
      </c>
      <c r="B35" s="9" t="inlineStr">
        <is>
          <t>5-4</t>
        </is>
      </c>
      <c r="C35" s="9" t="inlineStr">
        <is>
          <t>전설의 대장장이</t>
        </is>
      </c>
      <c r="D35" s="9" t="inlineStr">
        <is>
          <t>환생 3차</t>
        </is>
      </c>
      <c r="E35" s="9" t="inlineStr">
        <is>
          <t>5-3 완료</t>
        </is>
      </c>
      <c r="F35" s="9" t="inlineStr">
        <is>
          <t>전설 장비 10개 보유</t>
        </is>
      </c>
      <c r="G35" s="9" t="inlineStr">
        <is>
          <t>legendary_equip</t>
        </is>
      </c>
      <c r="H35" s="9" t="inlineStr">
        <is>
          <t>10</t>
        </is>
      </c>
      <c r="I35" s="9" t="inlineStr">
        <is>
          <t>전설 제작 마스터, 다이아 1000</t>
        </is>
      </c>
      <c r="J35" s="9" t="inlineStr">
        <is>
          <t>수집 완성</t>
        </is>
      </c>
      <c r="K35" s="9" t="inlineStr">
        <is>
          <t>일반</t>
        </is>
      </c>
    </row>
    <row r="36">
      <c r="A36" s="8" t="inlineStr">
        <is>
          <t>CH5</t>
        </is>
      </c>
      <c r="B36" s="8" t="inlineStr">
        <is>
          <t>5-5</t>
        </is>
      </c>
      <c r="C36" s="8" t="inlineStr">
        <is>
          <t>최종 결전</t>
        </is>
      </c>
      <c r="D36" s="8" t="inlineStr">
        <is>
          <t>환생 5차</t>
        </is>
      </c>
      <c r="E36" s="8" t="inlineStr">
        <is>
          <t>5-4 완료</t>
        </is>
      </c>
      <c r="F36" s="8" t="inlineStr">
        <is>
          <t>모든 월드 보스 MVP</t>
        </is>
      </c>
      <c r="G36" s="8" t="inlineStr">
        <is>
          <t>worldboss_mvp</t>
        </is>
      </c>
      <c r="H36" s="8" t="inlineStr">
        <is>
          <t>5</t>
        </is>
      </c>
      <c r="I36" s="8" t="inlineStr">
        <is>
          <t>칭호: 전설, 특수 파티클, 다이아 2000</t>
        </is>
      </c>
      <c r="J36" s="8" t="inlineStr">
        <is>
          <t>최종 목표</t>
        </is>
      </c>
      <c r="K36" s="8" t="inlineStr">
        <is>
          <t>일반</t>
        </is>
      </c>
    </row>
  </sheetData>
  <mergeCells count="1">
    <mergeCell ref="A1:K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35" customWidth="1" min="2" max="2"/>
    <col width="16" customWidth="1" min="3" max="3"/>
    <col width="40" customWidth="1" min="4" max="4"/>
  </cols>
  <sheetData>
    <row r="1">
      <c r="A1" s="6" t="inlineStr">
        <is>
          <t>퀘스트 길잡이 시스템</t>
        </is>
      </c>
    </row>
    <row r="3">
      <c r="A3" s="7" t="inlineStr">
        <is>
          <t>기능</t>
        </is>
      </c>
      <c r="B3" s="7" t="inlineStr">
        <is>
          <t>설명</t>
        </is>
      </c>
      <c r="C3" s="7" t="inlineStr">
        <is>
          <t>발동 시점</t>
        </is>
      </c>
      <c r="D3" s="7" t="inlineStr">
        <is>
          <t>상세</t>
        </is>
      </c>
    </row>
    <row r="4">
      <c r="A4" s="8" t="inlineStr">
        <is>
          <t>퀘스트 HUD</t>
        </is>
      </c>
      <c r="B4" s="8" t="inlineStr">
        <is>
          <t>화면 우측 상단에 현재 메인 퀘스트 표시</t>
        </is>
      </c>
      <c r="C4" s="8" t="inlineStr">
        <is>
          <t>항상 표시</t>
        </is>
      </c>
      <c r="D4" s="8" t="inlineStr">
        <is>
          <t>진행 중 퀘스트의 이름, 목표, 진행률 (3/5)</t>
        </is>
      </c>
    </row>
    <row r="5">
      <c r="A5" s="9" t="inlineStr">
        <is>
          <t>자동 추적</t>
        </is>
      </c>
      <c r="B5" s="9" t="inlineStr">
        <is>
          <t>메인 퀘스트 완료 시 자동으로 다음 퀘스트 표시</t>
        </is>
      </c>
      <c r="C5" s="9" t="inlineStr">
        <is>
          <t>퀘스트 완료 시</t>
        </is>
      </c>
      <c r="D5" s="9" t="inlineStr">
        <is>
          <t>보상 팝업 → 3초 후 다음 퀘스트 자동 표시</t>
        </is>
      </c>
    </row>
    <row r="6">
      <c r="A6" s="8" t="inlineStr">
        <is>
          <t>NPC 안내</t>
        </is>
      </c>
      <c r="B6" s="8" t="inlineStr">
        <is>
          <t>메인 퀘스트 관련 NPC 머리 위에 ! 표시</t>
        </is>
      </c>
      <c r="C6" s="8" t="inlineStr">
        <is>
          <t>NPC 근처 진입 시</t>
        </is>
      </c>
      <c r="D6" s="8" t="inlineStr">
        <is>
          <t>퀘스트 수락/완료 가능한 NPC 강조</t>
        </is>
      </c>
    </row>
    <row r="7">
      <c r="A7" s="9" t="inlineStr">
        <is>
          <t>존 안내</t>
        </is>
      </c>
      <c r="B7" s="9" t="inlineStr">
        <is>
          <t>목표 존으로 미니맵에 화살표 표시</t>
        </is>
      </c>
      <c r="C7" s="9" t="inlineStr">
        <is>
          <t>존 이동 필요 시</t>
        </is>
      </c>
      <c r="D7" s="9" t="inlineStr">
        <is>
          <t>퀘스트 목표가 특정 존에서만 가능한 경우</t>
        </is>
      </c>
    </row>
    <row r="8">
      <c r="A8" s="8" t="inlineStr">
        <is>
          <t>분기 선택 UI</t>
        </is>
      </c>
      <c r="B8" s="8" t="inlineStr">
        <is>
          <t>분기 퀘스트 도달 시 선택 모달 표시</t>
        </is>
      </c>
      <c r="C8" s="8" t="inlineStr">
        <is>
          <t>분기 퀘스트 시</t>
        </is>
      </c>
      <c r="D8" s="8" t="inlineStr">
        <is>
          <t>각 선택지의 보상/특성을 비교하는 UI</t>
        </is>
      </c>
    </row>
    <row r="9">
      <c r="A9" s="9" t="inlineStr">
        <is>
          <t>퀘스트 로그</t>
        </is>
      </c>
      <c r="B9" s="9" t="inlineStr">
        <is>
          <t>완료한 퀘스트 히스토리 열람</t>
        </is>
      </c>
      <c r="C9" s="9" t="inlineStr">
        <is>
          <t>메뉴에서</t>
        </is>
      </c>
      <c r="D9" s="9" t="inlineStr">
        <is>
          <t>챕터별 완료 현황, 숨겨진 퀘스트 해금 상태</t>
        </is>
      </c>
    </row>
    <row r="10">
      <c r="A10" s="8" t="inlineStr">
        <is>
          <t>보상 연출</t>
        </is>
      </c>
      <c r="B10" s="8" t="inlineStr">
        <is>
          <t>퀘스트 완료 시 화려한 보상 연출</t>
        </is>
      </c>
      <c r="C10" s="8" t="inlineStr">
        <is>
          <t>완료 시</t>
        </is>
      </c>
      <c r="D10" s="8" t="inlineStr">
        <is>
          <t>아이템 드롭 + 경험치 바 + 골드 카운터 애니메이션</t>
        </is>
      </c>
    </row>
    <row r="11">
      <c r="A11" s="9" t="inlineStr">
        <is>
          <t>챕터 전환</t>
        </is>
      </c>
      <c r="B11" s="9" t="inlineStr">
        <is>
          <t>챕터 클리어 시 스토리 컷씬</t>
        </is>
      </c>
      <c r="C11" s="9" t="inlineStr">
        <is>
          <t>챕터 완료 시</t>
        </is>
      </c>
      <c r="D11" s="9" t="inlineStr">
        <is>
          <t>다음 챕터 해금 알림 + 새로운 존/기능 안내</t>
        </is>
      </c>
    </row>
  </sheetData>
  <mergeCells count="1">
    <mergeCell ref="A1:D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8" customWidth="1" min="1" max="1"/>
    <col width="8" customWidth="1" min="2" max="2"/>
    <col width="16" customWidth="1" min="3" max="3"/>
    <col width="22" customWidth="1" min="4" max="4"/>
    <col width="14" customWidth="1" min="5" max="5"/>
    <col width="8" customWidth="1" min="6" max="6"/>
    <col width="28" customWidth="1" min="7" max="7"/>
    <col width="22" customWidth="1" min="8" max="8"/>
    <col width="22" customWidth="1" min="9" max="9"/>
  </cols>
  <sheetData>
    <row r="1">
      <c r="A1" s="6" t="inlineStr">
        <is>
          <t>숨겨진 &amp; 분기 퀘스트</t>
        </is>
      </c>
    </row>
    <row r="3">
      <c r="A3" s="7" t="inlineStr">
        <is>
          <t>유형</t>
        </is>
      </c>
      <c r="B3" s="7" t="inlineStr">
        <is>
          <t>퀘스트ID</t>
        </is>
      </c>
      <c r="C3" s="7" t="inlineStr">
        <is>
          <t>퀘스트명</t>
        </is>
      </c>
      <c r="D3" s="7" t="inlineStr">
        <is>
          <t>해금 조건</t>
        </is>
      </c>
      <c r="E3" s="7" t="inlineStr">
        <is>
          <t>추적 타겟</t>
        </is>
      </c>
      <c r="F3" s="7" t="inlineStr">
        <is>
          <t>목표량</t>
        </is>
      </c>
      <c r="G3" s="7" t="inlineStr">
        <is>
          <t>보상</t>
        </is>
      </c>
      <c r="H3" s="7" t="inlineStr">
        <is>
          <t>설계 의도</t>
        </is>
      </c>
      <c r="I3" s="7" t="inlineStr">
        <is>
          <t>구현 메모</t>
        </is>
      </c>
    </row>
    <row r="4">
      <c r="A4" s="8" t="inlineStr">
        <is>
          <t>숨겨진</t>
        </is>
      </c>
      <c r="B4" s="8" t="inlineStr">
        <is>
          <t>H-1</t>
        </is>
      </c>
      <c r="C4" s="8" t="inlineStr">
        <is>
          <t>밤의 사냥꾼</t>
        </is>
      </c>
      <c r="D4" s="8" t="inlineStr">
        <is>
          <t>밤에 50마리 처치</t>
        </is>
      </c>
      <c r="E4" s="8" t="inlineStr">
        <is>
          <t>kill_night</t>
        </is>
      </c>
      <c r="F4" s="8" t="inlineStr">
        <is>
          <t>50</t>
        </is>
      </c>
      <c r="G4" s="8" t="inlineStr">
        <is>
          <t>야행성 칭호, 야간 ATK+20%</t>
        </is>
      </c>
      <c r="H4" s="8" t="inlineStr">
        <is>
          <t>밤 시간에만 사냥 가능 (worldTime &gt; 300)</t>
        </is>
      </c>
      <c r="I4" s="8" t="inlineStr">
        <is>
          <t>처치 시 isNight 체크</t>
        </is>
      </c>
    </row>
    <row r="5">
      <c r="A5" s="9" t="inlineStr">
        <is>
          <t>숨겨진</t>
        </is>
      </c>
      <c r="B5" s="9" t="inlineStr">
        <is>
          <t>H-2</t>
        </is>
      </c>
      <c r="C5" s="9" t="inlineStr">
        <is>
          <t>폭풍의 전사</t>
        </is>
      </c>
      <c r="D5" s="9" t="inlineStr">
        <is>
          <t>폭풍 날씨에 30마리 처치</t>
        </is>
      </c>
      <c r="E5" s="9" t="inlineStr">
        <is>
          <t>kill_storm</t>
        </is>
      </c>
      <c r="F5" s="9" t="inlineStr">
        <is>
          <t>30</t>
        </is>
      </c>
      <c r="G5" s="9" t="inlineStr">
        <is>
          <t>폭풍의 검 (Wind ATK+30), 다이아 100</t>
        </is>
      </c>
      <c r="H5" s="9" t="inlineStr">
        <is>
          <t>폭풍 날씨에서만 카운트</t>
        </is>
      </c>
      <c r="I5" s="9" t="inlineStr">
        <is>
          <t>weather.id === storm 체크</t>
        </is>
      </c>
    </row>
    <row r="6">
      <c r="A6" s="8" t="inlineStr">
        <is>
          <t>숨겨진</t>
        </is>
      </c>
      <c r="B6" s="8" t="inlineStr">
        <is>
          <t>H-3</t>
        </is>
      </c>
      <c r="C6" s="8" t="inlineStr">
        <is>
          <t>평화주의자</t>
        </is>
      </c>
      <c r="D6" s="8" t="inlineStr">
        <is>
          <t>카르마 0 유지 + Lv.30</t>
        </is>
      </c>
      <c r="E6" s="8" t="inlineStr">
        <is>
          <t>peaceful_30</t>
        </is>
      </c>
      <c r="F6" s="8" t="inlineStr">
        <is>
          <t>1</t>
        </is>
      </c>
      <c r="G6" s="8" t="inlineStr">
        <is>
          <t>성자 칭호, DEF+50 영구</t>
        </is>
      </c>
      <c r="H6" s="8" t="inlineStr">
        <is>
          <t>PvP 안 하고 30 달성</t>
        </is>
      </c>
      <c r="I6" s="8" t="inlineStr">
        <is>
          <t>karma === 0 &amp;&amp; level &gt;= 30</t>
        </is>
      </c>
    </row>
    <row r="7">
      <c r="A7" s="9" t="inlineStr">
        <is>
          <t>숨겨진</t>
        </is>
      </c>
      <c r="B7" s="9" t="inlineStr">
        <is>
          <t>H-4</t>
        </is>
      </c>
      <c r="C7" s="9" t="inlineStr">
        <is>
          <t>도박왕</t>
        </is>
      </c>
      <c r="D7" s="9" t="inlineStr">
        <is>
          <t>주사위 도박 20연승</t>
        </is>
      </c>
      <c r="E7" s="9" t="inlineStr">
        <is>
          <t>dice_streak</t>
        </is>
      </c>
      <c r="F7" s="9" t="inlineStr">
        <is>
          <t>20</t>
        </is>
      </c>
      <c r="G7" s="9" t="inlineStr">
        <is>
          <t>황금 주사위 이모트, 골드 50000</t>
        </is>
      </c>
      <c r="H7" s="9" t="inlineStr">
        <is>
          <t>연속 승리 추적</t>
        </is>
      </c>
      <c r="I7" s="9" t="inlineStr">
        <is>
          <t>_diceWinStreak &gt;= 20</t>
        </is>
      </c>
    </row>
    <row r="8">
      <c r="A8" s="8" t="inlineStr">
        <is>
          <t>숨겨진</t>
        </is>
      </c>
      <c r="B8" s="8" t="inlineStr">
        <is>
          <t>H-5</t>
        </is>
      </c>
      <c r="C8" s="8" t="inlineStr">
        <is>
          <t>고독한 전사</t>
        </is>
      </c>
      <c r="D8" s="8" t="inlineStr">
        <is>
          <t>혈맹 없이 Lv.40</t>
        </is>
      </c>
      <c r="E8" s="8" t="inlineStr">
        <is>
          <t>solo_40</t>
        </is>
      </c>
      <c r="F8" s="8" t="inlineStr">
        <is>
          <t>1</t>
        </is>
      </c>
      <c r="G8" s="8" t="inlineStr">
        <is>
          <t>고독의 늑대 칭호, 솔로 ATK+15%</t>
        </is>
      </c>
      <c r="H8" s="8" t="inlineStr">
        <is>
          <t>혈맹 미가입 상태</t>
        </is>
      </c>
      <c r="I8" s="8" t="inlineStr">
        <is>
          <t>!clanName &amp;&amp; level &gt;= 40</t>
        </is>
      </c>
    </row>
    <row r="9">
      <c r="A9" s="9" t="inlineStr">
        <is>
          <t>숨겨진</t>
        </is>
      </c>
      <c r="B9" s="9" t="inlineStr">
        <is>
          <t>H-6</t>
        </is>
      </c>
      <c r="C9" s="9" t="inlineStr">
        <is>
          <t>낚시 마스터</t>
        </is>
      </c>
      <c r="D9" s="9" t="inlineStr">
        <is>
          <t>전설 물고기 낚기</t>
        </is>
      </c>
      <c r="E9" s="9" t="inlineStr">
        <is>
          <t>legendary_fish</t>
        </is>
      </c>
      <c r="F9" s="9" t="inlineStr">
        <is>
          <t>1</t>
        </is>
      </c>
      <c r="G9" s="9" t="inlineStr">
        <is>
          <t>황금 갈고리 장비, 다이아 200</t>
        </is>
      </c>
      <c r="H9" s="9" t="inlineStr">
        <is>
          <t>0.5% 확률 전설 물고기</t>
        </is>
      </c>
      <c r="I9" s="9" t="inlineStr">
        <is>
          <t>fishGrade === legendary</t>
        </is>
      </c>
    </row>
    <row r="10">
      <c r="A10" s="8" t="inlineStr">
        <is>
          <t>숨겨진</t>
        </is>
      </c>
      <c r="B10" s="8" t="inlineStr">
        <is>
          <t>H-7</t>
        </is>
      </c>
      <c r="C10" s="8" t="inlineStr">
        <is>
          <t>화산 생존자</t>
        </is>
      </c>
      <c r="D10" s="8" t="inlineStr">
        <is>
          <t>화산 존 10분 생존</t>
        </is>
      </c>
      <c r="E10" s="8" t="inlineStr">
        <is>
          <t>volcano_survive</t>
        </is>
      </c>
      <c r="F10" s="8" t="inlineStr">
        <is>
          <t>600</t>
        </is>
      </c>
      <c r="G10" s="8" t="inlineStr">
        <is>
          <t>불사조 칭호, Fire 내성 50%</t>
        </is>
      </c>
      <c r="H10" s="8" t="inlineStr">
        <is>
          <t>화산 zone에서 연속 10분</t>
        </is>
      </c>
      <c r="I10" s="8" t="inlineStr">
        <is>
          <t>getZone === volcano, 600초 연속</t>
        </is>
      </c>
    </row>
    <row r="11">
      <c r="A11" s="9" t="inlineStr">
        <is>
          <t>숨겨진</t>
        </is>
      </c>
      <c r="B11" s="9" t="inlineStr">
        <is>
          <t>H-8</t>
        </is>
      </c>
      <c r="C11" s="9" t="inlineStr">
        <is>
          <t>골드 파밍왕</t>
        </is>
      </c>
      <c r="D11" s="9" t="inlineStr">
        <is>
          <t>골드 100만 누적 획득</t>
        </is>
      </c>
      <c r="E11" s="9" t="inlineStr">
        <is>
          <t>total_gold</t>
        </is>
      </c>
      <c r="F11" s="9" t="inlineStr">
        <is>
          <t>1000000</t>
        </is>
      </c>
      <c r="G11" s="9" t="inlineStr">
        <is>
          <t>금고 확장 (+50% MAX_GOLD), 다이아 300</t>
        </is>
      </c>
      <c r="H11" s="9" t="inlineStr">
        <is>
          <t>누적 골드 100만</t>
        </is>
      </c>
      <c r="I11" s="9" t="inlineStr">
        <is>
          <t>_totalGoldEarned &gt;= 1M</t>
        </is>
      </c>
    </row>
    <row r="12">
      <c r="A12" s="8" t="inlineStr">
        <is>
          <t>분기</t>
        </is>
      </c>
      <c r="B12" s="8" t="inlineStr">
        <is>
          <t>B-1</t>
        </is>
      </c>
      <c r="C12" s="8" t="inlineStr">
        <is>
          <t>빛과 어둠의 선택</t>
        </is>
      </c>
      <c r="D12" s="8" t="inlineStr">
        <is>
          <t>메인 3-3 진영 선택 후</t>
        </is>
      </c>
      <c r="E12" s="8" t="inlineStr">
        <is>
          <t>faction_choice</t>
        </is>
      </c>
      <c r="F12" s="8" t="inlineStr">
        <is>
          <t>1</t>
        </is>
      </c>
      <c r="G12" s="8" t="inlineStr">
        <is>
          <t>진영별 전용 장비 세트</t>
        </is>
      </c>
      <c r="H12" s="8" t="inlineStr">
        <is>
          <t>태양/달/별 3갈래</t>
        </is>
      </c>
      <c r="I12" s="8" t="inlineStr">
        <is>
          <t>3-3 완료 시 자동 분기</t>
        </is>
      </c>
    </row>
    <row r="13">
      <c r="A13" s="9" t="inlineStr">
        <is>
          <t>분기</t>
        </is>
      </c>
      <c r="B13" s="9" t="inlineStr">
        <is>
          <t>B-2</t>
        </is>
      </c>
      <c r="C13" s="9" t="inlineStr">
        <is>
          <t>전직 분기</t>
        </is>
      </c>
      <c r="D13" s="9" t="inlineStr">
        <is>
          <t>2차 전직 시</t>
        </is>
      </c>
      <c r="E13" s="9" t="inlineStr">
        <is>
          <t>class_branch</t>
        </is>
      </c>
      <c r="F13" s="9" t="inlineStr">
        <is>
          <t>1</t>
        </is>
      </c>
      <c r="G13" s="9" t="inlineStr">
        <is>
          <t>클래스별 고유 스킬</t>
        </is>
      </c>
      <c r="H13" s="9" t="inlineStr">
        <is>
          <t>워리어→버서커/가디언, 메이지→아크메이지/네크로</t>
        </is>
      </c>
      <c r="I13" s="9" t="inlineStr">
        <is>
          <t>CLASS_ADVANCE 연동</t>
        </is>
      </c>
    </row>
    <row r="14">
      <c r="A14" s="8" t="inlineStr">
        <is>
          <t>분기</t>
        </is>
      </c>
      <c r="B14" s="8" t="inlineStr">
        <is>
          <t>B-3</t>
        </is>
      </c>
      <c r="C14" s="8" t="inlineStr">
        <is>
          <t>선악의 갈림길</t>
        </is>
      </c>
      <c r="D14" s="8" t="inlineStr">
        <is>
          <t>카르마 100 또는 -100</t>
        </is>
      </c>
      <c r="E14" s="8" t="inlineStr">
        <is>
          <t>karma_path</t>
        </is>
      </c>
      <c r="F14" s="8" t="inlineStr">
        <is>
          <t>1</t>
        </is>
      </c>
      <c r="G14" s="8" t="inlineStr">
        <is>
          <t>선: 성기사 스킬 / 악: 암살자 스킬</t>
        </is>
      </c>
      <c r="H14" s="8" t="inlineStr">
        <is>
          <t>카르마 수치로 자동 분기</t>
        </is>
      </c>
      <c r="I14" s="8" t="inlineStr">
        <is>
          <t>karma &gt;= 100 or &lt;= -100</t>
        </is>
      </c>
    </row>
    <row r="15">
      <c r="A15" s="9" t="inlineStr">
        <is>
          <t>분기</t>
        </is>
      </c>
      <c r="B15" s="9" t="inlineStr">
        <is>
          <t>B-4</t>
        </is>
      </c>
      <c r="C15" s="9" t="inlineStr">
        <is>
          <t>펫 진화 분기</t>
        </is>
      </c>
      <c r="D15" s="9" t="inlineStr">
        <is>
          <t>펫 진화 시</t>
        </is>
      </c>
      <c r="E15" s="9" t="inlineStr">
        <is>
          <t>pet_evolve_branch</t>
        </is>
      </c>
      <c r="F15" s="9" t="inlineStr">
        <is>
          <t>1</t>
        </is>
      </c>
      <c r="G15" s="9" t="inlineStr">
        <is>
          <t>공격형/방어형/지원형 진화</t>
        </is>
      </c>
      <c r="H15" s="9" t="inlineStr">
        <is>
          <t>진화 방향 선택 UI</t>
        </is>
      </c>
      <c r="I15" s="9" t="inlineStr">
        <is>
          <t>evolve 시 3택 모달</t>
        </is>
      </c>
    </row>
  </sheetData>
  <mergeCells count="1">
    <mergeCell ref="A1:I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8" customWidth="1" min="2" max="2"/>
    <col width="10" customWidth="1" min="3" max="3"/>
    <col width="18" customWidth="1" min="4" max="4"/>
    <col width="20" customWidth="1" min="5" max="5"/>
  </cols>
  <sheetData>
    <row r="1">
      <c r="A1" s="6" t="inlineStr">
        <is>
          <t>카지노 시스템 상세</t>
        </is>
      </c>
    </row>
    <row r="3">
      <c r="A3" s="7" t="inlineStr">
        <is>
          <t>게임</t>
        </is>
      </c>
      <c r="B3" s="7" t="inlineStr">
        <is>
          <t>조건</t>
        </is>
      </c>
      <c r="C3" s="7" t="inlineStr">
        <is>
          <t>배당</t>
        </is>
      </c>
      <c r="D3" s="7" t="inlineStr">
        <is>
          <t>확률</t>
        </is>
      </c>
      <c r="E3" s="7" t="inlineStr">
        <is>
          <t>비고</t>
        </is>
      </c>
    </row>
    <row r="4">
      <c r="A4" s="8" t="inlineStr">
        <is>
          <t>슬롯머신</t>
        </is>
      </c>
      <c r="B4" s="8" t="inlineStr">
        <is>
          <t>7️⃣ 3개 일치</t>
        </is>
      </c>
      <c r="C4" s="8" t="inlineStr">
        <is>
          <t>50배</t>
        </is>
      </c>
      <c r="D4" s="8" t="inlineStr">
        <is>
          <t>P=1/343 (0.29%)</t>
        </is>
      </c>
      <c r="E4" s="8" t="inlineStr">
        <is>
          <t>최고 배당</t>
        </is>
      </c>
    </row>
    <row r="5">
      <c r="A5" s="9" t="inlineStr">
        <is>
          <t>슬롯머신</t>
        </is>
      </c>
      <c r="B5" s="9" t="inlineStr">
        <is>
          <t>💎 3개 일치</t>
        </is>
      </c>
      <c r="C5" s="9" t="inlineStr">
        <is>
          <t>25배</t>
        </is>
      </c>
      <c r="D5" s="9" t="inlineStr">
        <is>
          <t>P=1/343 (0.29%)</t>
        </is>
      </c>
      <c r="E5" s="9" t="inlineStr">
        <is>
          <t>고배당</t>
        </is>
      </c>
    </row>
    <row r="6">
      <c r="A6" s="8" t="inlineStr">
        <is>
          <t>슬롯머신</t>
        </is>
      </c>
      <c r="B6" s="8" t="inlineStr">
        <is>
          <t>⭐ 3개 일치</t>
        </is>
      </c>
      <c r="C6" s="8" t="inlineStr">
        <is>
          <t>12배</t>
        </is>
      </c>
      <c r="D6" s="8" t="inlineStr">
        <is>
          <t>P=1/343 (0.29%)</t>
        </is>
      </c>
      <c r="E6" s="8" t="inlineStr">
        <is>
          <t>중배당</t>
        </is>
      </c>
    </row>
    <row r="7">
      <c r="A7" s="9" t="inlineStr">
        <is>
          <t>슬롯머신</t>
        </is>
      </c>
      <c r="B7" s="9" t="inlineStr">
        <is>
          <t>🔔 3개 일치</t>
        </is>
      </c>
      <c r="C7" s="9" t="inlineStr">
        <is>
          <t>8배</t>
        </is>
      </c>
      <c r="D7" s="9" t="inlineStr">
        <is>
          <t>P=1/343 (0.29%)</t>
        </is>
      </c>
      <c r="E7" s="9" t="inlineStr">
        <is>
          <t>중배당</t>
        </is>
      </c>
    </row>
    <row r="8">
      <c r="A8" s="8" t="inlineStr">
        <is>
          <t>슬롯머신</t>
        </is>
      </c>
      <c r="B8" s="8" t="inlineStr">
        <is>
          <t>🍊 3개 일치</t>
        </is>
      </c>
      <c r="C8" s="8" t="inlineStr">
        <is>
          <t>5배</t>
        </is>
      </c>
      <c r="D8" s="8" t="inlineStr">
        <is>
          <t>P=1/343 (0.29%)</t>
        </is>
      </c>
      <c r="E8" s="8" t="inlineStr">
        <is>
          <t>저배당</t>
        </is>
      </c>
    </row>
    <row r="9">
      <c r="A9" s="9" t="inlineStr">
        <is>
          <t>슬롯머신</t>
        </is>
      </c>
      <c r="B9" s="9" t="inlineStr">
        <is>
          <t>🍋 3개 일치</t>
        </is>
      </c>
      <c r="C9" s="9" t="inlineStr">
        <is>
          <t>4배</t>
        </is>
      </c>
      <c r="D9" s="9" t="inlineStr">
        <is>
          <t>P=1/343 (0.29%)</t>
        </is>
      </c>
      <c r="E9" s="9" t="inlineStr">
        <is>
          <t>저배당</t>
        </is>
      </c>
    </row>
    <row r="10">
      <c r="A10" s="8" t="inlineStr">
        <is>
          <t>슬롯머신</t>
        </is>
      </c>
      <c r="B10" s="8" t="inlineStr">
        <is>
          <t>🍒 3개 일치</t>
        </is>
      </c>
      <c r="C10" s="8" t="inlineStr">
        <is>
          <t>3배</t>
        </is>
      </c>
      <c r="D10" s="8" t="inlineStr">
        <is>
          <t>P=1/343 (0.29%)</t>
        </is>
      </c>
      <c r="E10" s="8" t="inlineStr">
        <is>
          <t>최저배당</t>
        </is>
      </c>
    </row>
    <row r="11">
      <c r="A11" s="9" t="inlineStr">
        <is>
          <t>슬롯머신</t>
        </is>
      </c>
      <c r="B11" s="9" t="inlineStr">
        <is>
          <t>🍒 2개 일치</t>
        </is>
      </c>
      <c r="C11" s="9" t="inlineStr">
        <is>
          <t>1.5배</t>
        </is>
      </c>
      <c r="D11" s="9" t="inlineStr">
        <is>
          <t>P=18/343 (5.25%)</t>
        </is>
      </c>
      <c r="E11" s="9" t="inlineStr">
        <is>
          <t>부분 당첨</t>
        </is>
      </c>
    </row>
    <row r="12">
      <c r="A12" s="8" t="inlineStr">
        <is>
          <t>주사위</t>
        </is>
      </c>
      <c r="B12" s="8" t="inlineStr">
        <is>
          <t>High(8-12)</t>
        </is>
      </c>
      <c r="C12" s="8" t="inlineStr">
        <is>
          <t>2배</t>
        </is>
      </c>
      <c r="D12" s="8" t="inlineStr">
        <is>
          <t>50% 확률</t>
        </is>
      </c>
      <c r="E12" s="8" t="inlineStr">
        <is>
          <t>균형잡힌 배당</t>
        </is>
      </c>
    </row>
    <row r="13">
      <c r="A13" s="9" t="inlineStr">
        <is>
          <t>주사위</t>
        </is>
      </c>
      <c r="B13" s="9" t="inlineStr">
        <is>
          <t>Low(2-6)</t>
        </is>
      </c>
      <c r="C13" s="9" t="inlineStr">
        <is>
          <t>2배</t>
        </is>
      </c>
      <c r="D13" s="9" t="inlineStr">
        <is>
          <t>50% 확률</t>
        </is>
      </c>
      <c r="E13" s="9" t="inlineStr">
        <is>
          <t>균형잡힌 배당</t>
        </is>
      </c>
    </row>
    <row r="14">
      <c r="A14" s="8" t="inlineStr">
        <is>
          <t>주사위</t>
        </is>
      </c>
      <c r="B14" s="8" t="inlineStr">
        <is>
          <t>Lucky 7</t>
        </is>
      </c>
      <c r="C14" s="8" t="inlineStr">
        <is>
          <t>5배</t>
        </is>
      </c>
      <c r="D14" s="8" t="inlineStr">
        <is>
          <t>~16.7% 확률</t>
        </is>
      </c>
      <c r="E14" s="8" t="inlineStr">
        <is>
          <t>고위험 고보상</t>
        </is>
      </c>
    </row>
    <row r="15">
      <c r="A15" s="9" t="inlineStr">
        <is>
          <t>주사위</t>
        </is>
      </c>
      <c r="B15" s="9" t="inlineStr">
        <is>
          <t>특정 숫자</t>
        </is>
      </c>
      <c r="C15" s="9" t="inlineStr">
        <is>
          <t>8배</t>
        </is>
      </c>
      <c r="D15" s="9" t="inlineStr">
        <is>
          <t>~8.3% 확률</t>
        </is>
      </c>
      <c r="E15" s="9" t="inlineStr">
        <is>
          <t>최고위험</t>
        </is>
      </c>
    </row>
    <row r="16">
      <c r="A16" s="8" t="inlineStr">
        <is>
          <t>동전 던지기</t>
        </is>
      </c>
      <c r="B16" s="8" t="inlineStr">
        <is>
          <t>앞/뒤</t>
        </is>
      </c>
      <c r="C16" s="8" t="inlineStr">
        <is>
          <t>1.95배</t>
        </is>
      </c>
      <c r="D16" s="8" t="inlineStr">
        <is>
          <t>50% 확률</t>
        </is>
      </c>
      <c r="E16" s="8" t="inlineStr">
        <is>
          <t>하우스 엣지 2.5%</t>
        </is>
      </c>
    </row>
    <row r="17">
      <c r="A17" s="9" t="inlineStr">
        <is>
          <t>설정</t>
        </is>
      </c>
      <c r="B17" s="9" t="inlineStr">
        <is>
          <t>최소 베팅</t>
        </is>
      </c>
      <c r="C17" s="9" t="inlineStr">
        <is>
          <t>10G</t>
        </is>
      </c>
      <c r="D17" s="9" t="inlineStr">
        <is>
          <t>-</t>
        </is>
      </c>
      <c r="E17" s="9" t="inlineStr">
        <is>
          <t>-</t>
        </is>
      </c>
    </row>
    <row r="18">
      <c r="A18" s="8" t="inlineStr">
        <is>
          <t>설정</t>
        </is>
      </c>
      <c r="B18" s="8" t="inlineStr">
        <is>
          <t>최대 베팅</t>
        </is>
      </c>
      <c r="C18" s="8" t="inlineStr">
        <is>
          <t>10,000G</t>
        </is>
      </c>
      <c r="D18" s="8" t="inlineStr">
        <is>
          <t>-</t>
        </is>
      </c>
      <c r="E18" s="8" t="inlineStr">
        <is>
          <t>-</t>
        </is>
      </c>
    </row>
    <row r="19">
      <c r="A19" s="9" t="inlineStr">
        <is>
          <t>설정</t>
        </is>
      </c>
      <c r="B19" s="9" t="inlineStr">
        <is>
          <t>슬롯 기대 수익률</t>
        </is>
      </c>
      <c r="C19" s="9" t="inlineStr">
        <is>
          <t>~39%</t>
        </is>
      </c>
      <c r="D19" s="9" t="inlineStr">
        <is>
          <t>-</t>
        </is>
      </c>
      <c r="E19" s="9" t="inlineStr">
        <is>
          <t>높은 하우스 엣지 (의도적)</t>
        </is>
      </c>
    </row>
  </sheetData>
  <mergeCells count="1">
    <mergeCell ref="A1:E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8" customWidth="1" min="1" max="1"/>
    <col width="16" customWidth="1" min="2" max="2"/>
    <col width="14" customWidth="1" min="3" max="3"/>
    <col width="22" customWidth="1" min="4" max="4"/>
    <col width="16" customWidth="1" min="5" max="5"/>
    <col width="10" customWidth="1" min="6" max="6"/>
    <col width="10" customWidth="1" min="7" max="7"/>
    <col width="18" customWidth="1" min="8" max="8"/>
  </cols>
  <sheetData>
    <row r="1">
      <c r="A1" s="6" t="inlineStr">
        <is>
          <t>요리 시스템 상세</t>
        </is>
      </c>
    </row>
    <row r="3">
      <c r="A3" s="7" t="inlineStr">
        <is>
          <t>분류</t>
        </is>
      </c>
      <c r="B3" s="7" t="inlineStr">
        <is>
          <t>ID</t>
        </is>
      </c>
      <c r="C3" s="7" t="inlineStr">
        <is>
          <t>이름</t>
        </is>
      </c>
      <c r="D3" s="7" t="inlineStr">
        <is>
          <t>재료/등급</t>
        </is>
      </c>
      <c r="E3" s="7" t="inlineStr">
        <is>
          <t>효과/가격</t>
        </is>
      </c>
      <c r="F3" s="7" t="inlineStr">
        <is>
          <t>지속시간</t>
        </is>
      </c>
      <c r="G3" s="7" t="inlineStr">
        <is>
          <t>성공률</t>
        </is>
      </c>
      <c r="H3" s="7" t="inlineStr">
        <is>
          <t>비고</t>
        </is>
      </c>
    </row>
    <row r="4">
      <c r="A4" s="8" t="inlineStr">
        <is>
          <t>재료</t>
        </is>
      </c>
      <c r="B4" s="8" t="inlineStr">
        <is>
          <t>meat</t>
        </is>
      </c>
      <c r="C4" s="8" t="inlineStr">
        <is>
          <t>고기</t>
        </is>
      </c>
      <c r="D4" s="8" t="inlineStr">
        <is>
          <t>common</t>
        </is>
      </c>
      <c r="E4" s="8" t="inlineStr">
        <is>
          <t>20G</t>
        </is>
      </c>
      <c r="F4" s="8" t="inlineStr">
        <is>
          <t>-</t>
        </is>
      </c>
      <c r="G4" s="8" t="inlineStr">
        <is>
          <t>-</t>
        </is>
      </c>
      <c r="H4" s="8" t="inlineStr">
        <is>
          <t>-</t>
        </is>
      </c>
    </row>
    <row r="5">
      <c r="A5" s="9" t="inlineStr">
        <is>
          <t>재료</t>
        </is>
      </c>
      <c r="B5" s="9" t="inlineStr">
        <is>
          <t>fish</t>
        </is>
      </c>
      <c r="C5" s="9" t="inlineStr">
        <is>
          <t>생선</t>
        </is>
      </c>
      <c r="D5" s="9" t="inlineStr">
        <is>
          <t>common</t>
        </is>
      </c>
      <c r="E5" s="9" t="inlineStr">
        <is>
          <t>25G</t>
        </is>
      </c>
      <c r="F5" s="9" t="inlineStr">
        <is>
          <t>-</t>
        </is>
      </c>
      <c r="G5" s="9" t="inlineStr">
        <is>
          <t>-</t>
        </is>
      </c>
      <c r="H5" s="9" t="inlineStr">
        <is>
          <t>-</t>
        </is>
      </c>
    </row>
    <row r="6">
      <c r="A6" s="8" t="inlineStr">
        <is>
          <t>재료</t>
        </is>
      </c>
      <c r="B6" s="8" t="inlineStr">
        <is>
          <t>herb</t>
        </is>
      </c>
      <c r="C6" s="8" t="inlineStr">
        <is>
          <t>허브</t>
        </is>
      </c>
      <c r="D6" s="8" t="inlineStr">
        <is>
          <t>common</t>
        </is>
      </c>
      <c r="E6" s="8" t="inlineStr">
        <is>
          <t>15G</t>
        </is>
      </c>
      <c r="F6" s="8" t="inlineStr">
        <is>
          <t>-</t>
        </is>
      </c>
      <c r="G6" s="8" t="inlineStr">
        <is>
          <t>-</t>
        </is>
      </c>
      <c r="H6" s="8" t="inlineStr">
        <is>
          <t>-</t>
        </is>
      </c>
    </row>
    <row r="7">
      <c r="A7" s="9" t="inlineStr">
        <is>
          <t>재료</t>
        </is>
      </c>
      <c r="B7" s="9" t="inlineStr">
        <is>
          <t>rice</t>
        </is>
      </c>
      <c r="C7" s="9" t="inlineStr">
        <is>
          <t>쌀</t>
        </is>
      </c>
      <c r="D7" s="9" t="inlineStr">
        <is>
          <t>common</t>
        </is>
      </c>
      <c r="E7" s="9" t="inlineStr">
        <is>
          <t>10G</t>
        </is>
      </c>
      <c r="F7" s="9" t="inlineStr">
        <is>
          <t>-</t>
        </is>
      </c>
      <c r="G7" s="9" t="inlineStr">
        <is>
          <t>-</t>
        </is>
      </c>
      <c r="H7" s="9" t="inlineStr">
        <is>
          <t>-</t>
        </is>
      </c>
    </row>
    <row r="8">
      <c r="A8" s="8" t="inlineStr">
        <is>
          <t>재료</t>
        </is>
      </c>
      <c r="B8" s="8" t="inlineStr">
        <is>
          <t>egg</t>
        </is>
      </c>
      <c r="C8" s="8" t="inlineStr">
        <is>
          <t>달걀</t>
        </is>
      </c>
      <c r="D8" s="8" t="inlineStr">
        <is>
          <t>common</t>
        </is>
      </c>
      <c r="E8" s="8" t="inlineStr">
        <is>
          <t>12G</t>
        </is>
      </c>
      <c r="F8" s="8" t="inlineStr">
        <is>
          <t>-</t>
        </is>
      </c>
      <c r="G8" s="8" t="inlineStr">
        <is>
          <t>-</t>
        </is>
      </c>
      <c r="H8" s="8" t="inlineStr">
        <is>
          <t>-</t>
        </is>
      </c>
    </row>
    <row r="9">
      <c r="A9" s="9" t="inlineStr">
        <is>
          <t>재료</t>
        </is>
      </c>
      <c r="B9" s="9" t="inlineStr">
        <is>
          <t>cheese</t>
        </is>
      </c>
      <c r="C9" s="9" t="inlineStr">
        <is>
          <t>치즈</t>
        </is>
      </c>
      <c r="D9" s="9" t="inlineStr">
        <is>
          <t>uncommon</t>
        </is>
      </c>
      <c r="E9" s="9" t="inlineStr">
        <is>
          <t>50G</t>
        </is>
      </c>
      <c r="F9" s="9" t="inlineStr">
        <is>
          <t>-</t>
        </is>
      </c>
      <c r="G9" s="9" t="inlineStr">
        <is>
          <t>-</t>
        </is>
      </c>
      <c r="H9" s="9" t="inlineStr">
        <is>
          <t>-</t>
        </is>
      </c>
    </row>
    <row r="10">
      <c r="A10" s="8" t="inlineStr">
        <is>
          <t>재료</t>
        </is>
      </c>
      <c r="B10" s="8" t="inlineStr">
        <is>
          <t>honey</t>
        </is>
      </c>
      <c r="C10" s="8" t="inlineStr">
        <is>
          <t>꿀</t>
        </is>
      </c>
      <c r="D10" s="8" t="inlineStr">
        <is>
          <t>uncommon</t>
        </is>
      </c>
      <c r="E10" s="8" t="inlineStr">
        <is>
          <t>60G</t>
        </is>
      </c>
      <c r="F10" s="8" t="inlineStr">
        <is>
          <t>-</t>
        </is>
      </c>
      <c r="G10" s="8" t="inlineStr">
        <is>
          <t>-</t>
        </is>
      </c>
      <c r="H10" s="8" t="inlineStr">
        <is>
          <t>-</t>
        </is>
      </c>
    </row>
    <row r="11">
      <c r="A11" s="9" t="inlineStr">
        <is>
          <t>재료</t>
        </is>
      </c>
      <c r="B11" s="9" t="inlineStr">
        <is>
          <t>truffle</t>
        </is>
      </c>
      <c r="C11" s="9" t="inlineStr">
        <is>
          <t>트러플</t>
        </is>
      </c>
      <c r="D11" s="9" t="inlineStr">
        <is>
          <t>rare</t>
        </is>
      </c>
      <c r="E11" s="9" t="inlineStr">
        <is>
          <t>200G</t>
        </is>
      </c>
      <c r="F11" s="9" t="inlineStr">
        <is>
          <t>-</t>
        </is>
      </c>
      <c r="G11" s="9" t="inlineStr">
        <is>
          <t>-</t>
        </is>
      </c>
      <c r="H11" s="9" t="inlineStr">
        <is>
          <t>-</t>
        </is>
      </c>
    </row>
    <row r="12">
      <c r="A12" s="8" t="inlineStr">
        <is>
          <t>재료</t>
        </is>
      </c>
      <c r="B12" s="8" t="inlineStr">
        <is>
          <t>dragon_pepper</t>
        </is>
      </c>
      <c r="C12" s="8" t="inlineStr">
        <is>
          <t>용 후추</t>
        </is>
      </c>
      <c r="D12" s="8" t="inlineStr">
        <is>
          <t>epic</t>
        </is>
      </c>
      <c r="E12" s="8" t="inlineStr">
        <is>
          <t>500G</t>
        </is>
      </c>
      <c r="F12" s="8" t="inlineStr">
        <is>
          <t>-</t>
        </is>
      </c>
      <c r="G12" s="8" t="inlineStr">
        <is>
          <t>-</t>
        </is>
      </c>
      <c r="H12" s="8" t="inlineStr">
        <is>
          <t>-</t>
        </is>
      </c>
    </row>
    <row r="13">
      <c r="A13" s="9" t="inlineStr">
        <is>
          <t>레시피</t>
        </is>
      </c>
      <c r="B13" s="9" t="inlineStr">
        <is>
          <t>rice_ball</t>
        </is>
      </c>
      <c r="C13" s="9" t="inlineStr">
        <is>
          <t>주먹밥</t>
        </is>
      </c>
      <c r="D13" s="9" t="inlineStr">
        <is>
          <t>쌀x2,허브x1</t>
        </is>
      </c>
      <c r="E13" s="9" t="inlineStr">
        <is>
          <t>maxHp +20</t>
        </is>
      </c>
      <c r="F13" s="9" t="inlineStr">
        <is>
          <t>10분</t>
        </is>
      </c>
      <c r="G13" s="9" t="inlineStr">
        <is>
          <t>85%</t>
        </is>
      </c>
      <c r="H13" s="9" t="inlineStr">
        <is>
          <t>10% 퍼펙트(1.5배)</t>
        </is>
      </c>
    </row>
    <row r="14">
      <c r="A14" s="8" t="inlineStr">
        <is>
          <t>레시피</t>
        </is>
      </c>
      <c r="B14" s="8" t="inlineStr">
        <is>
          <t>grilled_fish</t>
        </is>
      </c>
      <c r="C14" s="8" t="inlineStr">
        <is>
          <t>구운 생선</t>
        </is>
      </c>
      <c r="D14" s="8" t="inlineStr">
        <is>
          <t>생선x1,허브x1</t>
        </is>
      </c>
      <c r="E14" s="8" t="inlineStr">
        <is>
          <t>evasion +3</t>
        </is>
      </c>
      <c r="F14" s="8" t="inlineStr">
        <is>
          <t>15분</t>
        </is>
      </c>
      <c r="G14" s="8" t="inlineStr">
        <is>
          <t>85%</t>
        </is>
      </c>
      <c r="H14" s="8" t="inlineStr">
        <is>
          <t>10% 퍼펙트(1.5배)</t>
        </is>
      </c>
    </row>
    <row r="15">
      <c r="A15" s="9" t="inlineStr">
        <is>
          <t>레시피</t>
        </is>
      </c>
      <c r="B15" s="9" t="inlineStr">
        <is>
          <t>meat_stew</t>
        </is>
      </c>
      <c r="C15" s="9" t="inlineStr">
        <is>
          <t>고기 스튜</t>
        </is>
      </c>
      <c r="D15" s="9" t="inlineStr">
        <is>
          <t>고기x2,허브x2,쌀x1</t>
        </is>
      </c>
      <c r="E15" s="9" t="inlineStr">
        <is>
          <t>atk +5</t>
        </is>
      </c>
      <c r="F15" s="9" t="inlineStr">
        <is>
          <t>20분</t>
        </is>
      </c>
      <c r="G15" s="9" t="inlineStr">
        <is>
          <t>85%</t>
        </is>
      </c>
      <c r="H15" s="9" t="inlineStr">
        <is>
          <t>10% 퍼펙트(1.5배)</t>
        </is>
      </c>
    </row>
    <row r="16">
      <c r="A16" s="8" t="inlineStr">
        <is>
          <t>레시피</t>
        </is>
      </c>
      <c r="B16" s="8" t="inlineStr">
        <is>
          <t>cheese_omelet</t>
        </is>
      </c>
      <c r="C16" s="8" t="inlineStr">
        <is>
          <t>치즈 오믈렛</t>
        </is>
      </c>
      <c r="D16" s="8" t="inlineStr">
        <is>
          <t>달걀x2,치즈x1</t>
        </is>
      </c>
      <c r="E16" s="8" t="inlineStr">
        <is>
          <t>def +8</t>
        </is>
      </c>
      <c r="F16" s="8" t="inlineStr">
        <is>
          <t>15분</t>
        </is>
      </c>
      <c r="G16" s="8" t="inlineStr">
        <is>
          <t>85%</t>
        </is>
      </c>
      <c r="H16" s="8" t="inlineStr">
        <is>
          <t>10% 퍼펙트(1.5배)</t>
        </is>
      </c>
    </row>
    <row r="17">
      <c r="A17" s="9" t="inlineStr">
        <is>
          <t>레시피</t>
        </is>
      </c>
      <c r="B17" s="9" t="inlineStr">
        <is>
          <t>honey_glazed_meat</t>
        </is>
      </c>
      <c r="C17" s="9" t="inlineStr">
        <is>
          <t>꿀 발린 고기</t>
        </is>
      </c>
      <c r="D17" s="9" t="inlineStr">
        <is>
          <t>고기x2,꿀x1</t>
        </is>
      </c>
      <c r="E17" s="9" t="inlineStr">
        <is>
          <t>crit +4</t>
        </is>
      </c>
      <c r="F17" s="9" t="inlineStr">
        <is>
          <t>20분</t>
        </is>
      </c>
      <c r="G17" s="9" t="inlineStr">
        <is>
          <t>85%</t>
        </is>
      </c>
      <c r="H17" s="9" t="inlineStr">
        <is>
          <t>10% 퍼펙트(1.5배)</t>
        </is>
      </c>
    </row>
    <row r="18">
      <c r="A18" s="8" t="inlineStr">
        <is>
          <t>레시피</t>
        </is>
      </c>
      <c r="B18" s="8" t="inlineStr">
        <is>
          <t>truffle_pasta</t>
        </is>
      </c>
      <c r="C18" s="8" t="inlineStr">
        <is>
          <t>트러플 파스타</t>
        </is>
      </c>
      <c r="D18" s="8" t="inlineStr">
        <is>
          <t>트러플x1,치즈x2,달걀x1</t>
        </is>
      </c>
      <c r="E18" s="8" t="inlineStr">
        <is>
          <t>expBonus +15%</t>
        </is>
      </c>
      <c r="F18" s="8" t="inlineStr">
        <is>
          <t>30분</t>
        </is>
      </c>
      <c r="G18" s="8" t="inlineStr">
        <is>
          <t>85%</t>
        </is>
      </c>
      <c r="H18" s="8" t="inlineStr">
        <is>
          <t>10% 퍼펙트(1.5배)</t>
        </is>
      </c>
    </row>
    <row r="19">
      <c r="A19" s="9" t="inlineStr">
        <is>
          <t>레시피</t>
        </is>
      </c>
      <c r="B19" s="9" t="inlineStr">
        <is>
          <t>dragon_curry</t>
        </is>
      </c>
      <c r="C19" s="9" t="inlineStr">
        <is>
          <t>드래곤 카레</t>
        </is>
      </c>
      <c r="D19" s="9" t="inlineStr">
        <is>
          <t>고기x3,용후추x1,쌀x2</t>
        </is>
      </c>
      <c r="E19" s="9" t="inlineStr">
        <is>
          <t>allStats +10</t>
        </is>
      </c>
      <c r="F19" s="9" t="inlineStr">
        <is>
          <t>30분</t>
        </is>
      </c>
      <c r="G19" s="9" t="inlineStr">
        <is>
          <t>85%</t>
        </is>
      </c>
      <c r="H19" s="9" t="inlineStr">
        <is>
          <t>10% 퍼펙트(1.5배)</t>
        </is>
      </c>
    </row>
  </sheetData>
  <mergeCells count="1">
    <mergeCell ref="A1:H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8" customWidth="1" min="1" max="1"/>
    <col width="14" customWidth="1" min="2" max="2"/>
    <col width="14" customWidth="1" min="3" max="3"/>
    <col width="12" customWidth="1" min="4" max="4"/>
    <col width="10" customWidth="1" min="5" max="5"/>
    <col width="24" customWidth="1" min="6" max="6"/>
  </cols>
  <sheetData>
    <row r="1">
      <c r="A1" s="6" t="inlineStr">
        <is>
          <t>별자리 시스템 (12궁 + 마스터)</t>
        </is>
      </c>
    </row>
    <row r="3">
      <c r="A3" s="7" t="inlineStr">
        <is>
          <t>아이콘</t>
        </is>
      </c>
      <c r="B3" s="7" t="inlineStr">
        <is>
          <t>이름</t>
        </is>
      </c>
      <c r="C3" s="7" t="inlineStr">
        <is>
          <t>ID</t>
        </is>
      </c>
      <c r="D3" s="7" t="inlineStr">
        <is>
          <t>보너스 스탯</t>
        </is>
      </c>
      <c r="E3" s="7" t="inlineStr">
        <is>
          <t>보너스 값</t>
        </is>
      </c>
      <c r="F3" s="7" t="inlineStr">
        <is>
          <t>설명</t>
        </is>
      </c>
    </row>
    <row r="4">
      <c r="A4" s="8" t="inlineStr">
        <is>
          <t>♈</t>
        </is>
      </c>
      <c r="B4" s="8" t="inlineStr">
        <is>
          <t>양자리</t>
        </is>
      </c>
      <c r="C4" s="8" t="inlineStr">
        <is>
          <t>aries</t>
        </is>
      </c>
      <c r="D4" s="8" t="inlineStr">
        <is>
          <t>atk</t>
        </is>
      </c>
      <c r="E4" s="8" t="inlineStr">
        <is>
          <t>+8</t>
        </is>
      </c>
      <c r="F4" s="8" t="inlineStr">
        <is>
          <t>돌진하는 양의 기운</t>
        </is>
      </c>
    </row>
    <row r="5">
      <c r="A5" s="9" t="inlineStr">
        <is>
          <t>♉</t>
        </is>
      </c>
      <c r="B5" s="9" t="inlineStr">
        <is>
          <t>황소자리</t>
        </is>
      </c>
      <c r="C5" s="9" t="inlineStr">
        <is>
          <t>taurus</t>
        </is>
      </c>
      <c r="D5" s="9" t="inlineStr">
        <is>
          <t>def</t>
        </is>
      </c>
      <c r="E5" s="9" t="inlineStr">
        <is>
          <t>+12</t>
        </is>
      </c>
      <c r="F5" s="9" t="inlineStr">
        <is>
          <t>굳건한 황소의 힘</t>
        </is>
      </c>
    </row>
    <row r="6">
      <c r="A6" s="8" t="inlineStr">
        <is>
          <t>♊</t>
        </is>
      </c>
      <c r="B6" s="8" t="inlineStr">
        <is>
          <t>쌍둥이자리</t>
        </is>
      </c>
      <c r="C6" s="8" t="inlineStr">
        <is>
          <t>gemini</t>
        </is>
      </c>
      <c r="D6" s="8" t="inlineStr">
        <is>
          <t>crit</t>
        </is>
      </c>
      <c r="E6" s="8" t="inlineStr">
        <is>
          <t>+5%</t>
        </is>
      </c>
      <c r="F6" s="8" t="inlineStr">
        <is>
          <t>쌍둥이의 가호</t>
        </is>
      </c>
    </row>
    <row r="7">
      <c r="A7" s="9" t="inlineStr">
        <is>
          <t>♋</t>
        </is>
      </c>
      <c r="B7" s="9" t="inlineStr">
        <is>
          <t>게자리</t>
        </is>
      </c>
      <c r="C7" s="9" t="inlineStr">
        <is>
          <t>cancer</t>
        </is>
      </c>
      <c r="D7" s="9" t="inlineStr">
        <is>
          <t>maxHp</t>
        </is>
      </c>
      <c r="E7" s="9" t="inlineStr">
        <is>
          <t>+50</t>
        </is>
      </c>
      <c r="F7" s="9" t="inlineStr">
        <is>
          <t>단단한 껍질의 수호</t>
        </is>
      </c>
    </row>
    <row r="8">
      <c r="A8" s="8" t="inlineStr">
        <is>
          <t>♌</t>
        </is>
      </c>
      <c r="B8" s="8" t="inlineStr">
        <is>
          <t>사자자리</t>
        </is>
      </c>
      <c r="C8" s="8" t="inlineStr">
        <is>
          <t>leo</t>
        </is>
      </c>
      <c r="D8" s="8" t="inlineStr">
        <is>
          <t>atk</t>
        </is>
      </c>
      <c r="E8" s="8" t="inlineStr">
        <is>
          <t>+12</t>
        </is>
      </c>
      <c r="F8" s="8" t="inlineStr">
        <is>
          <t>백수의 왕의 포효</t>
        </is>
      </c>
    </row>
    <row r="9">
      <c r="A9" s="9" t="inlineStr">
        <is>
          <t>♍</t>
        </is>
      </c>
      <c r="B9" s="9" t="inlineStr">
        <is>
          <t>처녀자리</t>
        </is>
      </c>
      <c r="C9" s="9" t="inlineStr">
        <is>
          <t>virgo</t>
        </is>
      </c>
      <c r="D9" s="9" t="inlineStr">
        <is>
          <t>evasion</t>
        </is>
      </c>
      <c r="E9" s="9" t="inlineStr">
        <is>
          <t>+5%</t>
        </is>
      </c>
      <c r="F9" s="9" t="inlineStr">
        <is>
          <t>순수한 우아함</t>
        </is>
      </c>
    </row>
    <row r="10">
      <c r="A10" s="8" t="inlineStr">
        <is>
          <t>♎</t>
        </is>
      </c>
      <c r="B10" s="8" t="inlineStr">
        <is>
          <t>천칭자리</t>
        </is>
      </c>
      <c r="C10" s="8" t="inlineStr">
        <is>
          <t>libra</t>
        </is>
      </c>
      <c r="D10" s="8" t="inlineStr">
        <is>
          <t>allStats</t>
        </is>
      </c>
      <c r="E10" s="8" t="inlineStr">
        <is>
          <t>+4</t>
        </is>
      </c>
      <c r="F10" s="8" t="inlineStr">
        <is>
          <t>균형의 가호</t>
        </is>
      </c>
    </row>
    <row r="11">
      <c r="A11" s="9" t="inlineStr">
        <is>
          <t>♏</t>
        </is>
      </c>
      <c r="B11" s="9" t="inlineStr">
        <is>
          <t>전갈자리</t>
        </is>
      </c>
      <c r="C11" s="9" t="inlineStr">
        <is>
          <t>scorpio</t>
        </is>
      </c>
      <c r="D11" s="9" t="inlineStr">
        <is>
          <t>crit</t>
        </is>
      </c>
      <c r="E11" s="9" t="inlineStr">
        <is>
          <t>+8%</t>
        </is>
      </c>
      <c r="F11" s="9" t="inlineStr">
        <is>
          <t>독침의 날카로움</t>
        </is>
      </c>
    </row>
    <row r="12">
      <c r="A12" s="8" t="inlineStr">
        <is>
          <t>♐</t>
        </is>
      </c>
      <c r="B12" s="8" t="inlineStr">
        <is>
          <t>사수자리</t>
        </is>
      </c>
      <c r="C12" s="8" t="inlineStr">
        <is>
          <t>sagittarius</t>
        </is>
      </c>
      <c r="D12" s="8" t="inlineStr">
        <is>
          <t>expBonus</t>
        </is>
      </c>
      <c r="E12" s="8" t="inlineStr">
        <is>
          <t>+10%</t>
        </is>
      </c>
      <c r="F12" s="8" t="inlineStr">
        <is>
          <t>머나먼 화살의 지혜</t>
        </is>
      </c>
    </row>
    <row r="13">
      <c r="A13" s="9" t="inlineStr">
        <is>
          <t>♑</t>
        </is>
      </c>
      <c r="B13" s="9" t="inlineStr">
        <is>
          <t>염소자리</t>
        </is>
      </c>
      <c r="C13" s="9" t="inlineStr">
        <is>
          <t>capricorn</t>
        </is>
      </c>
      <c r="D13" s="9" t="inlineStr">
        <is>
          <t>goldBonus</t>
        </is>
      </c>
      <c r="E13" s="9" t="inlineStr">
        <is>
          <t>+15%</t>
        </is>
      </c>
      <c r="F13" s="9" t="inlineStr">
        <is>
          <t>풍요의 산양</t>
        </is>
      </c>
    </row>
    <row r="14">
      <c r="A14" s="8" t="inlineStr">
        <is>
          <t>♒</t>
        </is>
      </c>
      <c r="B14" s="8" t="inlineStr">
        <is>
          <t>물병자리</t>
        </is>
      </c>
      <c r="C14" s="8" t="inlineStr">
        <is>
          <t>aquarius</t>
        </is>
      </c>
      <c r="D14" s="8" t="inlineStr">
        <is>
          <t>mp</t>
        </is>
      </c>
      <c r="E14" s="8" t="inlineStr">
        <is>
          <t>+30</t>
        </is>
      </c>
      <c r="F14" s="8" t="inlineStr">
        <is>
          <t>영혼의 물병</t>
        </is>
      </c>
    </row>
    <row r="15">
      <c r="A15" s="9" t="inlineStr">
        <is>
          <t>♓</t>
        </is>
      </c>
      <c r="B15" s="9" t="inlineStr">
        <is>
          <t>물고기자리</t>
        </is>
      </c>
      <c r="C15" s="9" t="inlineStr">
        <is>
          <t>pisces</t>
        </is>
      </c>
      <c r="D15" s="9" t="inlineStr">
        <is>
          <t>evasion</t>
        </is>
      </c>
      <c r="E15" s="9" t="inlineStr">
        <is>
          <t>+8%</t>
        </is>
      </c>
      <c r="F15" s="9" t="inlineStr">
        <is>
          <t>유영하는 물고기</t>
        </is>
      </c>
    </row>
    <row r="16">
      <c r="A16" s="8" t="inlineStr">
        <is>
          <t>🌟</t>
        </is>
      </c>
      <c r="B16" s="8" t="inlineStr">
        <is>
          <t>마스터 보너스</t>
        </is>
      </c>
      <c r="C16" s="8" t="inlineStr">
        <is>
          <t>전체 수집</t>
        </is>
      </c>
      <c r="D16" s="8" t="inlineStr">
        <is>
          <t>allStats</t>
        </is>
      </c>
      <c r="E16" s="8" t="inlineStr">
        <is>
          <t>+10</t>
        </is>
      </c>
      <c r="F16" s="8" t="inlineStr">
        <is>
          <t>12 별자리 관측 완료 보상</t>
        </is>
      </c>
    </row>
  </sheetData>
  <mergeCells count="1">
    <mergeCell ref="A1:F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2" customWidth="1" min="1" max="1"/>
    <col width="10" customWidth="1" min="2" max="2"/>
    <col width="20" customWidth="1" min="3" max="3"/>
    <col width="20" customWidth="1" min="4" max="4"/>
    <col width="10" customWidth="1" min="5" max="5"/>
    <col width="10" customWidth="1" min="6" max="6"/>
    <col width="10" customWidth="1" min="7" max="7"/>
  </cols>
  <sheetData>
    <row r="1">
      <c r="A1" s="6" t="inlineStr">
        <is>
          <t>일일 훈련 시스템</t>
        </is>
      </c>
    </row>
    <row r="3">
      <c r="A3" s="7" t="inlineStr">
        <is>
          <t>훈련</t>
        </is>
      </c>
      <c r="B3" s="7" t="inlineStr">
        <is>
          <t>ID</t>
        </is>
      </c>
      <c r="C3" s="7" t="inlineStr">
        <is>
          <t>영구 보너스</t>
        </is>
      </c>
      <c r="D3" s="7" t="inlineStr">
        <is>
          <t>임시 버프</t>
        </is>
      </c>
      <c r="E3" s="7" t="inlineStr">
        <is>
          <t>최대 랭크</t>
        </is>
      </c>
      <c r="F3" s="7" t="inlineStr">
        <is>
          <t>골드 보상</t>
        </is>
      </c>
      <c r="G3" s="7" t="inlineStr">
        <is>
          <t>EXP 보상</t>
        </is>
      </c>
    </row>
    <row r="4">
      <c r="A4" s="8" t="inlineStr">
        <is>
          <t>전투 훈련</t>
        </is>
      </c>
      <c r="B4" s="8" t="inlineStr">
        <is>
          <t>combat</t>
        </is>
      </c>
      <c r="C4" s="8" t="inlineStr">
        <is>
          <t>ATK +1 (영구)</t>
        </is>
      </c>
      <c r="D4" s="8" t="inlineStr">
        <is>
          <t>ATK +10% (1시간)</t>
        </is>
      </c>
      <c r="E4" s="8" t="inlineStr">
        <is>
          <t>30</t>
        </is>
      </c>
      <c r="F4" s="8" t="inlineStr">
        <is>
          <t>100G</t>
        </is>
      </c>
      <c r="G4" s="8" t="inlineStr">
        <is>
          <t>50 EXP</t>
        </is>
      </c>
    </row>
    <row r="5">
      <c r="A5" s="9" t="inlineStr">
        <is>
          <t>방어 훈련</t>
        </is>
      </c>
      <c r="B5" s="9" t="inlineStr">
        <is>
          <t>defense</t>
        </is>
      </c>
      <c r="C5" s="9" t="inlineStr">
        <is>
          <t>DEF +1 (영구)</t>
        </is>
      </c>
      <c r="D5" s="9" t="inlineStr">
        <is>
          <t>DEF +10% (1시간)</t>
        </is>
      </c>
      <c r="E5" s="9" t="inlineStr">
        <is>
          <t>30</t>
        </is>
      </c>
      <c r="F5" s="9" t="inlineStr">
        <is>
          <t>100G</t>
        </is>
      </c>
      <c r="G5" s="9" t="inlineStr">
        <is>
          <t>50 EXP</t>
        </is>
      </c>
    </row>
    <row r="6">
      <c r="A6" s="8" t="inlineStr">
        <is>
          <t>민첩 훈련</t>
        </is>
      </c>
      <c r="B6" s="8" t="inlineStr">
        <is>
          <t>agility</t>
        </is>
      </c>
      <c r="C6" s="8" t="inlineStr">
        <is>
          <t>SPD +0.1 (영구)</t>
        </is>
      </c>
      <c r="D6" s="8" t="inlineStr">
        <is>
          <t>SPD +15% (1시간)</t>
        </is>
      </c>
      <c r="E6" s="8" t="inlineStr">
        <is>
          <t>30</t>
        </is>
      </c>
      <c r="F6" s="8" t="inlineStr">
        <is>
          <t>100G</t>
        </is>
      </c>
      <c r="G6" s="8" t="inlineStr">
        <is>
          <t>50 EXP</t>
        </is>
      </c>
    </row>
    <row r="7">
      <c r="A7" s="9" t="inlineStr">
        <is>
          <t>지혜 훈련</t>
        </is>
      </c>
      <c r="B7" s="9" t="inlineStr">
        <is>
          <t>wisdom</t>
        </is>
      </c>
      <c r="C7" s="9" t="inlineStr">
        <is>
          <t>EXP +0.5% (영구)</t>
        </is>
      </c>
      <c r="D7" s="9" t="inlineStr">
        <is>
          <t>EXP +30% (1시간)</t>
        </is>
      </c>
      <c r="E7" s="9" t="inlineStr">
        <is>
          <t>30</t>
        </is>
      </c>
      <c r="F7" s="9" t="inlineStr">
        <is>
          <t>100G</t>
        </is>
      </c>
      <c r="G7" s="9" t="inlineStr">
        <is>
          <t>50 EXP</t>
        </is>
      </c>
    </row>
    <row r="8">
      <c r="A8" s="8" t="inlineStr">
        <is>
          <t>행운 훈련</t>
        </is>
      </c>
      <c r="B8" s="8" t="inlineStr">
        <is>
          <t>lucky</t>
        </is>
      </c>
      <c r="C8" s="8" t="inlineStr">
        <is>
          <t>드롭률 +0.5% (영구)</t>
        </is>
      </c>
      <c r="D8" s="8" t="inlineStr">
        <is>
          <t>드롭 +30% (1시간)</t>
        </is>
      </c>
      <c r="E8" s="8" t="inlineStr">
        <is>
          <t>30</t>
        </is>
      </c>
      <c r="F8" s="8" t="inlineStr">
        <is>
          <t>100G</t>
        </is>
      </c>
      <c r="G8" s="8" t="inlineStr">
        <is>
          <t>50 EXP</t>
        </is>
      </c>
    </row>
    <row r="9">
      <c r="A9" s="9" t="inlineStr">
        <is>
          <t>설정</t>
        </is>
      </c>
      <c r="B9" s="9" t="inlineStr">
        <is>
          <t>일일 스태미나</t>
        </is>
      </c>
      <c r="C9" s="9" t="inlineStr">
        <is>
          <t>5</t>
        </is>
      </c>
      <c r="D9" s="9" t="inlineStr">
        <is>
          <t>자정 자동 충전</t>
        </is>
      </c>
      <c r="E9" s="9" t="inlineStr">
        <is>
          <t>-</t>
        </is>
      </c>
      <c r="F9" s="9" t="inlineStr">
        <is>
          <t>-</t>
        </is>
      </c>
      <c r="G9" s="9" t="inlineStr">
        <is>
          <t>-</t>
        </is>
      </c>
    </row>
    <row r="10">
      <c r="A10" s="8" t="inlineStr">
        <is>
          <t>설정</t>
        </is>
      </c>
      <c r="B10" s="8" t="inlineStr">
        <is>
          <t>스태미나 충전</t>
        </is>
      </c>
      <c r="C10" s="8" t="inlineStr">
        <is>
          <t>5 (다이아 30개)</t>
        </is>
      </c>
      <c r="D10" s="8" t="inlineStr">
        <is>
          <t>최대치까지만 충전</t>
        </is>
      </c>
      <c r="E10" s="8" t="inlineStr">
        <is>
          <t>-</t>
        </is>
      </c>
      <c r="F10" s="8" t="inlineStr">
        <is>
          <t>-</t>
        </is>
      </c>
      <c r="G10" s="8" t="inlineStr">
        <is>
          <t>-</t>
        </is>
      </c>
    </row>
  </sheetData>
  <mergeCells count="1">
    <mergeCell ref="A1:G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8" customWidth="1" min="1" max="1"/>
    <col width="8" customWidth="1" min="2" max="2"/>
    <col width="8" customWidth="1" min="3" max="3"/>
    <col width="10" customWidth="1" min="4" max="4"/>
    <col width="8" customWidth="1" min="5" max="5"/>
    <col width="10" customWidth="1" min="6" max="6"/>
  </cols>
  <sheetData>
    <row r="1">
      <c r="A1" s="6" t="inlineStr">
        <is>
          <t>룬 목록 (19종)</t>
        </is>
      </c>
    </row>
    <row r="3">
      <c r="A3" s="7" t="inlineStr">
        <is>
          <t>분류</t>
        </is>
      </c>
      <c r="B3" s="7" t="inlineStr">
        <is>
          <t>문자</t>
        </is>
      </c>
      <c r="C3" s="7" t="inlineStr">
        <is>
          <t>이름</t>
        </is>
      </c>
      <c r="D3" s="7" t="inlineStr">
        <is>
          <t>스탯</t>
        </is>
      </c>
      <c r="E3" s="7" t="inlineStr">
        <is>
          <t>값</t>
        </is>
      </c>
      <c r="F3" s="7" t="inlineStr">
        <is>
          <t>등급</t>
        </is>
      </c>
    </row>
    <row r="4">
      <c r="A4" s="8" t="inlineStr">
        <is>
          <t>기본</t>
        </is>
      </c>
      <c r="B4" s="8" t="inlineStr">
        <is>
          <t>ㄱ</t>
        </is>
      </c>
      <c r="C4" s="8" t="inlineStr">
        <is>
          <t>기</t>
        </is>
      </c>
      <c r="D4" s="8" t="inlineStr">
        <is>
          <t>atk</t>
        </is>
      </c>
      <c r="E4" s="8" t="inlineStr">
        <is>
          <t>+3</t>
        </is>
      </c>
      <c r="F4" s="8" t="inlineStr">
        <is>
          <t>common</t>
        </is>
      </c>
    </row>
    <row r="5">
      <c r="A5" s="9" t="inlineStr">
        <is>
          <t>기본</t>
        </is>
      </c>
      <c r="B5" s="9" t="inlineStr">
        <is>
          <t>ㄴ</t>
        </is>
      </c>
      <c r="C5" s="9" t="inlineStr">
        <is>
          <t>나</t>
        </is>
      </c>
      <c r="D5" s="9" t="inlineStr">
        <is>
          <t>def</t>
        </is>
      </c>
      <c r="E5" s="9" t="inlineStr">
        <is>
          <t>+3</t>
        </is>
      </c>
      <c r="F5" s="9" t="inlineStr">
        <is>
          <t>common</t>
        </is>
      </c>
    </row>
    <row r="6">
      <c r="A6" s="8" t="inlineStr">
        <is>
          <t>기본</t>
        </is>
      </c>
      <c r="B6" s="8" t="inlineStr">
        <is>
          <t>ㄷ</t>
        </is>
      </c>
      <c r="C6" s="8" t="inlineStr">
        <is>
          <t>다</t>
        </is>
      </c>
      <c r="D6" s="8" t="inlineStr">
        <is>
          <t>hp</t>
        </is>
      </c>
      <c r="E6" s="8" t="inlineStr">
        <is>
          <t>+15</t>
        </is>
      </c>
      <c r="F6" s="8" t="inlineStr">
        <is>
          <t>common</t>
        </is>
      </c>
    </row>
    <row r="7">
      <c r="A7" s="9" t="inlineStr">
        <is>
          <t>기본</t>
        </is>
      </c>
      <c r="B7" s="9" t="inlineStr">
        <is>
          <t>ㄹ</t>
        </is>
      </c>
      <c r="C7" s="9" t="inlineStr">
        <is>
          <t>라</t>
        </is>
      </c>
      <c r="D7" s="9" t="inlineStr">
        <is>
          <t>spd</t>
        </is>
      </c>
      <c r="E7" s="9" t="inlineStr">
        <is>
          <t>+1</t>
        </is>
      </c>
      <c r="F7" s="9" t="inlineStr">
        <is>
          <t>common</t>
        </is>
      </c>
    </row>
    <row r="8">
      <c r="A8" s="8" t="inlineStr">
        <is>
          <t>기본</t>
        </is>
      </c>
      <c r="B8" s="8" t="inlineStr">
        <is>
          <t>ㅁ</t>
        </is>
      </c>
      <c r="C8" s="8" t="inlineStr">
        <is>
          <t>마</t>
        </is>
      </c>
      <c r="D8" s="8" t="inlineStr">
        <is>
          <t>mp</t>
        </is>
      </c>
      <c r="E8" s="8" t="inlineStr">
        <is>
          <t>+10</t>
        </is>
      </c>
      <c r="F8" s="8" t="inlineStr">
        <is>
          <t>common</t>
        </is>
      </c>
    </row>
    <row r="9">
      <c r="A9" s="9" t="inlineStr">
        <is>
          <t>기본</t>
        </is>
      </c>
      <c r="B9" s="9" t="inlineStr">
        <is>
          <t>ㅂ</t>
        </is>
      </c>
      <c r="C9" s="9" t="inlineStr">
        <is>
          <t>바</t>
        </is>
      </c>
      <c r="D9" s="9" t="inlineStr">
        <is>
          <t>crit</t>
        </is>
      </c>
      <c r="E9" s="9" t="inlineStr">
        <is>
          <t>+2%</t>
        </is>
      </c>
      <c r="F9" s="9" t="inlineStr">
        <is>
          <t>common</t>
        </is>
      </c>
    </row>
    <row r="10">
      <c r="A10" s="8" t="inlineStr">
        <is>
          <t>기본</t>
        </is>
      </c>
      <c r="B10" s="8" t="inlineStr">
        <is>
          <t>ㅅ</t>
        </is>
      </c>
      <c r="C10" s="8" t="inlineStr">
        <is>
          <t>사</t>
        </is>
      </c>
      <c r="D10" s="8" t="inlineStr">
        <is>
          <t>dodge</t>
        </is>
      </c>
      <c r="E10" s="8" t="inlineStr">
        <is>
          <t>+1%</t>
        </is>
      </c>
      <c r="F10" s="8" t="inlineStr">
        <is>
          <t>common</t>
        </is>
      </c>
    </row>
    <row r="11">
      <c r="A11" s="9" t="inlineStr">
        <is>
          <t>기본</t>
        </is>
      </c>
      <c r="B11" s="9" t="inlineStr">
        <is>
          <t>ㅇ</t>
        </is>
      </c>
      <c r="C11" s="9" t="inlineStr">
        <is>
          <t>아</t>
        </is>
      </c>
      <c r="D11" s="9" t="inlineStr">
        <is>
          <t>exp</t>
        </is>
      </c>
      <c r="E11" s="9" t="inlineStr">
        <is>
          <t>+3%</t>
        </is>
      </c>
      <c r="F11" s="9" t="inlineStr">
        <is>
          <t>common</t>
        </is>
      </c>
    </row>
    <row r="12">
      <c r="A12" s="8" t="inlineStr">
        <is>
          <t>기본</t>
        </is>
      </c>
      <c r="B12" s="8" t="inlineStr">
        <is>
          <t>ㅈ</t>
        </is>
      </c>
      <c r="C12" s="8" t="inlineStr">
        <is>
          <t>자</t>
        </is>
      </c>
      <c r="D12" s="8" t="inlineStr">
        <is>
          <t>gold</t>
        </is>
      </c>
      <c r="E12" s="8" t="inlineStr">
        <is>
          <t>+3%</t>
        </is>
      </c>
      <c r="F12" s="8" t="inlineStr">
        <is>
          <t>common</t>
        </is>
      </c>
    </row>
    <row r="13">
      <c r="A13" s="9" t="inlineStr">
        <is>
          <t>기본</t>
        </is>
      </c>
      <c r="B13" s="9" t="inlineStr">
        <is>
          <t>ㅊ</t>
        </is>
      </c>
      <c r="C13" s="9" t="inlineStr">
        <is>
          <t>차</t>
        </is>
      </c>
      <c r="D13" s="9" t="inlineStr">
        <is>
          <t>atk</t>
        </is>
      </c>
      <c r="E13" s="9" t="inlineStr">
        <is>
          <t>+5</t>
        </is>
      </c>
      <c r="F13" s="9" t="inlineStr">
        <is>
          <t>uncommon</t>
        </is>
      </c>
    </row>
    <row r="14">
      <c r="A14" s="8" t="inlineStr">
        <is>
          <t>기본</t>
        </is>
      </c>
      <c r="B14" s="8" t="inlineStr">
        <is>
          <t>ㅋ</t>
        </is>
      </c>
      <c r="C14" s="8" t="inlineStr">
        <is>
          <t>카</t>
        </is>
      </c>
      <c r="D14" s="8" t="inlineStr">
        <is>
          <t>def</t>
        </is>
      </c>
      <c r="E14" s="8" t="inlineStr">
        <is>
          <t>+5</t>
        </is>
      </c>
      <c r="F14" s="8" t="inlineStr">
        <is>
          <t>uncommon</t>
        </is>
      </c>
    </row>
    <row r="15">
      <c r="A15" s="9" t="inlineStr">
        <is>
          <t>기본</t>
        </is>
      </c>
      <c r="B15" s="9" t="inlineStr">
        <is>
          <t>ㅌ</t>
        </is>
      </c>
      <c r="C15" s="9" t="inlineStr">
        <is>
          <t>타</t>
        </is>
      </c>
      <c r="D15" s="9" t="inlineStr">
        <is>
          <t>hp</t>
        </is>
      </c>
      <c r="E15" s="9" t="inlineStr">
        <is>
          <t>+25</t>
        </is>
      </c>
      <c r="F15" s="9" t="inlineStr">
        <is>
          <t>uncommon</t>
        </is>
      </c>
    </row>
    <row r="16">
      <c r="A16" s="8" t="inlineStr">
        <is>
          <t>기본</t>
        </is>
      </c>
      <c r="B16" s="8" t="inlineStr">
        <is>
          <t>ㅍ</t>
        </is>
      </c>
      <c r="C16" s="8" t="inlineStr">
        <is>
          <t>파</t>
        </is>
      </c>
      <c r="D16" s="8" t="inlineStr">
        <is>
          <t>crit</t>
        </is>
      </c>
      <c r="E16" s="8" t="inlineStr">
        <is>
          <t>+3%</t>
        </is>
      </c>
      <c r="F16" s="8" t="inlineStr">
        <is>
          <t>uncommon</t>
        </is>
      </c>
    </row>
    <row r="17">
      <c r="A17" s="9" t="inlineStr">
        <is>
          <t>기본</t>
        </is>
      </c>
      <c r="B17" s="9" t="inlineStr">
        <is>
          <t>ㅎ</t>
        </is>
      </c>
      <c r="C17" s="9" t="inlineStr">
        <is>
          <t>하</t>
        </is>
      </c>
      <c r="D17" s="9" t="inlineStr">
        <is>
          <t>all</t>
        </is>
      </c>
      <c r="E17" s="9" t="inlineStr">
        <is>
          <t>+2</t>
        </is>
      </c>
      <c r="F17" s="9" t="inlineStr">
        <is>
          <t>uncommon</t>
        </is>
      </c>
    </row>
    <row r="18">
      <c r="A18" s="8" t="inlineStr">
        <is>
          <t>고급</t>
        </is>
      </c>
      <c r="B18" s="8" t="inlineStr">
        <is>
          <t>ㅏ</t>
        </is>
      </c>
      <c r="C18" s="8" t="inlineStr">
        <is>
          <t>아아</t>
        </is>
      </c>
      <c r="D18" s="8" t="inlineStr">
        <is>
          <t>atk</t>
        </is>
      </c>
      <c r="E18" s="8" t="inlineStr">
        <is>
          <t>+8</t>
        </is>
      </c>
      <c r="F18" s="8" t="inlineStr">
        <is>
          <t>rare</t>
        </is>
      </c>
    </row>
    <row r="19">
      <c r="A19" s="9" t="inlineStr">
        <is>
          <t>고급</t>
        </is>
      </c>
      <c r="B19" s="9" t="inlineStr">
        <is>
          <t>ㅓ</t>
        </is>
      </c>
      <c r="C19" s="9" t="inlineStr">
        <is>
          <t>어</t>
        </is>
      </c>
      <c r="D19" s="9" t="inlineStr">
        <is>
          <t>def</t>
        </is>
      </c>
      <c r="E19" s="9" t="inlineStr">
        <is>
          <t>+8</t>
        </is>
      </c>
      <c r="F19" s="9" t="inlineStr">
        <is>
          <t>rare</t>
        </is>
      </c>
    </row>
    <row r="20">
      <c r="A20" s="8" t="inlineStr">
        <is>
          <t>고급</t>
        </is>
      </c>
      <c r="B20" s="8" t="inlineStr">
        <is>
          <t>ㅗ</t>
        </is>
      </c>
      <c r="C20" s="8" t="inlineStr">
        <is>
          <t>오</t>
        </is>
      </c>
      <c r="D20" s="8" t="inlineStr">
        <is>
          <t>hp</t>
        </is>
      </c>
      <c r="E20" s="8" t="inlineStr">
        <is>
          <t>+50</t>
        </is>
      </c>
      <c r="F20" s="8" t="inlineStr">
        <is>
          <t>rare</t>
        </is>
      </c>
    </row>
    <row r="21">
      <c r="A21" s="9" t="inlineStr">
        <is>
          <t>고급</t>
        </is>
      </c>
      <c r="B21" s="9" t="inlineStr">
        <is>
          <t>ㅜ</t>
        </is>
      </c>
      <c r="C21" s="9" t="inlineStr">
        <is>
          <t>우</t>
        </is>
      </c>
      <c r="D21" s="9" t="inlineStr">
        <is>
          <t>crit</t>
        </is>
      </c>
      <c r="E21" s="9" t="inlineStr">
        <is>
          <t>+5%</t>
        </is>
      </c>
      <c r="F21" s="9" t="inlineStr">
        <is>
          <t>rare</t>
        </is>
      </c>
    </row>
    <row r="22">
      <c r="A22" s="8" t="inlineStr">
        <is>
          <t>고급</t>
        </is>
      </c>
      <c r="B22" s="8" t="inlineStr">
        <is>
          <t>ㅡ</t>
        </is>
      </c>
      <c r="C22" s="8" t="inlineStr">
        <is>
          <t>으</t>
        </is>
      </c>
      <c r="D22" s="8" t="inlineStr">
        <is>
          <t>all</t>
        </is>
      </c>
      <c r="E22" s="8" t="inlineStr">
        <is>
          <t>+5</t>
        </is>
      </c>
      <c r="F22" s="8" t="inlineStr">
        <is>
          <t>rare</t>
        </is>
      </c>
    </row>
  </sheetData>
  <mergeCells count="1">
    <mergeCell ref="A1:F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6" customWidth="1" min="1" max="1"/>
    <col width="10" customWidth="1" min="2" max="2"/>
    <col width="30" customWidth="1" min="3" max="3"/>
    <col width="14" customWidth="1" min="4" max="4"/>
    <col width="22" customWidth="1" min="5" max="5"/>
  </cols>
  <sheetData>
    <row r="1">
      <c r="A1" s="6" t="inlineStr">
        <is>
          <t>유물 시스템 (10종)</t>
        </is>
      </c>
    </row>
    <row r="3">
      <c r="A3" s="7" t="inlineStr">
        <is>
          <t>이름</t>
        </is>
      </c>
      <c r="B3" s="7" t="inlineStr">
        <is>
          <t>등급</t>
        </is>
      </c>
      <c r="C3" s="7" t="inlineStr">
        <is>
          <t>효과</t>
        </is>
      </c>
      <c r="D3" s="7" t="inlineStr">
        <is>
          <t>획득처</t>
        </is>
      </c>
      <c r="E3" s="7" t="inlineStr">
        <is>
          <t>비고</t>
        </is>
      </c>
    </row>
    <row r="4">
      <c r="A4" s="8" t="inlineStr">
        <is>
          <t>혼돈의 칼날</t>
        </is>
      </c>
      <c r="B4" s="8" t="inlineStr">
        <is>
          <t>rare</t>
        </is>
      </c>
      <c r="C4" s="8" t="inlineStr">
        <is>
          <t>ATK +10%, Crit +3%</t>
        </is>
      </c>
      <c r="D4" s="8" t="inlineStr">
        <is>
          <t>보스/던전</t>
        </is>
      </c>
      <c r="E4" s="8" t="inlineStr">
        <is>
          <t>최대 장착 3개</t>
        </is>
      </c>
    </row>
    <row r="5">
      <c r="A5" s="9" t="inlineStr">
        <is>
          <t>영원의 방패</t>
        </is>
      </c>
      <c r="B5" s="9" t="inlineStr">
        <is>
          <t>rare</t>
        </is>
      </c>
      <c r="C5" s="9" t="inlineStr">
        <is>
          <t>DEF +10%, 피해 감소 5%</t>
        </is>
      </c>
      <c r="D5" s="9" t="inlineStr">
        <is>
          <t>나이트 던전</t>
        </is>
      </c>
      <c r="E5" s="9" t="inlineStr">
        <is>
          <t>강화 +5까지</t>
        </is>
      </c>
    </row>
    <row r="6">
      <c r="A6" s="8" t="inlineStr">
        <is>
          <t>용의 심장</t>
        </is>
      </c>
      <c r="B6" s="8" t="inlineStr">
        <is>
          <t>epic</t>
        </is>
      </c>
      <c r="C6" s="8" t="inlineStr">
        <is>
          <t>HP +200, ATK +15, Fire +10%</t>
        </is>
      </c>
      <c r="D6" s="8" t="inlineStr">
        <is>
          <t>드래곤 보스</t>
        </is>
      </c>
      <c r="E6" s="8" t="inlineStr">
        <is>
          <t>강화당 효과 +20%</t>
        </is>
      </c>
    </row>
    <row r="7">
      <c r="A7" s="9" t="inlineStr">
        <is>
          <t>왕의 왕관</t>
        </is>
      </c>
      <c r="B7" s="9" t="inlineStr">
        <is>
          <t>epic</t>
        </is>
      </c>
      <c r="C7" s="9" t="inlineStr">
        <is>
          <t>EXP +15%, Gold +15%</t>
        </is>
      </c>
      <c r="D7" s="9" t="inlineStr">
        <is>
          <t>캐슬 보스</t>
        </is>
      </c>
      <c r="E7" s="9" t="inlineStr">
        <is>
          <t>강화 비용: 5000×(레벨+1)²</t>
        </is>
      </c>
    </row>
    <row r="8">
      <c r="A8" s="8" t="inlineStr">
        <is>
          <t>바람의 부츠</t>
        </is>
      </c>
      <c r="B8" s="8" t="inlineStr">
        <is>
          <t>rare</t>
        </is>
      </c>
      <c r="C8" s="8" t="inlineStr">
        <is>
          <t>SPD +3, 공속 +10%</t>
        </is>
      </c>
      <c r="D8" s="8" t="inlineStr">
        <is>
          <t>낚시/강가</t>
        </is>
      </c>
      <c r="E8" s="8" t="inlineStr">
        <is>
          <t>재료: mat_dragon ×2/레벨</t>
        </is>
      </c>
    </row>
    <row r="9">
      <c r="A9" s="9" t="inlineStr">
        <is>
          <t>진실의 눈</t>
        </is>
      </c>
      <c r="B9" s="9" t="inlineStr">
        <is>
          <t>epic</t>
        </is>
      </c>
      <c r="C9" s="9" t="inlineStr">
        <is>
          <t>회피 +8%, 시야 +5</t>
        </is>
      </c>
      <c r="D9" s="9" t="inlineStr">
        <is>
          <t>점술사 NPC</t>
        </is>
      </c>
      <c r="E9" s="9" t="inlineStr"/>
    </row>
    <row r="10">
      <c r="A10" s="8" t="inlineStr">
        <is>
          <t>불사조 깃털</t>
        </is>
      </c>
      <c r="B10" s="8" t="inlineStr">
        <is>
          <t>legendary</t>
        </is>
      </c>
      <c r="C10" s="8" t="inlineStr">
        <is>
          <t>자동 부활, Fire 면역, Fire +20%</t>
        </is>
      </c>
      <c r="D10" s="8" t="inlineStr">
        <is>
          <t>월드 보스</t>
        </is>
      </c>
      <c r="E10" s="8" t="inlineStr">
        <is>
          <t>최고 등급</t>
        </is>
      </c>
    </row>
    <row r="11">
      <c r="A11" s="9" t="inlineStr">
        <is>
          <t>공허의 파편</t>
        </is>
      </c>
      <c r="B11" s="9" t="inlineStr">
        <is>
          <t>legendary</t>
        </is>
      </c>
      <c r="C11" s="9" t="inlineStr">
        <is>
          <t>Dark +30%, 처형 +15%</t>
        </is>
      </c>
      <c r="D11" s="9" t="inlineStr">
        <is>
          <t>공허 던전</t>
        </is>
      </c>
      <c r="E11" s="9" t="inlineStr"/>
    </row>
    <row r="12">
      <c r="A12" s="8" t="inlineStr">
        <is>
          <t>운명의 별</t>
        </is>
      </c>
      <c r="B12" s="8" t="inlineStr">
        <is>
          <t>legendary</t>
        </is>
      </c>
      <c r="C12" s="8" t="inlineStr">
        <is>
          <t>전체 스탯 +5%</t>
        </is>
      </c>
      <c r="D12" s="8" t="inlineStr">
        <is>
          <t>주간 1위</t>
        </is>
      </c>
      <c r="E12" s="8" t="inlineStr"/>
    </row>
    <row r="13">
      <c r="A13" s="9" t="inlineStr">
        <is>
          <t>태초의 구슬</t>
        </is>
      </c>
      <c r="B13" s="9" t="inlineStr">
        <is>
          <t>mythic</t>
        </is>
      </c>
      <c r="C13" s="9" t="inlineStr">
        <is>
          <t>전체 +10%, EXP +30%, 드롭 +20%</t>
        </is>
      </c>
      <c r="D13" s="9" t="inlineStr">
        <is>
          <t>신화 크라켄</t>
        </is>
      </c>
      <c r="E13" s="9" t="inlineStr">
        <is>
          <t>최상위 유물</t>
        </is>
      </c>
    </row>
  </sheetData>
  <mergeCells count="1">
    <mergeCell ref="A1:E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8" customWidth="1" min="1" max="1"/>
    <col width="10" customWidth="1" min="2" max="2"/>
    <col width="12" customWidth="1" min="3" max="3"/>
    <col width="10" customWidth="1" min="4" max="4"/>
    <col width="10" customWidth="1" min="5" max="5"/>
    <col width="10" customWidth="1" min="6" max="6"/>
    <col width="14" customWidth="1" min="7" max="7"/>
    <col width="10" customWidth="1" min="8" max="8"/>
  </cols>
  <sheetData>
    <row r="1">
      <c r="A1" s="6" t="inlineStr">
        <is>
          <t>정원 시스템 (8종 꽃)</t>
        </is>
      </c>
    </row>
    <row r="3">
      <c r="A3" s="7" t="inlineStr">
        <is>
          <t>아이콘</t>
        </is>
      </c>
      <c r="B3" s="7" t="inlineStr">
        <is>
          <t>이름</t>
        </is>
      </c>
      <c r="C3" s="7" t="inlineStr">
        <is>
          <t>ID</t>
        </is>
      </c>
      <c r="D3" s="7" t="inlineStr">
        <is>
          <t>씨앗 가격</t>
        </is>
      </c>
      <c r="E3" s="7" t="inlineStr">
        <is>
          <t>성장 시간</t>
        </is>
      </c>
      <c r="F3" s="7" t="inlineStr">
        <is>
          <t>개화 시간</t>
        </is>
      </c>
      <c r="G3" s="7" t="inlineStr">
        <is>
          <t>보너스</t>
        </is>
      </c>
      <c r="H3" s="7" t="inlineStr">
        <is>
          <t>비고</t>
        </is>
      </c>
    </row>
    <row r="4">
      <c r="A4" s="8" t="inlineStr">
        <is>
          <t>🌼</t>
        </is>
      </c>
      <c r="B4" s="8" t="inlineStr">
        <is>
          <t>데이지</t>
        </is>
      </c>
      <c r="C4" s="8" t="inlineStr">
        <is>
          <t>daisy</t>
        </is>
      </c>
      <c r="D4" s="8" t="inlineStr">
        <is>
          <t>50G</t>
        </is>
      </c>
      <c r="E4" s="8" t="inlineStr">
        <is>
          <t>2시간</t>
        </is>
      </c>
      <c r="F4" s="8" t="inlineStr">
        <is>
          <t>24시간</t>
        </is>
      </c>
      <c r="G4" s="8" t="inlineStr">
        <is>
          <t>maxHp +5</t>
        </is>
      </c>
      <c r="H4" s="8" t="inlineStr">
        <is>
          <t>12슬롯</t>
        </is>
      </c>
    </row>
    <row r="5">
      <c r="A5" s="9" t="inlineStr">
        <is>
          <t>🌹</t>
        </is>
      </c>
      <c r="B5" s="9" t="inlineStr">
        <is>
          <t>장미</t>
        </is>
      </c>
      <c r="C5" s="9" t="inlineStr">
        <is>
          <t>rose</t>
        </is>
      </c>
      <c r="D5" s="9" t="inlineStr">
        <is>
          <t>120G</t>
        </is>
      </c>
      <c r="E5" s="9" t="inlineStr">
        <is>
          <t>4시간</t>
        </is>
      </c>
      <c r="F5" s="9" t="inlineStr">
        <is>
          <t>24시간</t>
        </is>
      </c>
      <c r="G5" s="9" t="inlineStr">
        <is>
          <t>atk +2</t>
        </is>
      </c>
      <c r="H5" s="9" t="inlineStr"/>
    </row>
    <row r="6">
      <c r="A6" s="8" t="inlineStr">
        <is>
          <t>🌷</t>
        </is>
      </c>
      <c r="B6" s="8" t="inlineStr">
        <is>
          <t>튤립</t>
        </is>
      </c>
      <c r="C6" s="8" t="inlineStr">
        <is>
          <t>tulip</t>
        </is>
      </c>
      <c r="D6" s="8" t="inlineStr">
        <is>
          <t>80G</t>
        </is>
      </c>
      <c r="E6" s="8" t="inlineStr">
        <is>
          <t>3시간</t>
        </is>
      </c>
      <c r="F6" s="8" t="inlineStr">
        <is>
          <t>24시간</t>
        </is>
      </c>
      <c r="G6" s="8" t="inlineStr">
        <is>
          <t>def +3</t>
        </is>
      </c>
      <c r="H6" s="8" t="inlineStr"/>
    </row>
    <row r="7">
      <c r="A7" s="9" t="inlineStr">
        <is>
          <t>🌻</t>
        </is>
      </c>
      <c r="B7" s="9" t="inlineStr">
        <is>
          <t>해바라기</t>
        </is>
      </c>
      <c r="C7" s="9" t="inlineStr">
        <is>
          <t>sunflower</t>
        </is>
      </c>
      <c r="D7" s="9" t="inlineStr">
        <is>
          <t>100G</t>
        </is>
      </c>
      <c r="E7" s="9" t="inlineStr">
        <is>
          <t>4시간</t>
        </is>
      </c>
      <c r="F7" s="9" t="inlineStr">
        <is>
          <t>24시간</t>
        </is>
      </c>
      <c r="G7" s="9" t="inlineStr">
        <is>
          <t>goldBonus +2%</t>
        </is>
      </c>
      <c r="H7" s="9" t="inlineStr"/>
    </row>
    <row r="8">
      <c r="A8" s="8" t="inlineStr">
        <is>
          <t>🪷</t>
        </is>
      </c>
      <c r="B8" s="8" t="inlineStr">
        <is>
          <t>연꽃</t>
        </is>
      </c>
      <c r="C8" s="8" t="inlineStr">
        <is>
          <t>lotus</t>
        </is>
      </c>
      <c r="D8" s="8" t="inlineStr">
        <is>
          <t>200G</t>
        </is>
      </c>
      <c r="E8" s="8" t="inlineStr">
        <is>
          <t>6시간</t>
        </is>
      </c>
      <c r="F8" s="8" t="inlineStr">
        <is>
          <t>24시간</t>
        </is>
      </c>
      <c r="G8" s="8" t="inlineStr">
        <is>
          <t>mp +5</t>
        </is>
      </c>
      <c r="H8" s="8" t="inlineStr"/>
    </row>
    <row r="9">
      <c r="A9" s="9" t="inlineStr">
        <is>
          <t>🌸</t>
        </is>
      </c>
      <c r="B9" s="9" t="inlineStr">
        <is>
          <t>벚꽃</t>
        </is>
      </c>
      <c r="C9" s="9" t="inlineStr">
        <is>
          <t>cherry</t>
        </is>
      </c>
      <c r="D9" s="9" t="inlineStr">
        <is>
          <t>150G</t>
        </is>
      </c>
      <c r="E9" s="9" t="inlineStr">
        <is>
          <t>5시간</t>
        </is>
      </c>
      <c r="F9" s="9" t="inlineStr">
        <is>
          <t>24시간</t>
        </is>
      </c>
      <c r="G9" s="9" t="inlineStr">
        <is>
          <t>crit +1%</t>
        </is>
      </c>
      <c r="H9" s="9" t="inlineStr"/>
    </row>
    <row r="10">
      <c r="A10" s="8" t="inlineStr">
        <is>
          <t>🌺</t>
        </is>
      </c>
      <c r="B10" s="8" t="inlineStr">
        <is>
          <t>무궁화</t>
        </is>
      </c>
      <c r="C10" s="8" t="inlineStr">
        <is>
          <t>hibiscus</t>
        </is>
      </c>
      <c r="D10" s="8" t="inlineStr">
        <is>
          <t>180G</t>
        </is>
      </c>
      <c r="E10" s="8" t="inlineStr">
        <is>
          <t>5시간</t>
        </is>
      </c>
      <c r="F10" s="8" t="inlineStr">
        <is>
          <t>24시간</t>
        </is>
      </c>
      <c r="G10" s="8" t="inlineStr">
        <is>
          <t>evasion +1%</t>
        </is>
      </c>
      <c r="H10" s="8" t="inlineStr"/>
    </row>
    <row r="11">
      <c r="A11" s="9" t="inlineStr">
        <is>
          <t>✨</t>
        </is>
      </c>
      <c r="B11" s="9" t="inlineStr">
        <is>
          <t>별꽃</t>
        </is>
      </c>
      <c r="C11" s="9" t="inlineStr">
        <is>
          <t>starflower</t>
        </is>
      </c>
      <c r="D11" s="9" t="inlineStr">
        <is>
          <t>500G</t>
        </is>
      </c>
      <c r="E11" s="9" t="inlineStr">
        <is>
          <t>12시간</t>
        </is>
      </c>
      <c r="F11" s="9" t="inlineStr">
        <is>
          <t>24시간</t>
        </is>
      </c>
      <c r="G11" s="9" t="inlineStr">
        <is>
          <t>allStats +1</t>
        </is>
      </c>
      <c r="H11" s="9" t="inlineStr">
        <is>
          <t>최고급</t>
        </is>
      </c>
    </row>
  </sheetData>
  <mergeCells count="1">
    <mergeCell ref="A1:H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6" customWidth="1" min="1" max="1"/>
    <col width="16" customWidth="1" min="2" max="2"/>
    <col width="8" customWidth="1" min="3" max="3"/>
    <col width="12" customWidth="1" min="4" max="4"/>
    <col width="16" customWidth="1" min="5" max="5"/>
    <col width="16" customWidth="1" min="6" max="6"/>
    <col width="28" customWidth="1" min="7" max="7"/>
  </cols>
  <sheetData>
    <row r="1">
      <c r="A1" s="6" t="inlineStr">
        <is>
          <t>타로 카드 시스템 (22장 메이저 아르카나)</t>
        </is>
      </c>
    </row>
    <row r="3">
      <c r="A3" s="7" t="inlineStr">
        <is>
          <t>번호</t>
        </is>
      </c>
      <c r="B3" s="7" t="inlineStr">
        <is>
          <t>이름</t>
        </is>
      </c>
      <c r="C3" s="7" t="inlineStr">
        <is>
          <t>아이콘</t>
        </is>
      </c>
      <c r="D3" s="7" t="inlineStr">
        <is>
          <t>보너스 스탯</t>
        </is>
      </c>
      <c r="E3" s="7" t="inlineStr">
        <is>
          <t>정방향 의미</t>
        </is>
      </c>
      <c r="F3" s="7" t="inlineStr">
        <is>
          <t>역방향 의미</t>
        </is>
      </c>
      <c r="G3" s="7" t="inlineStr">
        <is>
          <t>시스템 메모</t>
        </is>
      </c>
    </row>
    <row r="4">
      <c r="A4" s="8" t="inlineStr">
        <is>
          <t>0</t>
        </is>
      </c>
      <c r="B4" s="8" t="inlineStr">
        <is>
          <t>바보</t>
        </is>
      </c>
      <c r="C4" s="8" t="inlineStr">
        <is>
          <t>🃏</t>
        </is>
      </c>
      <c r="D4" s="8" t="inlineStr">
        <is>
          <t>evasion</t>
        </is>
      </c>
      <c r="E4" s="8" t="inlineStr">
        <is>
          <t>순수한 시작</t>
        </is>
      </c>
      <c r="F4" s="8" t="inlineStr">
        <is>
          <t>무모함</t>
        </is>
      </c>
      <c r="G4" s="8" t="inlineStr">
        <is>
          <t>정방향 +8, 역방향 +3 (24시간)</t>
        </is>
      </c>
    </row>
    <row r="5">
      <c r="A5" s="9" t="inlineStr">
        <is>
          <t>1</t>
        </is>
      </c>
      <c r="B5" s="9" t="inlineStr">
        <is>
          <t>마법사</t>
        </is>
      </c>
      <c r="C5" s="9" t="inlineStr">
        <is>
          <t>🎩</t>
        </is>
      </c>
      <c r="D5" s="9" t="inlineStr">
        <is>
          <t>mp</t>
        </is>
      </c>
      <c r="E5" s="9" t="inlineStr">
        <is>
          <t>창조력</t>
        </is>
      </c>
      <c r="F5" s="9" t="inlineStr">
        <is>
          <t>기만</t>
        </is>
      </c>
      <c r="G5" s="9" t="inlineStr">
        <is>
          <t>매일 1회 3장 뽑기</t>
        </is>
      </c>
    </row>
    <row r="6">
      <c r="A6" s="8" t="inlineStr">
        <is>
          <t>2</t>
        </is>
      </c>
      <c r="B6" s="8" t="inlineStr">
        <is>
          <t>여사제</t>
        </is>
      </c>
      <c r="C6" s="8" t="inlineStr">
        <is>
          <t>👸</t>
        </is>
      </c>
      <c r="D6" s="8" t="inlineStr">
        <is>
          <t>crit</t>
        </is>
      </c>
      <c r="E6" s="8" t="inlineStr">
        <is>
          <t>직관</t>
        </is>
      </c>
      <c r="F6" s="8" t="inlineStr">
        <is>
          <t>비밀</t>
        </is>
      </c>
      <c r="G6" s="8" t="inlineStr">
        <is>
          <t>과거/현재/미래 3포지션</t>
        </is>
      </c>
    </row>
    <row r="7">
      <c r="A7" s="9" t="inlineStr">
        <is>
          <t>3</t>
        </is>
      </c>
      <c r="B7" s="9" t="inlineStr">
        <is>
          <t>여왕</t>
        </is>
      </c>
      <c r="C7" s="9" t="inlineStr">
        <is>
          <t>👑</t>
        </is>
      </c>
      <c r="D7" s="9" t="inlineStr">
        <is>
          <t>goldBonus</t>
        </is>
      </c>
      <c r="E7" s="9" t="inlineStr">
        <is>
          <t>풍요</t>
        </is>
      </c>
      <c r="F7" s="9" t="inlineStr">
        <is>
          <t>의존</t>
        </is>
      </c>
      <c r="G7" s="9" t="inlineStr">
        <is>
          <t>운명 점수: 정방향 +10, 역방향 -5</t>
        </is>
      </c>
    </row>
    <row r="8">
      <c r="A8" s="8" t="inlineStr">
        <is>
          <t>4</t>
        </is>
      </c>
      <c r="B8" s="8" t="inlineStr">
        <is>
          <t>황제</t>
        </is>
      </c>
      <c r="C8" s="8" t="inlineStr">
        <is>
          <t>🤴</t>
        </is>
      </c>
      <c r="D8" s="8" t="inlineStr">
        <is>
          <t>def</t>
        </is>
      </c>
      <c r="E8" s="8" t="inlineStr">
        <is>
          <t>권위</t>
        </is>
      </c>
      <c r="F8" s="8" t="inlineStr">
        <is>
          <t>독재</t>
        </is>
      </c>
      <c r="G8" s="8" t="inlineStr">
        <is>
          <t>점수 &lt;-50: 저주받은 운명</t>
        </is>
      </c>
    </row>
    <row r="9">
      <c r="A9" s="9" t="inlineStr">
        <is>
          <t>5</t>
        </is>
      </c>
      <c r="B9" s="9" t="inlineStr">
        <is>
          <t>교황</t>
        </is>
      </c>
      <c r="C9" s="9" t="inlineStr">
        <is>
          <t>⛪</t>
        </is>
      </c>
      <c r="D9" s="9" t="inlineStr">
        <is>
          <t>expBonus</t>
        </is>
      </c>
      <c r="E9" s="9" t="inlineStr">
        <is>
          <t>전통</t>
        </is>
      </c>
      <c r="F9" s="9" t="inlineStr">
        <is>
          <t>반역</t>
        </is>
      </c>
      <c r="G9" s="9" t="inlineStr">
        <is>
          <t>점수 0~50: 균형</t>
        </is>
      </c>
    </row>
    <row r="10">
      <c r="A10" s="8" t="inlineStr">
        <is>
          <t>6</t>
        </is>
      </c>
      <c r="B10" s="8" t="inlineStr">
        <is>
          <t>연인</t>
        </is>
      </c>
      <c r="C10" s="8" t="inlineStr">
        <is>
          <t>💑</t>
        </is>
      </c>
      <c r="D10" s="8" t="inlineStr">
        <is>
          <t>allStats</t>
        </is>
      </c>
      <c r="E10" s="8" t="inlineStr">
        <is>
          <t>사랑과 선택</t>
        </is>
      </c>
      <c r="F10" s="8" t="inlineStr">
        <is>
          <t>이별</t>
        </is>
      </c>
      <c r="G10" s="8" t="inlineStr">
        <is>
          <t>점수 50~100: 밝은 운명</t>
        </is>
      </c>
    </row>
    <row r="11">
      <c r="A11" s="9" t="inlineStr">
        <is>
          <t>7</t>
        </is>
      </c>
      <c r="B11" s="9" t="inlineStr">
        <is>
          <t>전차</t>
        </is>
      </c>
      <c r="C11" s="9" t="inlineStr">
        <is>
          <t>🛞</t>
        </is>
      </c>
      <c r="D11" s="9" t="inlineStr">
        <is>
          <t>atk</t>
        </is>
      </c>
      <c r="E11" s="9" t="inlineStr">
        <is>
          <t>승리</t>
        </is>
      </c>
      <c r="F11" s="9" t="inlineStr">
        <is>
          <t>좌절</t>
        </is>
      </c>
      <c r="G11" s="9" t="inlineStr">
        <is>
          <t>점수 100~200: 빛나는 운명</t>
        </is>
      </c>
    </row>
    <row r="12">
      <c r="A12" s="8" t="inlineStr">
        <is>
          <t>8</t>
        </is>
      </c>
      <c r="B12" s="8" t="inlineStr">
        <is>
          <t>힘</t>
        </is>
      </c>
      <c r="C12" s="8" t="inlineStr">
        <is>
          <t>🦁</t>
        </is>
      </c>
      <c r="D12" s="8" t="inlineStr">
        <is>
          <t>maxHp</t>
        </is>
      </c>
      <c r="E12" s="8" t="inlineStr">
        <is>
          <t>용기</t>
        </is>
      </c>
      <c r="F12" s="8" t="inlineStr">
        <is>
          <t>유약</t>
        </is>
      </c>
      <c r="G12" s="8" t="inlineStr">
        <is>
          <t>점수 ≥200: 별의 후예</t>
        </is>
      </c>
    </row>
    <row r="13">
      <c r="A13" s="9" t="inlineStr">
        <is>
          <t>9</t>
        </is>
      </c>
      <c r="B13" s="9" t="inlineStr">
        <is>
          <t>은둔자</t>
        </is>
      </c>
      <c r="C13" s="9" t="inlineStr">
        <is>
          <t>🕯️</t>
        </is>
      </c>
      <c r="D13" s="9" t="inlineStr">
        <is>
          <t>expBonus</t>
        </is>
      </c>
      <c r="E13" s="9" t="inlineStr">
        <is>
          <t>성찰</t>
        </is>
      </c>
      <c r="F13" s="9" t="inlineStr">
        <is>
          <t>고립</t>
        </is>
      </c>
      <c r="G13" s="9" t="inlineStr"/>
    </row>
    <row r="14">
      <c r="A14" s="8" t="inlineStr">
        <is>
          <t>10</t>
        </is>
      </c>
      <c r="B14" s="8" t="inlineStr">
        <is>
          <t>운명의 수레바퀴</t>
        </is>
      </c>
      <c r="C14" s="8" t="inlineStr">
        <is>
          <t>☸️</t>
        </is>
      </c>
      <c r="D14" s="8" t="inlineStr">
        <is>
          <t>goldBonus</t>
        </is>
      </c>
      <c r="E14" s="8" t="inlineStr">
        <is>
          <t>행운의 전환</t>
        </is>
      </c>
      <c r="F14" s="8" t="inlineStr">
        <is>
          <t>불운</t>
        </is>
      </c>
      <c r="G14" s="8" t="inlineStr"/>
    </row>
    <row r="15">
      <c r="A15" s="9" t="inlineStr">
        <is>
          <t>11</t>
        </is>
      </c>
      <c r="B15" s="9" t="inlineStr">
        <is>
          <t>정의</t>
        </is>
      </c>
      <c r="C15" s="9" t="inlineStr">
        <is>
          <t>⚖️</t>
        </is>
      </c>
      <c r="D15" s="9" t="inlineStr">
        <is>
          <t>def</t>
        </is>
      </c>
      <c r="E15" s="9" t="inlineStr">
        <is>
          <t>균형</t>
        </is>
      </c>
      <c r="F15" s="9" t="inlineStr">
        <is>
          <t>불공정</t>
        </is>
      </c>
      <c r="G15" s="9" t="inlineStr"/>
    </row>
    <row r="16">
      <c r="A16" s="8" t="inlineStr">
        <is>
          <t>12</t>
        </is>
      </c>
      <c r="B16" s="8" t="inlineStr">
        <is>
          <t>매달린 사람</t>
        </is>
      </c>
      <c r="C16" s="8" t="inlineStr">
        <is>
          <t>🙃</t>
        </is>
      </c>
      <c r="D16" s="8" t="inlineStr">
        <is>
          <t>evasion</t>
        </is>
      </c>
      <c r="E16" s="8" t="inlineStr">
        <is>
          <t>희생</t>
        </is>
      </c>
      <c r="F16" s="8" t="inlineStr">
        <is>
          <t>정체</t>
        </is>
      </c>
      <c r="G16" s="8" t="inlineStr"/>
    </row>
    <row r="17">
      <c r="A17" s="9" t="inlineStr">
        <is>
          <t>13</t>
        </is>
      </c>
      <c r="B17" s="9" t="inlineStr">
        <is>
          <t>죽음</t>
        </is>
      </c>
      <c r="C17" s="9" t="inlineStr">
        <is>
          <t>💀</t>
        </is>
      </c>
      <c r="D17" s="9" t="inlineStr">
        <is>
          <t>atk</t>
        </is>
      </c>
      <c r="E17" s="9" t="inlineStr">
        <is>
          <t>재탄생</t>
        </is>
      </c>
      <c r="F17" s="9" t="inlineStr">
        <is>
          <t>두려움</t>
        </is>
      </c>
      <c r="G17" s="9" t="inlineStr"/>
    </row>
    <row r="18">
      <c r="A18" s="8" t="inlineStr">
        <is>
          <t>14</t>
        </is>
      </c>
      <c r="B18" s="8" t="inlineStr">
        <is>
          <t>절제</t>
        </is>
      </c>
      <c r="C18" s="8" t="inlineStr">
        <is>
          <t>🍶</t>
        </is>
      </c>
      <c r="D18" s="8" t="inlineStr">
        <is>
          <t>mp</t>
        </is>
      </c>
      <c r="E18" s="8" t="inlineStr">
        <is>
          <t>조화</t>
        </is>
      </c>
      <c r="F18" s="8" t="inlineStr">
        <is>
          <t>불균형</t>
        </is>
      </c>
      <c r="G18" s="8" t="inlineStr"/>
    </row>
    <row r="19">
      <c r="A19" s="9" t="inlineStr">
        <is>
          <t>15</t>
        </is>
      </c>
      <c r="B19" s="9" t="inlineStr">
        <is>
          <t>악마</t>
        </is>
      </c>
      <c r="C19" s="9" t="inlineStr">
        <is>
          <t>😈</t>
        </is>
      </c>
      <c r="D19" s="9" t="inlineStr">
        <is>
          <t>crit</t>
        </is>
      </c>
      <c r="E19" s="9" t="inlineStr">
        <is>
          <t>유혹</t>
        </is>
      </c>
      <c r="F19" s="9" t="inlineStr">
        <is>
          <t>해방</t>
        </is>
      </c>
      <c r="G19" s="9" t="inlineStr"/>
    </row>
    <row r="20">
      <c r="A20" s="8" t="inlineStr">
        <is>
          <t>16</t>
        </is>
      </c>
      <c r="B20" s="8" t="inlineStr">
        <is>
          <t>탑</t>
        </is>
      </c>
      <c r="C20" s="8" t="inlineStr">
        <is>
          <t>🗼</t>
        </is>
      </c>
      <c r="D20" s="8" t="inlineStr">
        <is>
          <t>def</t>
        </is>
      </c>
      <c r="E20" s="8" t="inlineStr">
        <is>
          <t>갑작스런 변화</t>
        </is>
      </c>
      <c r="F20" s="8" t="inlineStr">
        <is>
          <t>재앙 회피</t>
        </is>
      </c>
      <c r="G20" s="8" t="inlineStr"/>
    </row>
    <row r="21">
      <c r="A21" s="9" t="inlineStr">
        <is>
          <t>17</t>
        </is>
      </c>
      <c r="B21" s="9" t="inlineStr">
        <is>
          <t>별</t>
        </is>
      </c>
      <c r="C21" s="9" t="inlineStr">
        <is>
          <t>⭐</t>
        </is>
      </c>
      <c r="D21" s="9" t="inlineStr">
        <is>
          <t>allStats</t>
        </is>
      </c>
      <c r="E21" s="9" t="inlineStr">
        <is>
          <t>희망</t>
        </is>
      </c>
      <c r="F21" s="9" t="inlineStr">
        <is>
          <t>절망</t>
        </is>
      </c>
      <c r="G21" s="9" t="inlineStr"/>
    </row>
    <row r="22">
      <c r="A22" s="8" t="inlineStr">
        <is>
          <t>18</t>
        </is>
      </c>
      <c r="B22" s="8" t="inlineStr">
        <is>
          <t>달</t>
        </is>
      </c>
      <c r="C22" s="8" t="inlineStr">
        <is>
          <t>🌙</t>
        </is>
      </c>
      <c r="D22" s="8" t="inlineStr">
        <is>
          <t>evasion</t>
        </is>
      </c>
      <c r="E22" s="8" t="inlineStr">
        <is>
          <t>환상</t>
        </is>
      </c>
      <c r="F22" s="8" t="inlineStr">
        <is>
          <t>명료함</t>
        </is>
      </c>
      <c r="G22" s="8" t="inlineStr"/>
    </row>
    <row r="23">
      <c r="A23" s="9" t="inlineStr">
        <is>
          <t>19</t>
        </is>
      </c>
      <c r="B23" s="9" t="inlineStr">
        <is>
          <t>태양</t>
        </is>
      </c>
      <c r="C23" s="9" t="inlineStr">
        <is>
          <t>☀️</t>
        </is>
      </c>
      <c r="D23" s="9" t="inlineStr">
        <is>
          <t>expBonus</t>
        </is>
      </c>
      <c r="E23" s="9" t="inlineStr">
        <is>
          <t>성공</t>
        </is>
      </c>
      <c r="F23" s="9" t="inlineStr">
        <is>
          <t>기쁨의 지연</t>
        </is>
      </c>
      <c r="G23" s="9" t="inlineStr"/>
    </row>
    <row r="24">
      <c r="A24" s="8" t="inlineStr">
        <is>
          <t>20</t>
        </is>
      </c>
      <c r="B24" s="8" t="inlineStr">
        <is>
          <t>심판</t>
        </is>
      </c>
      <c r="C24" s="8" t="inlineStr">
        <is>
          <t>📯</t>
        </is>
      </c>
      <c r="D24" s="8" t="inlineStr">
        <is>
          <t>allStats</t>
        </is>
      </c>
      <c r="E24" s="8" t="inlineStr">
        <is>
          <t>각성</t>
        </is>
      </c>
      <c r="F24" s="8" t="inlineStr">
        <is>
          <t>후회</t>
        </is>
      </c>
      <c r="G24" s="8" t="inlineStr"/>
    </row>
    <row r="25">
      <c r="A25" s="9" t="inlineStr">
        <is>
          <t>21</t>
        </is>
      </c>
      <c r="B25" s="9" t="inlineStr">
        <is>
          <t>세계</t>
        </is>
      </c>
      <c r="C25" s="9" t="inlineStr">
        <is>
          <t>🌍</t>
        </is>
      </c>
      <c r="D25" s="9" t="inlineStr">
        <is>
          <t>allStats</t>
        </is>
      </c>
      <c r="E25" s="9" t="inlineStr">
        <is>
          <t>완성</t>
        </is>
      </c>
      <c r="F25" s="9" t="inlineStr">
        <is>
          <t>미완</t>
        </is>
      </c>
      <c r="G25" s="9" t="inlineStr"/>
    </row>
  </sheetData>
  <mergeCells count="1">
    <mergeCell ref="A1:G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4" customWidth="1" min="1" max="1"/>
    <col width="16" customWidth="1" min="2" max="2"/>
    <col width="10" customWidth="1" min="3" max="3"/>
    <col width="10" customWidth="1" min="4" max="4"/>
    <col width="10" customWidth="1" min="5" max="5"/>
    <col width="30" customWidth="1" min="6" max="6"/>
    <col width="18" customWidth="1" min="7" max="7"/>
  </cols>
  <sheetData>
    <row r="1">
      <c r="A1" s="6" t="inlineStr">
        <is>
          <t>원정 시스템 상세</t>
        </is>
      </c>
    </row>
    <row r="3">
      <c r="A3" s="7" t="inlineStr">
        <is>
          <t>원정명</t>
        </is>
      </c>
      <c r="B3" s="7" t="inlineStr">
        <is>
          <t>ID</t>
        </is>
      </c>
      <c r="C3" s="7" t="inlineStr">
        <is>
          <t>요구 레벨</t>
        </is>
      </c>
      <c r="D3" s="7" t="inlineStr">
        <is>
          <t>스테이지</t>
        </is>
      </c>
      <c r="E3" s="7" t="inlineStr">
        <is>
          <t>소요 시간</t>
        </is>
      </c>
      <c r="F3" s="7" t="inlineStr">
        <is>
          <t>최종 보상</t>
        </is>
      </c>
      <c r="G3" s="7" t="inlineStr">
        <is>
          <t>분기 선택</t>
        </is>
      </c>
    </row>
    <row r="4">
      <c r="A4" s="8" t="inlineStr">
        <is>
          <t>용 사냥꾼</t>
        </is>
      </c>
      <c r="B4" s="8" t="inlineStr">
        <is>
          <t>dragon_slayer</t>
        </is>
      </c>
      <c r="C4" s="8" t="inlineStr">
        <is>
          <t>Lv.25</t>
        </is>
      </c>
      <c r="D4" s="8" t="inlineStr">
        <is>
          <t>7스테이지</t>
        </is>
      </c>
      <c r="E4" s="8" t="inlineStr">
        <is>
          <t>7일</t>
        </is>
      </c>
      <c r="F4" s="8" t="inlineStr">
        <is>
          <t>50K G, 80K EXP, 300D, 장비, 칭호</t>
        </is>
      </c>
      <c r="G4" s="8" t="inlineStr">
        <is>
          <t>은신/정면돌파 분기</t>
        </is>
      </c>
    </row>
    <row r="5">
      <c r="A5" s="9" t="inlineStr">
        <is>
          <t>보물 사냥꾼</t>
        </is>
      </c>
      <c r="B5" s="9" t="inlineStr">
        <is>
          <t>treasure_hunter</t>
        </is>
      </c>
      <c r="C5" s="9" t="inlineStr">
        <is>
          <t>Lv.15</t>
        </is>
      </c>
      <c r="D5" s="9" t="inlineStr">
        <is>
          <t>5스테이지</t>
        </is>
      </c>
      <c r="E5" s="9" t="inlineStr">
        <is>
          <t>5일</t>
        </is>
      </c>
      <c r="F5" s="9" t="inlineStr">
        <is>
          <t>30K G, 40K EXP, 150D, 신화 상자</t>
        </is>
      </c>
      <c r="G5" s="9" t="inlineStr">
        <is>
          <t>도움/강탈 분기</t>
        </is>
      </c>
    </row>
    <row r="6">
      <c r="A6" s="8" t="inlineStr">
        <is>
          <t>공허 탐험가</t>
        </is>
      </c>
      <c r="B6" s="8" t="inlineStr">
        <is>
          <t>void_explorer</t>
        </is>
      </c>
      <c r="C6" s="8" t="inlineStr">
        <is>
          <t>Lv.40</t>
        </is>
      </c>
      <c r="D6" s="8" t="inlineStr">
        <is>
          <t>7스테이지</t>
        </is>
      </c>
      <c r="E6" s="8" t="inlineStr">
        <is>
          <t>7일</t>
        </is>
      </c>
      <c r="F6" s="8" t="inlineStr">
        <is>
          <t>100K G, 150K EXP, 600D, 오브, 칭호</t>
        </is>
      </c>
      <c r="G6" s="8" t="inlineStr">
        <is>
          <t>보존/파괴 분기</t>
        </is>
      </c>
    </row>
    <row r="7">
      <c r="A7" s="9" t="inlineStr">
        <is>
          <t>설정</t>
        </is>
      </c>
      <c r="B7" s="9" t="inlineStr">
        <is>
          <t>최대 동시 진행</t>
        </is>
      </c>
      <c r="C7" s="9" t="inlineStr">
        <is>
          <t>2개</t>
        </is>
      </c>
      <c r="D7" s="9" t="inlineStr">
        <is>
          <t>-</t>
        </is>
      </c>
      <c r="E7" s="9" t="inlineStr">
        <is>
          <t>-</t>
        </is>
      </c>
      <c r="F7" s="9" t="inlineStr">
        <is>
          <t>-</t>
        </is>
      </c>
      <c r="G7" s="9" t="inlineStr">
        <is>
          <t>-</t>
        </is>
      </c>
    </row>
    <row r="8">
      <c r="A8" s="8" t="inlineStr">
        <is>
          <t>설정</t>
        </is>
      </c>
      <c r="B8" s="8" t="inlineStr">
        <is>
          <t>스테이지 부분 보상</t>
        </is>
      </c>
      <c r="C8" s="8" t="inlineStr">
        <is>
          <t>-</t>
        </is>
      </c>
      <c r="D8" s="8" t="inlineStr">
        <is>
          <t>-</t>
        </is>
      </c>
      <c r="E8" s="8" t="inlineStr">
        <is>
          <t>-</t>
        </is>
      </c>
      <c r="F8" s="8" t="inlineStr">
        <is>
          <t>5K~10K G, 8K~15K EXP</t>
        </is>
      </c>
      <c r="G8" s="8" t="inlineStr">
        <is>
          <t>-</t>
        </is>
      </c>
    </row>
  </sheetData>
  <mergeCells count="1">
    <mergeCell ref="A1:G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0" customWidth="1" min="1" max="1"/>
    <col width="16" customWidth="1" min="2" max="2"/>
    <col width="10" customWidth="1" min="3" max="3"/>
    <col width="10" customWidth="1" min="4" max="4"/>
    <col width="18" customWidth="1" min="5" max="5"/>
    <col width="10" customWidth="1" min="6" max="6"/>
    <col width="28" customWidth="1" min="7" max="7"/>
  </cols>
  <sheetData>
    <row r="1">
      <c r="A1" s="6" t="inlineStr">
        <is>
          <t>보물 지도 시스템</t>
        </is>
      </c>
    </row>
    <row r="3">
      <c r="A3" s="7" t="inlineStr">
        <is>
          <t>등급</t>
        </is>
      </c>
      <c r="B3" s="7" t="inlineStr">
        <is>
          <t>이름</t>
        </is>
      </c>
      <c r="C3" s="7" t="inlineStr">
        <is>
          <t>탐색 반경</t>
        </is>
      </c>
      <c r="D3" s="7" t="inlineStr">
        <is>
          <t>만료 시간</t>
        </is>
      </c>
      <c r="E3" s="7" t="inlineStr">
        <is>
          <t>골드 보상</t>
        </is>
      </c>
      <c r="F3" s="7" t="inlineStr">
        <is>
          <t>다이아</t>
        </is>
      </c>
      <c r="G3" s="7" t="inlineStr">
        <is>
          <t>아이템 보상</t>
        </is>
      </c>
    </row>
    <row r="4">
      <c r="A4" s="8" t="inlineStr">
        <is>
          <t>common</t>
        </is>
      </c>
      <c r="B4" s="8" t="inlineStr">
        <is>
          <t>일반 보물 지도</t>
        </is>
      </c>
      <c r="C4" s="8" t="inlineStr">
        <is>
          <t>±30</t>
        </is>
      </c>
      <c r="D4" s="8" t="inlineStr">
        <is>
          <t>60분</t>
        </is>
      </c>
      <c r="E4" s="8" t="inlineStr">
        <is>
          <t>500~1,500G</t>
        </is>
      </c>
      <c r="F4" s="8" t="inlineStr">
        <is>
          <t>0D</t>
        </is>
      </c>
      <c r="G4" s="8" t="inlineStr">
        <is>
          <t>mat_magic, goods_herb (2~5)</t>
        </is>
      </c>
    </row>
    <row r="5">
      <c r="A5" s="9" t="inlineStr">
        <is>
          <t>uncommon</t>
        </is>
      </c>
      <c r="B5" s="9" t="inlineStr">
        <is>
          <t>고급 보물 지도</t>
        </is>
      </c>
      <c r="C5" s="9" t="inlineStr">
        <is>
          <t>±25</t>
        </is>
      </c>
      <c r="D5" s="9" t="inlineStr">
        <is>
          <t>60분</t>
        </is>
      </c>
      <c r="E5" s="9" t="inlineStr">
        <is>
          <t>1,500~4,000G</t>
        </is>
      </c>
      <c r="F5" s="9" t="inlineStr">
        <is>
          <t>5~15D</t>
        </is>
      </c>
      <c r="G5" s="9" t="inlineStr">
        <is>
          <t>mat_magic, mat_soul (3~8)</t>
        </is>
      </c>
    </row>
    <row r="6">
      <c r="A6" s="8" t="inlineStr">
        <is>
          <t>rare</t>
        </is>
      </c>
      <c r="B6" s="8" t="inlineStr">
        <is>
          <t>희귀 보물 지도</t>
        </is>
      </c>
      <c r="C6" s="8" t="inlineStr">
        <is>
          <t>±20</t>
        </is>
      </c>
      <c r="D6" s="8" t="inlineStr">
        <is>
          <t>90분</t>
        </is>
      </c>
      <c r="E6" s="8" t="inlineStr">
        <is>
          <t>4,000~10,000G</t>
        </is>
      </c>
      <c r="F6" s="8" t="inlineStr">
        <is>
          <t>20~50D</t>
        </is>
      </c>
      <c r="G6" s="8" t="inlineStr">
        <is>
          <t>mat_soul, goods_gem (5~10)</t>
        </is>
      </c>
    </row>
    <row r="7">
      <c r="A7" s="9" t="inlineStr">
        <is>
          <t>epic</t>
        </is>
      </c>
      <c r="B7" s="9" t="inlineStr">
        <is>
          <t>영웅 보물 지도</t>
        </is>
      </c>
      <c r="C7" s="9" t="inlineStr">
        <is>
          <t>±15</t>
        </is>
      </c>
      <c r="D7" s="9" t="inlineStr">
        <is>
          <t>120분</t>
        </is>
      </c>
      <c r="E7" s="9" t="inlineStr">
        <is>
          <t>10,000~30,000G</t>
        </is>
      </c>
      <c r="F7" s="9" t="inlineStr">
        <is>
          <t>50~150D</t>
        </is>
      </c>
      <c r="G7" s="9" t="inlineStr">
        <is>
          <t>mat_dragon, goods_gold_bar (3~6)</t>
        </is>
      </c>
    </row>
    <row r="8">
      <c r="A8" s="8" t="inlineStr">
        <is>
          <t>legendary</t>
        </is>
      </c>
      <c r="B8" s="8" t="inlineStr">
        <is>
          <t>전설 보물 지도</t>
        </is>
      </c>
      <c r="C8" s="8" t="inlineStr">
        <is>
          <t>±10</t>
        </is>
      </c>
      <c r="D8" s="8" t="inlineStr">
        <is>
          <t>180분</t>
        </is>
      </c>
      <c r="E8" s="8" t="inlineStr">
        <is>
          <t>30,000~80,000G</t>
        </is>
      </c>
      <c r="F8" s="8" t="inlineStr">
        <is>
          <t>200~500D</t>
        </is>
      </c>
      <c r="G8" s="8" t="inlineStr">
        <is>
          <t>mat_dragon, goods_dragon_eye (5~10)</t>
        </is>
      </c>
    </row>
    <row r="9">
      <c r="A9" s="9" t="inlineStr">
        <is>
          <t>설정</t>
        </is>
      </c>
      <c r="B9" s="9" t="inlineStr">
        <is>
          <t>최대 보유</t>
        </is>
      </c>
      <c r="C9" s="9" t="inlineStr">
        <is>
          <t>-</t>
        </is>
      </c>
      <c r="D9" s="9" t="inlineStr">
        <is>
          <t>-</t>
        </is>
      </c>
      <c r="E9" s="9" t="inlineStr">
        <is>
          <t>5장</t>
        </is>
      </c>
      <c r="F9" s="9" t="inlineStr">
        <is>
          <t>-</t>
        </is>
      </c>
      <c r="G9" s="9" t="inlineStr">
        <is>
          <t>근접 5유닛 시 발견 가능</t>
        </is>
      </c>
    </row>
  </sheetData>
  <mergeCells count="1">
    <mergeCell ref="A1:G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8" customWidth="1" min="1" max="1"/>
    <col width="16" customWidth="1" min="2" max="2"/>
    <col width="14" customWidth="1" min="3" max="3"/>
    <col width="16" customWidth="1" min="4" max="4"/>
    <col width="14" customWidth="1" min="5" max="5"/>
  </cols>
  <sheetData>
    <row r="1">
      <c r="A1" s="6" t="inlineStr">
        <is>
          <t>펫 교배 시스템</t>
        </is>
      </c>
    </row>
    <row r="3">
      <c r="A3" s="7" t="inlineStr">
        <is>
          <t>조합/설정</t>
        </is>
      </c>
      <c r="B3" s="7" t="inlineStr">
        <is>
          <t>결과/값</t>
        </is>
      </c>
      <c r="C3" s="7" t="inlineStr">
        <is>
          <t>효과</t>
        </is>
      </c>
      <c r="D3" s="7" t="inlineStr">
        <is>
          <t>수치</t>
        </is>
      </c>
      <c r="E3" s="7" t="inlineStr">
        <is>
          <t>비고</t>
        </is>
      </c>
    </row>
    <row r="4">
      <c r="A4" s="8" t="inlineStr">
        <is>
          <t>슬라임 + 늑대</t>
        </is>
      </c>
      <c r="B4" s="8" t="inlineStr">
        <is>
          <t>slime_wolf</t>
        </is>
      </c>
      <c r="C4" s="8" t="inlineStr">
        <is>
          <t>HP 리젠</t>
        </is>
      </c>
      <c r="D4" s="8" t="inlineStr">
        <is>
          <t>0.06 (6%/초)</t>
        </is>
      </c>
      <c r="E4" s="8" t="inlineStr">
        <is>
          <t>하이브리드</t>
        </is>
      </c>
    </row>
    <row r="5">
      <c r="A5" s="9" t="inlineStr">
        <is>
          <t>요정 + 드래곤</t>
        </is>
      </c>
      <c r="B5" s="9" t="inlineStr">
        <is>
          <t>light_dragon</t>
        </is>
      </c>
      <c r="C5" s="9" t="inlineStr">
        <is>
          <t>EXP 보너스</t>
        </is>
      </c>
      <c r="D5" s="9" t="inlineStr">
        <is>
          <t>+25%</t>
        </is>
      </c>
      <c r="E5" s="9" t="inlineStr">
        <is>
          <t>하이브리드</t>
        </is>
      </c>
    </row>
    <row r="6">
      <c r="A6" s="8" t="inlineStr">
        <is>
          <t>천사 + 불사조</t>
        </is>
      </c>
      <c r="B6" s="8" t="inlineStr">
        <is>
          <t>holy_phoenix</t>
        </is>
      </c>
      <c r="C6" s="8" t="inlineStr">
        <is>
          <t>자동 부활</t>
        </is>
      </c>
      <c r="D6" s="8" t="inlineStr">
        <is>
          <t>2회</t>
        </is>
      </c>
      <c r="E6" s="8" t="inlineStr">
        <is>
          <t>하이브리드</t>
        </is>
      </c>
    </row>
    <row r="7">
      <c r="A7" s="9" t="inlineStr">
        <is>
          <t>유니콘 + 요정</t>
        </is>
      </c>
      <c r="B7" s="9" t="inlineStr">
        <is>
          <t>light_unicorn</t>
        </is>
      </c>
      <c r="C7" s="9" t="inlineStr">
        <is>
          <t>회피 보너스</t>
        </is>
      </c>
      <c r="D7" s="9" t="inlineStr">
        <is>
          <t>+15%</t>
        </is>
      </c>
      <c r="E7" s="9" t="inlineStr">
        <is>
          <t>하이브리드</t>
        </is>
      </c>
    </row>
    <row r="8">
      <c r="A8" s="8" t="inlineStr">
        <is>
          <t>설정</t>
        </is>
      </c>
      <c r="B8" s="8" t="inlineStr">
        <is>
          <t>쿨다운</t>
        </is>
      </c>
      <c r="C8" s="8" t="inlineStr">
        <is>
          <t>24시간</t>
        </is>
      </c>
      <c r="D8" s="8" t="inlineStr">
        <is>
          <t>-</t>
        </is>
      </c>
      <c r="E8" s="8" t="inlineStr">
        <is>
          <t>-</t>
        </is>
      </c>
    </row>
    <row r="9">
      <c r="A9" s="9" t="inlineStr">
        <is>
          <t>설정</t>
        </is>
      </c>
      <c r="B9" s="9" t="inlineStr">
        <is>
          <t>비용</t>
        </is>
      </c>
      <c r="C9" s="9" t="inlineStr">
        <is>
          <t>10,000G + 50D</t>
        </is>
      </c>
      <c r="D9" s="9" t="inlineStr">
        <is>
          <t>-</t>
        </is>
      </c>
      <c r="E9" s="9" t="inlineStr">
        <is>
          <t>-</t>
        </is>
      </c>
    </row>
    <row r="10">
      <c r="A10" s="8" t="inlineStr">
        <is>
          <t>설정</t>
        </is>
      </c>
      <c r="B10" s="8" t="inlineStr">
        <is>
          <t>돌연변이 확률</t>
        </is>
      </c>
      <c r="C10" s="8" t="inlineStr">
        <is>
          <t>10%</t>
        </is>
      </c>
      <c r="D10" s="8" t="inlineStr">
        <is>
          <t>효과치 +50%</t>
        </is>
      </c>
      <c r="E10" s="8" t="inlineStr">
        <is>
          <t>랜덤</t>
        </is>
      </c>
    </row>
    <row r="11">
      <c r="A11" s="9" t="inlineStr">
        <is>
          <t>설정</t>
        </is>
      </c>
      <c r="B11" s="9" t="inlineStr">
        <is>
          <t>하이브리드 확률</t>
        </is>
      </c>
      <c r="C11" s="9" t="inlineStr">
        <is>
          <t>30%</t>
        </is>
      </c>
      <c r="D11" s="9" t="inlineStr">
        <is>
          <t>-</t>
        </is>
      </c>
      <c r="E11" s="9" t="inlineStr">
        <is>
          <t>특정 조합만</t>
        </is>
      </c>
    </row>
  </sheetData>
  <mergeCells count="1">
    <mergeCell ref="A1:E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14" customWidth="1" min="2" max="2"/>
    <col width="16" customWidth="1" min="3" max="3"/>
    <col width="14" customWidth="1" min="4" max="4"/>
    <col width="20" customWidth="1" min="5" max="5"/>
  </cols>
  <sheetData>
    <row r="1">
      <c r="A1" s="6" t="inlineStr">
        <is>
          <t>명상 시스템</t>
        </is>
      </c>
    </row>
    <row r="3">
      <c r="A3" s="7" t="inlineStr">
        <is>
          <t>분류</t>
        </is>
      </c>
      <c r="B3" s="7" t="inlineStr">
        <is>
          <t>이름</t>
        </is>
      </c>
      <c r="C3" s="7" t="inlineStr">
        <is>
          <t>ID</t>
        </is>
      </c>
      <c r="D3" s="7" t="inlineStr">
        <is>
          <t>획득률/비용</t>
        </is>
      </c>
      <c r="E3" s="7" t="inlineStr">
        <is>
          <t>효과/비고</t>
        </is>
      </c>
    </row>
    <row r="4">
      <c r="A4" s="8" t="inlineStr">
        <is>
          <t>존</t>
        </is>
      </c>
      <c r="B4" s="8" t="inlineStr">
        <is>
          <t>고대 신전</t>
        </is>
      </c>
      <c r="C4" s="8" t="inlineStr">
        <is>
          <t>shrine</t>
        </is>
      </c>
      <c r="D4" s="8" t="inlineStr">
        <is>
          <t>1.0</t>
        </is>
      </c>
      <c r="E4" s="8" t="inlineStr">
        <is>
          <t>1.2배 보너스</t>
        </is>
      </c>
    </row>
    <row r="5">
      <c r="A5" s="9" t="inlineStr">
        <is>
          <t>존</t>
        </is>
      </c>
      <c r="B5" s="9" t="inlineStr">
        <is>
          <t>산 정상</t>
        </is>
      </c>
      <c r="C5" s="9" t="inlineStr">
        <is>
          <t>mountain_top</t>
        </is>
      </c>
      <c r="D5" s="9" t="inlineStr">
        <is>
          <t>0.8</t>
        </is>
      </c>
      <c r="E5" s="9" t="inlineStr">
        <is>
          <t>1.0배</t>
        </is>
      </c>
    </row>
    <row r="6">
      <c r="A6" s="8" t="inlineStr">
        <is>
          <t>존</t>
        </is>
      </c>
      <c r="B6" s="8" t="inlineStr">
        <is>
          <t>숲의 성소</t>
        </is>
      </c>
      <c r="C6" s="8" t="inlineStr">
        <is>
          <t>forest_grove</t>
        </is>
      </c>
      <c r="D6" s="8" t="inlineStr">
        <is>
          <t>0.7</t>
        </is>
      </c>
      <c r="E6" s="8" t="inlineStr">
        <is>
          <t>1.1배</t>
        </is>
      </c>
    </row>
    <row r="7">
      <c r="A7" s="9" t="inlineStr">
        <is>
          <t>존</t>
        </is>
      </c>
      <c r="B7" s="9" t="inlineStr">
        <is>
          <t>별빛 호수</t>
        </is>
      </c>
      <c r="C7" s="9" t="inlineStr">
        <is>
          <t>starlit_lake</t>
        </is>
      </c>
      <c r="D7" s="9" t="inlineStr">
        <is>
          <t>1.2</t>
        </is>
      </c>
      <c r="E7" s="9" t="inlineStr">
        <is>
          <t>1.3배 (최고)</t>
        </is>
      </c>
    </row>
    <row r="8">
      <c r="A8" s="8" t="inlineStr">
        <is>
          <t>특성</t>
        </is>
      </c>
      <c r="B8" s="8" t="inlineStr">
        <is>
          <t>내면의 평화</t>
        </is>
      </c>
      <c r="C8" s="8" t="inlineStr">
        <is>
          <t>inner_peace</t>
        </is>
      </c>
      <c r="D8" s="8" t="inlineStr">
        <is>
          <t>50포인트</t>
        </is>
      </c>
      <c r="E8" s="8" t="inlineStr">
        <is>
          <t>maxHp +30</t>
        </is>
      </c>
    </row>
    <row r="9">
      <c r="A9" s="9" t="inlineStr">
        <is>
          <t>특성</t>
        </is>
      </c>
      <c r="B9" s="9" t="inlineStr">
        <is>
          <t>예리한 정신</t>
        </is>
      </c>
      <c r="C9" s="9" t="inlineStr">
        <is>
          <t>sharp_mind</t>
        </is>
      </c>
      <c r="D9" s="9" t="inlineStr">
        <is>
          <t>80포인트</t>
        </is>
      </c>
      <c r="E9" s="9" t="inlineStr">
        <is>
          <t>crit +3%</t>
        </is>
      </c>
    </row>
    <row r="10">
      <c r="A10" s="8" t="inlineStr">
        <is>
          <t>특성</t>
        </is>
      </c>
      <c r="B10" s="8" t="inlineStr">
        <is>
          <t>강철 의지</t>
        </is>
      </c>
      <c r="C10" s="8" t="inlineStr">
        <is>
          <t>iron_will</t>
        </is>
      </c>
      <c r="D10" s="8" t="inlineStr">
        <is>
          <t>100포인트</t>
        </is>
      </c>
      <c r="E10" s="8" t="inlineStr">
        <is>
          <t>def +15</t>
        </is>
      </c>
    </row>
    <row r="11">
      <c r="A11" s="9" t="inlineStr">
        <is>
          <t>특성</t>
        </is>
      </c>
      <c r="B11" s="9" t="inlineStr">
        <is>
          <t>흐르는 강</t>
        </is>
      </c>
      <c r="C11" s="9" t="inlineStr">
        <is>
          <t>flowing_river</t>
        </is>
      </c>
      <c r="D11" s="9" t="inlineStr">
        <is>
          <t>120포인트</t>
        </is>
      </c>
      <c r="E11" s="9" t="inlineStr">
        <is>
          <t>evasion +4%</t>
        </is>
      </c>
    </row>
    <row r="12">
      <c r="A12" s="8" t="inlineStr">
        <is>
          <t>특성</t>
        </is>
      </c>
      <c r="B12" s="8" t="inlineStr">
        <is>
          <t>깨달음</t>
        </is>
      </c>
      <c r="C12" s="8" t="inlineStr">
        <is>
          <t>enlightenment</t>
        </is>
      </c>
      <c r="D12" s="8" t="inlineStr">
        <is>
          <t>200포인트</t>
        </is>
      </c>
      <c r="E12" s="8" t="inlineStr">
        <is>
          <t>expBonus +10%</t>
        </is>
      </c>
    </row>
    <row r="13">
      <c r="A13" s="9" t="inlineStr">
        <is>
          <t>설정</t>
        </is>
      </c>
      <c r="B13" s="9" t="inlineStr">
        <is>
          <t>최대 세션</t>
        </is>
      </c>
      <c r="C13" s="9" t="inlineStr">
        <is>
          <t>4시간</t>
        </is>
      </c>
      <c r="D13" s="9" t="inlineStr">
        <is>
          <t>-</t>
        </is>
      </c>
      <c r="E13" s="9" t="inlineStr">
        <is>
          <t>-</t>
        </is>
      </c>
    </row>
    <row r="14">
      <c r="A14" s="8" t="inlineStr">
        <is>
          <t>설정</t>
        </is>
      </c>
      <c r="B14" s="8" t="inlineStr">
        <is>
          <t>쿨다운</t>
        </is>
      </c>
      <c r="C14" s="8" t="inlineStr">
        <is>
          <t>30분</t>
        </is>
      </c>
      <c r="D14" s="8" t="inlineStr">
        <is>
          <t>-</t>
        </is>
      </c>
      <c r="E14" s="8" t="inlineStr">
        <is>
          <t>-</t>
        </is>
      </c>
    </row>
  </sheetData>
  <mergeCells count="1">
    <mergeCell ref="A1:E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0" customWidth="1" min="1" max="1"/>
    <col width="8" customWidth="1" min="2" max="2"/>
    <col width="10" customWidth="1" min="3" max="3"/>
    <col width="40" customWidth="1" min="4" max="4"/>
    <col width="14" customWidth="1" min="5" max="5"/>
  </cols>
  <sheetData>
    <row r="1">
      <c r="A1" s="6" t="inlineStr">
        <is>
          <t>암시장 시스템</t>
        </is>
      </c>
    </row>
    <row r="3">
      <c r="A3" s="7" t="inlineStr">
        <is>
          <t>등급</t>
        </is>
      </c>
      <c r="B3" s="7" t="inlineStr">
        <is>
          <t>확률</t>
        </is>
      </c>
      <c r="C3" s="7" t="inlineStr">
        <is>
          <t>아이템 수</t>
        </is>
      </c>
      <c r="D3" s="7" t="inlineStr">
        <is>
          <t>대표 아이템</t>
        </is>
      </c>
      <c r="E3" s="7" t="inlineStr">
        <is>
          <t>가격대</t>
        </is>
      </c>
    </row>
    <row r="4">
      <c r="A4" s="8" t="inlineStr">
        <is>
          <t>rare</t>
        </is>
      </c>
      <c r="B4" s="8" t="inlineStr">
        <is>
          <t>70%</t>
        </is>
      </c>
      <c r="C4" s="8" t="inlineStr">
        <is>
          <t>7종</t>
        </is>
      </c>
      <c r="D4" s="8" t="inlineStr">
        <is>
          <t>mat_dragon_pack, mat_soul_pack, protect_x10 등</t>
        </is>
      </c>
      <c r="E4" s="8" t="inlineStr">
        <is>
          <t>200~500D</t>
        </is>
      </c>
    </row>
    <row r="5">
      <c r="A5" s="9" t="inlineStr">
        <is>
          <t>epic</t>
        </is>
      </c>
      <c r="B5" s="9" t="inlineStr">
        <is>
          <t>25%</t>
        </is>
      </c>
      <c r="C5" s="9" t="inlineStr">
        <is>
          <t>9종</t>
        </is>
      </c>
      <c r="D5" s="9" t="inlineStr">
        <is>
          <t>legendary_chest, rune_pack_legendary, rare_pet_voucher 등</t>
        </is>
      </c>
      <c r="E5" s="9" t="inlineStr">
        <is>
          <t>1,500~3,000D</t>
        </is>
      </c>
    </row>
    <row r="6">
      <c r="A6" s="8" t="inlineStr">
        <is>
          <t>legendary</t>
        </is>
      </c>
      <c r="B6" s="8" t="inlineStr">
        <is>
          <t>5%</t>
        </is>
      </c>
      <c r="C6" s="8" t="inlineStr">
        <is>
          <t>4종</t>
        </is>
      </c>
      <c r="D6" s="8" t="inlineStr">
        <is>
          <t>mythic_pet_voucher, season_pass_skip, rebirth_blessing, time_crystal</t>
        </is>
      </c>
      <c r="E6" s="8" t="inlineStr">
        <is>
          <t>4,000~8,000D</t>
        </is>
      </c>
    </row>
    <row r="7">
      <c r="A7" s="9" t="inlineStr">
        <is>
          <t>설정</t>
        </is>
      </c>
      <c r="B7" s="9" t="inlineStr">
        <is>
          <t>슬롯 수</t>
        </is>
      </c>
      <c r="C7" s="9" t="inlineStr">
        <is>
          <t>4</t>
        </is>
      </c>
      <c r="D7" s="9" t="inlineStr">
        <is>
          <t>-</t>
        </is>
      </c>
      <c r="E7" s="9" t="inlineStr">
        <is>
          <t>-</t>
        </is>
      </c>
    </row>
    <row r="8">
      <c r="A8" s="8" t="inlineStr">
        <is>
          <t>설정</t>
        </is>
      </c>
      <c r="B8" s="8" t="inlineStr">
        <is>
          <t>갱신 주기</t>
        </is>
      </c>
      <c r="C8" s="8" t="inlineStr">
        <is>
          <t>6시간</t>
        </is>
      </c>
      <c r="D8" s="8" t="inlineStr">
        <is>
          <t>-</t>
        </is>
      </c>
      <c r="E8" s="8" t="inlineStr">
        <is>
          <t>-</t>
        </is>
      </c>
    </row>
    <row r="9">
      <c r="A9" s="9" t="inlineStr">
        <is>
          <t>설정</t>
        </is>
      </c>
      <c r="B9" s="9" t="inlineStr">
        <is>
          <t>리롤 비용</t>
        </is>
      </c>
      <c r="C9" s="9" t="inlineStr">
        <is>
          <t>100D</t>
        </is>
      </c>
      <c r="D9" s="9" t="inlineStr">
        <is>
          <t>-</t>
        </is>
      </c>
      <c r="E9" s="9" t="inlineStr">
        <is>
          <t>-</t>
        </is>
      </c>
    </row>
  </sheetData>
  <mergeCells count="1">
    <mergeCell ref="A1:E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8" customWidth="1" min="1" max="1"/>
    <col width="12" customWidth="1" min="2" max="2"/>
    <col width="16" customWidth="1" min="3" max="3"/>
    <col width="10" customWidth="1" min="4" max="4"/>
    <col width="10" customWidth="1" min="5" max="5"/>
    <col width="14" customWidth="1" min="6" max="6"/>
    <col width="12" customWidth="1" min="7" max="7"/>
    <col width="12" customWidth="1" min="8" max="8"/>
  </cols>
  <sheetData>
    <row r="1">
      <c r="A1" s="6" t="inlineStr">
        <is>
          <t>존 미니보스 &amp; 위험 지역</t>
        </is>
      </c>
    </row>
    <row r="3">
      <c r="A3" s="7" t="inlineStr">
        <is>
          <t>분류</t>
        </is>
      </c>
      <c r="B3" s="7" t="inlineStr">
        <is>
          <t>존</t>
        </is>
      </c>
      <c r="C3" s="7" t="inlineStr">
        <is>
          <t>이름</t>
        </is>
      </c>
      <c r="D3" s="7" t="inlineStr">
        <is>
          <t>HP/DPS</t>
        </is>
      </c>
      <c r="E3" s="7" t="inlineStr">
        <is>
          <t>ATK/간격</t>
        </is>
      </c>
      <c r="F3" s="7" t="inlineStr">
        <is>
          <t>DEF/효과</t>
        </is>
      </c>
      <c r="G3" s="7" t="inlineStr">
        <is>
          <t>골드 보상</t>
        </is>
      </c>
      <c r="H3" s="7" t="inlineStr">
        <is>
          <t>EXP/비고</t>
        </is>
      </c>
    </row>
    <row r="4">
      <c r="A4" s="8" t="inlineStr">
        <is>
          <t>미니보스</t>
        </is>
      </c>
      <c r="B4" s="8" t="inlineStr">
        <is>
          <t>forest</t>
        </is>
      </c>
      <c r="C4" s="8" t="inlineStr">
        <is>
          <t>숲의 수호자</t>
        </is>
      </c>
      <c r="D4" s="8" t="inlineStr">
        <is>
          <t>3,000</t>
        </is>
      </c>
      <c r="E4" s="8" t="inlineStr">
        <is>
          <t>40</t>
        </is>
      </c>
      <c r="F4" s="8" t="inlineStr">
        <is>
          <t>15</t>
        </is>
      </c>
      <c r="G4" s="8" t="inlineStr">
        <is>
          <t>500G</t>
        </is>
      </c>
      <c r="H4" s="8" t="inlineStr">
        <is>
          <t>800 EXP</t>
        </is>
      </c>
    </row>
    <row r="5">
      <c r="A5" s="9" t="inlineStr">
        <is>
          <t>미니보스</t>
        </is>
      </c>
      <c r="B5" s="9" t="inlineStr">
        <is>
          <t>swamp</t>
        </is>
      </c>
      <c r="C5" s="9" t="inlineStr">
        <is>
          <t>늪의 군주</t>
        </is>
      </c>
      <c r="D5" s="9" t="inlineStr">
        <is>
          <t>5,000</t>
        </is>
      </c>
      <c r="E5" s="9" t="inlineStr">
        <is>
          <t>60</t>
        </is>
      </c>
      <c r="F5" s="9" t="inlineStr">
        <is>
          <t>20</t>
        </is>
      </c>
      <c r="G5" s="9" t="inlineStr">
        <is>
          <t>800G</t>
        </is>
      </c>
      <c r="H5" s="9" t="inlineStr">
        <is>
          <t>1,200 EXP</t>
        </is>
      </c>
    </row>
    <row r="6">
      <c r="A6" s="8" t="inlineStr">
        <is>
          <t>미니보스</t>
        </is>
      </c>
      <c r="B6" s="8" t="inlineStr">
        <is>
          <t>desert</t>
        </is>
      </c>
      <c r="C6" s="8" t="inlineStr">
        <is>
          <t>사막의 왕</t>
        </is>
      </c>
      <c r="D6" s="8" t="inlineStr">
        <is>
          <t>5,000</t>
        </is>
      </c>
      <c r="E6" s="8" t="inlineStr">
        <is>
          <t>65</t>
        </is>
      </c>
      <c r="F6" s="8" t="inlineStr">
        <is>
          <t>18</t>
        </is>
      </c>
      <c r="G6" s="8" t="inlineStr">
        <is>
          <t>800G</t>
        </is>
      </c>
      <c r="H6" s="8" t="inlineStr">
        <is>
          <t>1,200 EXP</t>
        </is>
      </c>
    </row>
    <row r="7">
      <c r="A7" s="9" t="inlineStr">
        <is>
          <t>미니보스</t>
        </is>
      </c>
      <c r="B7" s="9" t="inlineStr">
        <is>
          <t>cave</t>
        </is>
      </c>
      <c r="C7" s="9" t="inlineStr">
        <is>
          <t>동굴의 감시자</t>
        </is>
      </c>
      <c r="D7" s="9" t="inlineStr">
        <is>
          <t>8,000</t>
        </is>
      </c>
      <c r="E7" s="9" t="inlineStr">
        <is>
          <t>80</t>
        </is>
      </c>
      <c r="F7" s="9" t="inlineStr">
        <is>
          <t>30</t>
        </is>
      </c>
      <c r="G7" s="9" t="inlineStr">
        <is>
          <t>1,200G</t>
        </is>
      </c>
      <c r="H7" s="9" t="inlineStr">
        <is>
          <t>2,000 EXP</t>
        </is>
      </c>
    </row>
    <row r="8">
      <c r="A8" s="8" t="inlineStr">
        <is>
          <t>미니보스</t>
        </is>
      </c>
      <c r="B8" s="8" t="inlineStr">
        <is>
          <t>volcano</t>
        </is>
      </c>
      <c r="C8" s="8" t="inlineStr">
        <is>
          <t>화염의 군주</t>
        </is>
      </c>
      <c r="D8" s="8" t="inlineStr">
        <is>
          <t>12,000</t>
        </is>
      </c>
      <c r="E8" s="8" t="inlineStr">
        <is>
          <t>100</t>
        </is>
      </c>
      <c r="F8" s="8" t="inlineStr">
        <is>
          <t>40</t>
        </is>
      </c>
      <c r="G8" s="8" t="inlineStr">
        <is>
          <t>2,000G</t>
        </is>
      </c>
      <c r="H8" s="8" t="inlineStr">
        <is>
          <t>3,000 EXP</t>
        </is>
      </c>
    </row>
    <row r="9">
      <c r="A9" s="9" t="inlineStr">
        <is>
          <t>미니보스</t>
        </is>
      </c>
      <c r="B9" s="9" t="inlineStr">
        <is>
          <t>darkforest</t>
        </is>
      </c>
      <c r="C9" s="9" t="inlineStr">
        <is>
          <t>그림자의 왕</t>
        </is>
      </c>
      <c r="D9" s="9" t="inlineStr">
        <is>
          <t>15,000</t>
        </is>
      </c>
      <c r="E9" s="9" t="inlineStr">
        <is>
          <t>120</t>
        </is>
      </c>
      <c r="F9" s="9" t="inlineStr">
        <is>
          <t>45</t>
        </is>
      </c>
      <c r="G9" s="9" t="inlineStr">
        <is>
          <t>2,500G</t>
        </is>
      </c>
      <c r="H9" s="9" t="inlineStr">
        <is>
          <t>4,000 EXP</t>
        </is>
      </c>
    </row>
    <row r="10">
      <c r="A10" s="8" t="inlineStr">
        <is>
          <t>미니보스</t>
        </is>
      </c>
      <c r="B10" s="8" t="inlineStr">
        <is>
          <t>dragon</t>
        </is>
      </c>
      <c r="C10" s="8" t="inlineStr">
        <is>
          <t>고룡</t>
        </is>
      </c>
      <c r="D10" s="8" t="inlineStr">
        <is>
          <t>25,000</t>
        </is>
      </c>
      <c r="E10" s="8" t="inlineStr">
        <is>
          <t>150</t>
        </is>
      </c>
      <c r="F10" s="8" t="inlineStr">
        <is>
          <t>60</t>
        </is>
      </c>
      <c r="G10" s="8" t="inlineStr">
        <is>
          <t>5,000G</t>
        </is>
      </c>
      <c r="H10" s="8" t="inlineStr">
        <is>
          <t>8,000 EXP</t>
        </is>
      </c>
    </row>
    <row r="11">
      <c r="A11" s="9" t="inlineStr">
        <is>
          <t>미니보스</t>
        </is>
      </c>
      <c r="B11" s="9" t="inlineStr">
        <is>
          <t>abyss</t>
        </is>
      </c>
      <c r="C11" s="9" t="inlineStr">
        <is>
          <t>심연의 눈</t>
        </is>
      </c>
      <c r="D11" s="9" t="inlineStr">
        <is>
          <t>30,000</t>
        </is>
      </c>
      <c r="E11" s="9" t="inlineStr">
        <is>
          <t>180</t>
        </is>
      </c>
      <c r="F11" s="9" t="inlineStr">
        <is>
          <t>70</t>
        </is>
      </c>
      <c r="G11" s="9" t="inlineStr">
        <is>
          <t>8,000G</t>
        </is>
      </c>
      <c r="H11" s="9" t="inlineStr">
        <is>
          <t>12,000 EXP</t>
        </is>
      </c>
    </row>
    <row r="12">
      <c r="A12" s="8" t="inlineStr">
        <is>
          <t>미니보스</t>
        </is>
      </c>
      <c r="B12" s="8" t="inlineStr">
        <is>
          <t>celestial</t>
        </is>
      </c>
      <c r="C12" s="8" t="inlineStr">
        <is>
          <t>천상의 수호자</t>
        </is>
      </c>
      <c r="D12" s="8" t="inlineStr">
        <is>
          <t>40,000</t>
        </is>
      </c>
      <c r="E12" s="8" t="inlineStr">
        <is>
          <t>200</t>
        </is>
      </c>
      <c r="F12" s="8" t="inlineStr">
        <is>
          <t>80</t>
        </is>
      </c>
      <c r="G12" s="8" t="inlineStr">
        <is>
          <t>10,000G</t>
        </is>
      </c>
      <c r="H12" s="8" t="inlineStr">
        <is>
          <t>15,000 EXP</t>
        </is>
      </c>
    </row>
    <row r="13">
      <c r="A13" s="9" t="inlineStr">
        <is>
          <t>위험</t>
        </is>
      </c>
      <c r="B13" s="9" t="inlineStr">
        <is>
          <t>swamp</t>
        </is>
      </c>
      <c r="C13" s="9" t="inlineStr">
        <is>
          <t>독안개</t>
        </is>
      </c>
      <c r="D13" s="9" t="inlineStr">
        <is>
          <t>DPS 3</t>
        </is>
      </c>
      <c r="E13" s="9" t="inlineStr">
        <is>
          <t>3초</t>
        </is>
      </c>
      <c r="F13" s="9" t="inlineStr">
        <is>
          <t>독 데미지</t>
        </is>
      </c>
      <c r="G13" s="9" t="inlineStr">
        <is>
          <t>-</t>
        </is>
      </c>
      <c r="H13" s="9" t="inlineStr">
        <is>
          <t>-</t>
        </is>
      </c>
    </row>
    <row r="14">
      <c r="A14" s="8" t="inlineStr">
        <is>
          <t>위험</t>
        </is>
      </c>
      <c r="B14" s="8" t="inlineStr">
        <is>
          <t>volcano</t>
        </is>
      </c>
      <c r="C14" s="8" t="inlineStr">
        <is>
          <t>화산</t>
        </is>
      </c>
      <c r="D14" s="8" t="inlineStr">
        <is>
          <t>DPS 8</t>
        </is>
      </c>
      <c r="E14" s="8" t="inlineStr">
        <is>
          <t>2초</t>
        </is>
      </c>
      <c r="F14" s="8" t="inlineStr">
        <is>
          <t>화상 데미지</t>
        </is>
      </c>
      <c r="G14" s="8" t="inlineStr">
        <is>
          <t>-</t>
        </is>
      </c>
      <c r="H14" s="8" t="inlineStr">
        <is>
          <t>-</t>
        </is>
      </c>
    </row>
    <row r="15">
      <c r="A15" s="9" t="inlineStr">
        <is>
          <t>위험</t>
        </is>
      </c>
      <c r="B15" s="9" t="inlineStr">
        <is>
          <t>glacier</t>
        </is>
      </c>
      <c r="C15" s="9" t="inlineStr">
        <is>
          <t>빙하</t>
        </is>
      </c>
      <c r="D15" s="9" t="inlineStr">
        <is>
          <t>DPS 4</t>
        </is>
      </c>
      <c r="E15" s="9" t="inlineStr">
        <is>
          <t>3초</t>
        </is>
      </c>
      <c r="F15" s="9" t="inlineStr">
        <is>
          <t>속도 -30%</t>
        </is>
      </c>
      <c r="G15" s="9" t="inlineStr">
        <is>
          <t>-</t>
        </is>
      </c>
      <c r="H15" s="9" t="inlineStr">
        <is>
          <t>slow 0.3</t>
        </is>
      </c>
    </row>
    <row r="16">
      <c r="A16" s="8" t="inlineStr">
        <is>
          <t>위험</t>
        </is>
      </c>
      <c r="B16" s="8" t="inlineStr">
        <is>
          <t>void_rift</t>
        </is>
      </c>
      <c r="C16" s="8" t="inlineStr">
        <is>
          <t>공허</t>
        </is>
      </c>
      <c r="D16" s="8" t="inlineStr">
        <is>
          <t>DPS 15</t>
        </is>
      </c>
      <c r="E16" s="8" t="inlineStr">
        <is>
          <t>1.5초</t>
        </is>
      </c>
      <c r="F16" s="8" t="inlineStr">
        <is>
          <t>마나 흡수 20</t>
        </is>
      </c>
      <c r="G16" s="8" t="inlineStr">
        <is>
          <t>-</t>
        </is>
      </c>
      <c r="H16" s="8" t="inlineStr">
        <is>
          <t>manaDrain</t>
        </is>
      </c>
    </row>
    <row r="17">
      <c r="A17" s="9" t="inlineStr">
        <is>
          <t>위험</t>
        </is>
      </c>
      <c r="B17" s="9" t="inlineStr">
        <is>
          <t>abyss</t>
        </is>
      </c>
      <c r="C17" s="9" t="inlineStr">
        <is>
          <t>심연</t>
        </is>
      </c>
      <c r="D17" s="9" t="inlineStr">
        <is>
          <t>DPS 10</t>
        </is>
      </c>
      <c r="E17" s="9" t="inlineStr">
        <is>
          <t>2초</t>
        </is>
      </c>
      <c r="F17" s="9" t="inlineStr">
        <is>
          <t>마나 흡수 10</t>
        </is>
      </c>
      <c r="G17" s="9" t="inlineStr">
        <is>
          <t>-</t>
        </is>
      </c>
      <c r="H17" s="9" t="inlineStr">
        <is>
          <t>manaDrain</t>
        </is>
      </c>
    </row>
    <row r="18">
      <c r="A18" s="8" t="inlineStr">
        <is>
          <t>위험</t>
        </is>
      </c>
      <c r="B18" s="8" t="inlineStr">
        <is>
          <t>hell</t>
        </is>
      </c>
      <c r="C18" s="8" t="inlineStr">
        <is>
          <t>지옥문</t>
        </is>
      </c>
      <c r="D18" s="8" t="inlineStr">
        <is>
          <t>DPS 10</t>
        </is>
      </c>
      <c r="E18" s="8" t="inlineStr">
        <is>
          <t>2초</t>
        </is>
      </c>
      <c r="F18" s="8" t="inlineStr">
        <is>
          <t>화상 데미지</t>
        </is>
      </c>
      <c r="G18" s="8" t="inlineStr">
        <is>
          <t>-</t>
        </is>
      </c>
      <c r="H18" s="8" t="inlineStr">
        <is>
          <t>-</t>
        </is>
      </c>
    </row>
  </sheetData>
  <mergeCells count="1">
    <mergeCell ref="A1:H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8" customWidth="1" min="1" max="1"/>
    <col width="14" customWidth="1" min="2" max="2"/>
    <col width="24" customWidth="1" min="3" max="3"/>
    <col width="12" customWidth="1" min="4" max="4"/>
    <col width="8" customWidth="1" min="5" max="5"/>
    <col width="14" customWidth="1" min="6" max="6"/>
  </cols>
  <sheetData>
    <row r="1">
      <c r="A1" s="6" t="inlineStr">
        <is>
          <t>프레스티지(환생) 특성 (10단계)</t>
        </is>
      </c>
    </row>
    <row r="3">
      <c r="A3" s="7" t="inlineStr">
        <is>
          <t>환생</t>
        </is>
      </c>
      <c r="B3" s="7" t="inlineStr">
        <is>
          <t>특성명</t>
        </is>
      </c>
      <c r="C3" s="7" t="inlineStr">
        <is>
          <t>설명</t>
        </is>
      </c>
      <c r="D3" s="7" t="inlineStr">
        <is>
          <t>스탯 타입</t>
        </is>
      </c>
      <c r="E3" s="7" t="inlineStr">
        <is>
          <t>값</t>
        </is>
      </c>
      <c r="F3" s="7" t="inlineStr">
        <is>
          <t>조건</t>
        </is>
      </c>
    </row>
    <row r="4">
      <c r="A4" s="8" t="inlineStr">
        <is>
          <t>1차</t>
        </is>
      </c>
      <c r="B4" s="8" t="inlineStr">
        <is>
          <t>골드 마스터</t>
        </is>
      </c>
      <c r="C4" s="8" t="inlineStr">
        <is>
          <t>기본 골드 +10%</t>
        </is>
      </c>
      <c r="D4" s="8" t="inlineStr">
        <is>
          <t>goldBonus</t>
        </is>
      </c>
      <c r="E4" s="8" t="inlineStr">
        <is>
          <t>0.10</t>
        </is>
      </c>
      <c r="F4" s="8" t="inlineStr">
        <is>
          <t>Lv.50 필요</t>
        </is>
      </c>
    </row>
    <row r="5">
      <c r="A5" s="9" t="inlineStr">
        <is>
          <t>2차</t>
        </is>
      </c>
      <c r="B5" s="9" t="inlineStr">
        <is>
          <t>전투 본능</t>
        </is>
      </c>
      <c r="C5" s="9" t="inlineStr">
        <is>
          <t>기본 ATK +5</t>
        </is>
      </c>
      <c r="D5" s="9" t="inlineStr">
        <is>
          <t>atk</t>
        </is>
      </c>
      <c r="E5" s="9" t="inlineStr">
        <is>
          <t>5</t>
        </is>
      </c>
      <c r="F5" s="9" t="inlineStr"/>
    </row>
    <row r="6">
      <c r="A6" s="8" t="inlineStr">
        <is>
          <t>3차</t>
        </is>
      </c>
      <c r="B6" s="8" t="inlineStr">
        <is>
          <t>강철 체력</t>
        </is>
      </c>
      <c r="C6" s="8" t="inlineStr">
        <is>
          <t>기본 HP +50</t>
        </is>
      </c>
      <c r="D6" s="8" t="inlineStr">
        <is>
          <t>hp</t>
        </is>
      </c>
      <c r="E6" s="8" t="inlineStr">
        <is>
          <t>50</t>
        </is>
      </c>
      <c r="F6" s="8" t="inlineStr"/>
    </row>
    <row r="7">
      <c r="A7" s="9" t="inlineStr">
        <is>
          <t>4차</t>
        </is>
      </c>
      <c r="B7" s="9" t="inlineStr">
        <is>
          <t>행운의 별</t>
        </is>
      </c>
      <c r="C7" s="9" t="inlineStr">
        <is>
          <t>크리티컬 +3%</t>
        </is>
      </c>
      <c r="D7" s="9" t="inlineStr">
        <is>
          <t>crit</t>
        </is>
      </c>
      <c r="E7" s="9" t="inlineStr">
        <is>
          <t>0.03</t>
        </is>
      </c>
      <c r="F7" s="9" t="inlineStr"/>
    </row>
    <row r="8">
      <c r="A8" s="8" t="inlineStr">
        <is>
          <t>5차</t>
        </is>
      </c>
      <c r="B8" s="8" t="inlineStr">
        <is>
          <t>빠른 발</t>
        </is>
      </c>
      <c r="C8" s="8" t="inlineStr">
        <is>
          <t>이동속도 +2</t>
        </is>
      </c>
      <c r="D8" s="8" t="inlineStr">
        <is>
          <t>spd</t>
        </is>
      </c>
      <c r="E8" s="8" t="inlineStr">
        <is>
          <t>2</t>
        </is>
      </c>
      <c r="F8" s="8" t="inlineStr"/>
    </row>
    <row r="9">
      <c r="A9" s="9" t="inlineStr">
        <is>
          <t>6차</t>
        </is>
      </c>
      <c r="B9" s="9" t="inlineStr">
        <is>
          <t>현자의 지혜</t>
        </is>
      </c>
      <c r="C9" s="9" t="inlineStr">
        <is>
          <t>EXP +15%</t>
        </is>
      </c>
      <c r="D9" s="9" t="inlineStr">
        <is>
          <t>expBonus</t>
        </is>
      </c>
      <c r="E9" s="9" t="inlineStr">
        <is>
          <t>0.15</t>
        </is>
      </c>
      <c r="F9" s="9" t="inlineStr"/>
    </row>
    <row r="10">
      <c r="A10" s="8" t="inlineStr">
        <is>
          <t>7차</t>
        </is>
      </c>
      <c r="B10" s="8" t="inlineStr">
        <is>
          <t>수호의 기운</t>
        </is>
      </c>
      <c r="C10" s="8" t="inlineStr">
        <is>
          <t>DEF +5</t>
        </is>
      </c>
      <c r="D10" s="8" t="inlineStr">
        <is>
          <t>def</t>
        </is>
      </c>
      <c r="E10" s="8" t="inlineStr">
        <is>
          <t>5</t>
        </is>
      </c>
      <c r="F10" s="8" t="inlineStr"/>
    </row>
    <row r="11">
      <c r="A11" s="9" t="inlineStr">
        <is>
          <t>8차</t>
        </is>
      </c>
      <c r="B11" s="9" t="inlineStr">
        <is>
          <t>도적의 손길</t>
        </is>
      </c>
      <c r="C11" s="9" t="inlineStr">
        <is>
          <t>드롭률 +10%</t>
        </is>
      </c>
      <c r="D11" s="9" t="inlineStr">
        <is>
          <t>dropRate</t>
        </is>
      </c>
      <c r="E11" s="9" t="inlineStr">
        <is>
          <t>0.10</t>
        </is>
      </c>
      <c r="F11" s="9" t="inlineStr"/>
    </row>
    <row r="12">
      <c r="A12" s="8" t="inlineStr">
        <is>
          <t>9차</t>
        </is>
      </c>
      <c r="B12" s="8" t="inlineStr">
        <is>
          <t>용사의 혼</t>
        </is>
      </c>
      <c r="C12" s="8" t="inlineStr">
        <is>
          <t>전체 스탯 +3%</t>
        </is>
      </c>
      <c r="D12" s="8" t="inlineStr">
        <is>
          <t>allMulti</t>
        </is>
      </c>
      <c r="E12" s="8" t="inlineStr">
        <is>
          <t>0.03</t>
        </is>
      </c>
      <c r="F12" s="8" t="inlineStr"/>
    </row>
    <row r="13">
      <c r="A13" s="9" t="inlineStr">
        <is>
          <t>10차</t>
        </is>
      </c>
      <c r="B13" s="9" t="inlineStr">
        <is>
          <t>불멸의 의지</t>
        </is>
      </c>
      <c r="C13" s="9" t="inlineStr">
        <is>
          <t>사망 시 HP 10% 부활 (10분 CD)</t>
        </is>
      </c>
      <c r="D13" s="9" t="inlineStr">
        <is>
          <t>autoRevive</t>
        </is>
      </c>
      <c r="E13" s="9" t="inlineStr">
        <is>
          <t>0.1</t>
        </is>
      </c>
      <c r="F13" s="9" t="inlineStr">
        <is>
          <t>최대 환생</t>
        </is>
      </c>
    </row>
  </sheetData>
  <mergeCells count="1">
    <mergeCell ref="A1:F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0" customWidth="1" min="1" max="1"/>
    <col width="18" customWidth="1" min="2" max="2"/>
    <col width="12" customWidth="1" min="3" max="3"/>
    <col width="12" customWidth="1" min="4" max="4"/>
    <col width="12" customWidth="1" min="5" max="5"/>
    <col width="14" customWidth="1" min="6" max="6"/>
    <col width="10" customWidth="1" min="7" max="7"/>
  </cols>
  <sheetData>
    <row r="1">
      <c r="A1" s="6" t="inlineStr">
        <is>
          <t>낚시 시스템 상세</t>
        </is>
      </c>
    </row>
    <row r="3">
      <c r="A3" s="7" t="inlineStr">
        <is>
          <t>분류</t>
        </is>
      </c>
      <c r="B3" s="7" t="inlineStr">
        <is>
          <t>이름</t>
        </is>
      </c>
      <c r="C3" s="7" t="inlineStr">
        <is>
          <t>등급/티어</t>
        </is>
      </c>
      <c r="D3" s="7" t="inlineStr">
        <is>
          <t>가격/판매가</t>
        </is>
      </c>
      <c r="E3" s="7" t="inlineStr">
        <is>
          <t>가중치/배율</t>
        </is>
      </c>
      <c r="F3" s="7" t="inlineStr">
        <is>
          <t>EXP/희귀보너스</t>
        </is>
      </c>
      <c r="G3" s="7" t="inlineStr">
        <is>
          <t>요구 레벨</t>
        </is>
      </c>
    </row>
    <row r="4">
      <c r="A4" s="8" t="inlineStr">
        <is>
          <t>물고기</t>
        </is>
      </c>
      <c r="B4" s="8" t="inlineStr">
        <is>
          <t>송사리</t>
        </is>
      </c>
      <c r="C4" s="8" t="inlineStr">
        <is>
          <t>common</t>
        </is>
      </c>
      <c r="D4" s="8" t="inlineStr">
        <is>
          <t>10G</t>
        </is>
      </c>
      <c r="E4" s="8" t="inlineStr">
        <is>
          <t>50</t>
        </is>
      </c>
      <c r="F4" s="8" t="inlineStr">
        <is>
          <t>5 EXP</t>
        </is>
      </c>
      <c r="G4" s="8" t="inlineStr">
        <is>
          <t>Lv.1</t>
        </is>
      </c>
    </row>
    <row r="5">
      <c r="A5" s="9" t="inlineStr">
        <is>
          <t>물고기</t>
        </is>
      </c>
      <c r="B5" s="9" t="inlineStr">
        <is>
          <t>잉어</t>
        </is>
      </c>
      <c r="C5" s="9" t="inlineStr">
        <is>
          <t>common</t>
        </is>
      </c>
      <c r="D5" s="9" t="inlineStr">
        <is>
          <t>25G</t>
        </is>
      </c>
      <c r="E5" s="9" t="inlineStr">
        <is>
          <t>40</t>
        </is>
      </c>
      <c r="F5" s="9" t="inlineStr">
        <is>
          <t>8 EXP</t>
        </is>
      </c>
      <c r="G5" s="9" t="inlineStr">
        <is>
          <t>Lv.1</t>
        </is>
      </c>
    </row>
    <row r="6">
      <c r="A6" s="8" t="inlineStr">
        <is>
          <t>물고기</t>
        </is>
      </c>
      <c r="B6" s="8" t="inlineStr">
        <is>
          <t>송어</t>
        </is>
      </c>
      <c r="C6" s="8" t="inlineStr">
        <is>
          <t>common</t>
        </is>
      </c>
      <c r="D6" s="8" t="inlineStr">
        <is>
          <t>35G</t>
        </is>
      </c>
      <c r="E6" s="8" t="inlineStr">
        <is>
          <t>35</t>
        </is>
      </c>
      <c r="F6" s="8" t="inlineStr">
        <is>
          <t>10 EXP</t>
        </is>
      </c>
      <c r="G6" s="8" t="inlineStr">
        <is>
          <t>Lv.1</t>
        </is>
      </c>
    </row>
    <row r="7">
      <c r="A7" s="9" t="inlineStr">
        <is>
          <t>물고기</t>
        </is>
      </c>
      <c r="B7" s="9" t="inlineStr">
        <is>
          <t>장어</t>
        </is>
      </c>
      <c r="C7" s="9" t="inlineStr">
        <is>
          <t>uncommon</t>
        </is>
      </c>
      <c r="D7" s="9" t="inlineStr">
        <is>
          <t>80G</t>
        </is>
      </c>
      <c r="E7" s="9" t="inlineStr">
        <is>
          <t>25</t>
        </is>
      </c>
      <c r="F7" s="9" t="inlineStr">
        <is>
          <t>18 EXP</t>
        </is>
      </c>
      <c r="G7" s="9" t="inlineStr">
        <is>
          <t>Lv.3</t>
        </is>
      </c>
    </row>
    <row r="8">
      <c r="A8" s="8" t="inlineStr">
        <is>
          <t>물고기</t>
        </is>
      </c>
      <c r="B8" s="8" t="inlineStr">
        <is>
          <t>연어</t>
        </is>
      </c>
      <c r="C8" s="8" t="inlineStr">
        <is>
          <t>uncommon</t>
        </is>
      </c>
      <c r="D8" s="8" t="inlineStr">
        <is>
          <t>120G</t>
        </is>
      </c>
      <c r="E8" s="8" t="inlineStr">
        <is>
          <t>20</t>
        </is>
      </c>
      <c r="F8" s="8" t="inlineStr">
        <is>
          <t>25 EXP</t>
        </is>
      </c>
      <c r="G8" s="8" t="inlineStr">
        <is>
          <t>Lv.5</t>
        </is>
      </c>
    </row>
    <row r="9">
      <c r="A9" s="9" t="inlineStr">
        <is>
          <t>물고기</t>
        </is>
      </c>
      <c r="B9" s="9" t="inlineStr">
        <is>
          <t>창꼬치</t>
        </is>
      </c>
      <c r="C9" s="9" t="inlineStr">
        <is>
          <t>rare</t>
        </is>
      </c>
      <c r="D9" s="9" t="inlineStr">
        <is>
          <t>250G</t>
        </is>
      </c>
      <c r="E9" s="9" t="inlineStr">
        <is>
          <t>12</t>
        </is>
      </c>
      <c r="F9" s="9" t="inlineStr">
        <is>
          <t>45 EXP</t>
        </is>
      </c>
      <c r="G9" s="9" t="inlineStr">
        <is>
          <t>Lv.8</t>
        </is>
      </c>
    </row>
    <row r="10">
      <c r="A10" s="8" t="inlineStr">
        <is>
          <t>물고기</t>
        </is>
      </c>
      <c r="B10" s="8" t="inlineStr">
        <is>
          <t>철갑상어</t>
        </is>
      </c>
      <c r="C10" s="8" t="inlineStr">
        <is>
          <t>rare</t>
        </is>
      </c>
      <c r="D10" s="8" t="inlineStr">
        <is>
          <t>400G</t>
        </is>
      </c>
      <c r="E10" s="8" t="inlineStr">
        <is>
          <t>8</t>
        </is>
      </c>
      <c r="F10" s="8" t="inlineStr">
        <is>
          <t>70 EXP</t>
        </is>
      </c>
      <c r="G10" s="8" t="inlineStr">
        <is>
          <t>Lv.12</t>
        </is>
      </c>
    </row>
    <row r="11">
      <c r="A11" s="9" t="inlineStr">
        <is>
          <t>물고기</t>
        </is>
      </c>
      <c r="B11" s="9" t="inlineStr">
        <is>
          <t>황새치</t>
        </is>
      </c>
      <c r="C11" s="9" t="inlineStr">
        <is>
          <t>epic</t>
        </is>
      </c>
      <c r="D11" s="9" t="inlineStr">
        <is>
          <t>800G</t>
        </is>
      </c>
      <c r="E11" s="9" t="inlineStr">
        <is>
          <t>5</t>
        </is>
      </c>
      <c r="F11" s="9" t="inlineStr">
        <is>
          <t>120 EXP</t>
        </is>
      </c>
      <c r="G11" s="9" t="inlineStr">
        <is>
          <t>Lv.15</t>
        </is>
      </c>
    </row>
    <row r="12">
      <c r="A12" s="8" t="inlineStr">
        <is>
          <t>물고기</t>
        </is>
      </c>
      <c r="B12" s="8" t="inlineStr">
        <is>
          <t>청새치</t>
        </is>
      </c>
      <c r="C12" s="8" t="inlineStr">
        <is>
          <t>epic</t>
        </is>
      </c>
      <c r="D12" s="8" t="inlineStr">
        <is>
          <t>1,200G</t>
        </is>
      </c>
      <c r="E12" s="8" t="inlineStr">
        <is>
          <t>3</t>
        </is>
      </c>
      <c r="F12" s="8" t="inlineStr">
        <is>
          <t>180 EXP</t>
        </is>
      </c>
      <c r="G12" s="8" t="inlineStr">
        <is>
          <t>Lv.20</t>
        </is>
      </c>
    </row>
    <row r="13">
      <c r="A13" s="9" t="inlineStr">
        <is>
          <t>물고기</t>
        </is>
      </c>
      <c r="B13" s="9" t="inlineStr">
        <is>
          <t>전설의 비단잉어</t>
        </is>
      </c>
      <c r="C13" s="9" t="inlineStr">
        <is>
          <t>legendary</t>
        </is>
      </c>
      <c r="D13" s="9" t="inlineStr">
        <is>
          <t>5,000G</t>
        </is>
      </c>
      <c r="E13" s="9" t="inlineStr">
        <is>
          <t>1</t>
        </is>
      </c>
      <c r="F13" s="9" t="inlineStr">
        <is>
          <t>500 EXP</t>
        </is>
      </c>
      <c r="G13" s="9" t="inlineStr">
        <is>
          <t>Lv.25</t>
        </is>
      </c>
    </row>
    <row r="14">
      <c r="A14" s="8" t="inlineStr">
        <is>
          <t>물고기</t>
        </is>
      </c>
      <c r="B14" s="8" t="inlineStr">
        <is>
          <t>신화의 크라켄</t>
        </is>
      </c>
      <c r="C14" s="8" t="inlineStr">
        <is>
          <t>mythic</t>
        </is>
      </c>
      <c r="D14" s="8" t="inlineStr">
        <is>
          <t>20,000G</t>
        </is>
      </c>
      <c r="E14" s="8" t="inlineStr">
        <is>
          <t>0.2</t>
        </is>
      </c>
      <c r="F14" s="8" t="inlineStr">
        <is>
          <t>2,000 EXP</t>
        </is>
      </c>
      <c r="G14" s="8" t="inlineStr">
        <is>
          <t>Lv.30</t>
        </is>
      </c>
    </row>
    <row r="15">
      <c r="A15" s="9" t="inlineStr">
        <is>
          <t>낚싯대</t>
        </is>
      </c>
      <c r="B15" s="9" t="inlineStr">
        <is>
          <t>나무 낚싯대</t>
        </is>
      </c>
      <c r="C15" s="9" t="inlineStr">
        <is>
          <t>Tier 1</t>
        </is>
      </c>
      <c r="D15" s="9" t="inlineStr">
        <is>
          <t>200G</t>
        </is>
      </c>
      <c r="E15" s="9" t="inlineStr">
        <is>
          <t>1.0x</t>
        </is>
      </c>
      <c r="F15" s="9" t="inlineStr">
        <is>
          <t>희귀 +0%</t>
        </is>
      </c>
      <c r="G15" s="9" t="inlineStr">
        <is>
          <t>-</t>
        </is>
      </c>
    </row>
    <row r="16">
      <c r="A16" s="8" t="inlineStr">
        <is>
          <t>낚싯대</t>
        </is>
      </c>
      <c r="B16" s="8" t="inlineStr">
        <is>
          <t>철제 낚싯대</t>
        </is>
      </c>
      <c r="C16" s="8" t="inlineStr">
        <is>
          <t>Tier 2</t>
        </is>
      </c>
      <c r="D16" s="8" t="inlineStr">
        <is>
          <t>1,500G</t>
        </is>
      </c>
      <c r="E16" s="8" t="inlineStr">
        <is>
          <t>1.2x</t>
        </is>
      </c>
      <c r="F16" s="8" t="inlineStr">
        <is>
          <t>희귀 +5%</t>
        </is>
      </c>
      <c r="G16" s="8" t="inlineStr">
        <is>
          <t>-</t>
        </is>
      </c>
    </row>
    <row r="17">
      <c r="A17" s="9" t="inlineStr">
        <is>
          <t>낚싯대</t>
        </is>
      </c>
      <c r="B17" s="9" t="inlineStr">
        <is>
          <t>은제 낚싯대</t>
        </is>
      </c>
      <c r="C17" s="9" t="inlineStr">
        <is>
          <t>Tier 3</t>
        </is>
      </c>
      <c r="D17" s="9" t="inlineStr">
        <is>
          <t>8,000G</t>
        </is>
      </c>
      <c r="E17" s="9" t="inlineStr">
        <is>
          <t>1.5x</t>
        </is>
      </c>
      <c r="F17" s="9" t="inlineStr">
        <is>
          <t>희귀 +12%</t>
        </is>
      </c>
      <c r="G17" s="9" t="inlineStr">
        <is>
          <t>-</t>
        </is>
      </c>
    </row>
    <row r="18">
      <c r="A18" s="8" t="inlineStr">
        <is>
          <t>낚싯대</t>
        </is>
      </c>
      <c r="B18" s="8" t="inlineStr">
        <is>
          <t>미스릴 낚싯대</t>
        </is>
      </c>
      <c r="C18" s="8" t="inlineStr">
        <is>
          <t>Tier 4</t>
        </is>
      </c>
      <c r="D18" s="8" t="inlineStr">
        <is>
          <t>200D</t>
        </is>
      </c>
      <c r="E18" s="8" t="inlineStr">
        <is>
          <t>2.0x</t>
        </is>
      </c>
      <c r="F18" s="8" t="inlineStr">
        <is>
          <t>희귀 +20%</t>
        </is>
      </c>
      <c r="G18" s="8" t="inlineStr">
        <is>
          <t>-</t>
        </is>
      </c>
    </row>
    <row r="19">
      <c r="A19" s="9" t="inlineStr">
        <is>
          <t>낚싯대</t>
        </is>
      </c>
      <c r="B19" s="9" t="inlineStr">
        <is>
          <t>드래곤 낚싯대</t>
        </is>
      </c>
      <c r="C19" s="9" t="inlineStr">
        <is>
          <t>Tier 5</t>
        </is>
      </c>
      <c r="D19" s="9" t="inlineStr">
        <is>
          <t>800D</t>
        </is>
      </c>
      <c r="E19" s="9" t="inlineStr">
        <is>
          <t>3.0x</t>
        </is>
      </c>
      <c r="F19" s="9" t="inlineStr">
        <is>
          <t>희귀 +35%</t>
        </is>
      </c>
      <c r="G19" s="9" t="inlineStr">
        <is>
          <t>-</t>
        </is>
      </c>
    </row>
  </sheetData>
  <mergeCells count="1">
    <mergeCell ref="A1:G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14" customWidth="1" min="1" max="1"/>
    <col width="14" customWidth="1" min="2" max="2"/>
    <col width="8" customWidth="1" min="3" max="3"/>
    <col width="8" customWidth="1" min="4" max="4"/>
    <col width="8" customWidth="1" min="5" max="5"/>
    <col width="10" customWidth="1" min="6" max="6"/>
    <col width="10" customWidth="1" min="7" max="7"/>
    <col width="10" customWidth="1" min="8" max="8"/>
    <col width="12" customWidth="1" min="9" max="9"/>
    <col width="8" customWidth="1" min="10" max="10"/>
    <col width="18" customWidth="1" min="11" max="11"/>
  </cols>
  <sheetData>
    <row r="1">
      <c r="A1" s="6" t="inlineStr">
        <is>
          <t>혈맹 레이드 상세</t>
        </is>
      </c>
    </row>
    <row r="3">
      <c r="A3" s="7" t="inlineStr">
        <is>
          <t>레이드명</t>
        </is>
      </c>
      <c r="B3" s="7" t="inlineStr">
        <is>
          <t>ID</t>
        </is>
      </c>
      <c r="C3" s="7" t="inlineStr">
        <is>
          <t>혈맹 레벨</t>
        </is>
      </c>
      <c r="D3" s="7" t="inlineStr">
        <is>
          <t>최소 인원</t>
        </is>
      </c>
      <c r="E3" s="7" t="inlineStr">
        <is>
          <t>웨이브</t>
        </is>
      </c>
      <c r="F3" s="7" t="inlineStr">
        <is>
          <t>보스 HP</t>
        </is>
      </c>
      <c r="G3" s="7" t="inlineStr">
        <is>
          <t>보스 ATK</t>
        </is>
      </c>
      <c r="H3" s="7" t="inlineStr">
        <is>
          <t>골드</t>
        </is>
      </c>
      <c r="I3" s="7" t="inlineStr">
        <is>
          <t>EXP</t>
        </is>
      </c>
      <c r="J3" s="7" t="inlineStr">
        <is>
          <t>다이아</t>
        </is>
      </c>
      <c r="K3" s="7" t="inlineStr">
        <is>
          <t>특수 보상</t>
        </is>
      </c>
    </row>
    <row r="4">
      <c r="A4" s="8" t="inlineStr">
        <is>
          <t>혈맹 동굴</t>
        </is>
      </c>
      <c r="B4" s="8" t="inlineStr">
        <is>
          <t>raid_cave</t>
        </is>
      </c>
      <c r="C4" s="8" t="inlineStr">
        <is>
          <t>Lv.2</t>
        </is>
      </c>
      <c r="D4" s="8" t="inlineStr">
        <is>
          <t>3명</t>
        </is>
      </c>
      <c r="E4" s="8" t="inlineStr">
        <is>
          <t>5</t>
        </is>
      </c>
      <c r="F4" s="8" t="inlineStr">
        <is>
          <t>10,000</t>
        </is>
      </c>
      <c r="G4" s="8" t="inlineStr">
        <is>
          <t>40</t>
        </is>
      </c>
      <c r="H4" s="8" t="inlineStr">
        <is>
          <t>3,000G</t>
        </is>
      </c>
      <c r="I4" s="8" t="inlineStr">
        <is>
          <t>5,000 EXP</t>
        </is>
      </c>
      <c r="J4" s="8" t="inlineStr">
        <is>
          <t>30D</t>
        </is>
      </c>
      <c r="K4" s="8" t="inlineStr">
        <is>
          <t>없음</t>
        </is>
      </c>
    </row>
    <row r="5">
      <c r="A5" s="9" t="inlineStr">
        <is>
          <t>혈맹 드래곤</t>
        </is>
      </c>
      <c r="B5" s="9" t="inlineStr">
        <is>
          <t>raid_dragon</t>
        </is>
      </c>
      <c r="C5" s="9" t="inlineStr">
        <is>
          <t>Lv.3</t>
        </is>
      </c>
      <c r="D5" s="9" t="inlineStr">
        <is>
          <t>4명</t>
        </is>
      </c>
      <c r="E5" s="9" t="inlineStr">
        <is>
          <t>7</t>
        </is>
      </c>
      <c r="F5" s="9" t="inlineStr">
        <is>
          <t>30,000</t>
        </is>
      </c>
      <c r="G5" s="9" t="inlineStr">
        <is>
          <t>80</t>
        </is>
      </c>
      <c r="H5" s="9" t="inlineStr">
        <is>
          <t>8,000G</t>
        </is>
      </c>
      <c r="I5" s="9" t="inlineStr">
        <is>
          <t>15,000 EXP</t>
        </is>
      </c>
      <c r="J5" s="9" t="inlineStr">
        <is>
          <t>80D</t>
        </is>
      </c>
      <c r="K5" s="9" t="inlineStr">
        <is>
          <t>없음</t>
        </is>
      </c>
    </row>
    <row r="6">
      <c r="A6" s="8" t="inlineStr">
        <is>
          <t>혈맹 공허</t>
        </is>
      </c>
      <c r="B6" s="8" t="inlineStr">
        <is>
          <t>raid_void</t>
        </is>
      </c>
      <c r="C6" s="8" t="inlineStr">
        <is>
          <t>Lv.5</t>
        </is>
      </c>
      <c r="D6" s="8" t="inlineStr">
        <is>
          <t>5명</t>
        </is>
      </c>
      <c r="E6" s="8" t="inlineStr">
        <is>
          <t>10</t>
        </is>
      </c>
      <c r="F6" s="8" t="inlineStr">
        <is>
          <t>80,000</t>
        </is>
      </c>
      <c r="G6" s="8" t="inlineStr">
        <is>
          <t>150</t>
        </is>
      </c>
      <c r="H6" s="8" t="inlineStr">
        <is>
          <t>20,000G</t>
        </is>
      </c>
      <c r="I6" s="8" t="inlineStr">
        <is>
          <t>40,000 EXP</t>
        </is>
      </c>
      <c r="J6" s="8" t="inlineStr">
        <is>
          <t>200D</t>
        </is>
      </c>
      <c r="K6" s="8" t="inlineStr">
        <is>
          <t>없음</t>
        </is>
      </c>
    </row>
    <row r="7">
      <c r="A7" s="9" t="inlineStr">
        <is>
          <t>혈맹 거인</t>
        </is>
      </c>
      <c r="B7" s="9" t="inlineStr">
        <is>
          <t>raid_titan</t>
        </is>
      </c>
      <c r="C7" s="9" t="inlineStr">
        <is>
          <t>Lv.4</t>
        </is>
      </c>
      <c r="D7" s="9" t="inlineStr">
        <is>
          <t>6명</t>
        </is>
      </c>
      <c r="E7" s="9" t="inlineStr">
        <is>
          <t>8</t>
        </is>
      </c>
      <c r="F7" s="9" t="inlineStr">
        <is>
          <t>60,000</t>
        </is>
      </c>
      <c r="G7" s="9" t="inlineStr">
        <is>
          <t>120</t>
        </is>
      </c>
      <c r="H7" s="9" t="inlineStr">
        <is>
          <t>15,000G</t>
        </is>
      </c>
      <c r="I7" s="9" t="inlineStr">
        <is>
          <t>30,000 EXP</t>
        </is>
      </c>
      <c r="J7" s="9" t="inlineStr">
        <is>
          <t>150D</t>
        </is>
      </c>
      <c r="K7" s="9" t="inlineStr">
        <is>
          <t>mat_dragon x5</t>
        </is>
      </c>
    </row>
    <row r="8">
      <c r="A8" s="8" t="inlineStr">
        <is>
          <t>혈맹 천상</t>
        </is>
      </c>
      <c r="B8" s="8" t="inlineStr">
        <is>
          <t>raid_celestial</t>
        </is>
      </c>
      <c r="C8" s="8" t="inlineStr">
        <is>
          <t>Lv.5</t>
        </is>
      </c>
      <c r="D8" s="8" t="inlineStr">
        <is>
          <t>8명</t>
        </is>
      </c>
      <c r="E8" s="8" t="inlineStr">
        <is>
          <t>12</t>
        </is>
      </c>
      <c r="F8" s="8" t="inlineStr">
        <is>
          <t>120,000</t>
        </is>
      </c>
      <c r="G8" s="8" t="inlineStr">
        <is>
          <t>200</t>
        </is>
      </c>
      <c r="H8" s="8" t="inlineStr">
        <is>
          <t>30,000G</t>
        </is>
      </c>
      <c r="I8" s="8" t="inlineStr">
        <is>
          <t>60,000 EXP</t>
        </is>
      </c>
      <c r="J8" s="8" t="inlineStr">
        <is>
          <t>300D</t>
        </is>
      </c>
      <c r="K8" s="8" t="inlineStr">
        <is>
          <t>equip_mythic_armor</t>
        </is>
      </c>
    </row>
  </sheetData>
  <mergeCells count="1">
    <mergeCell ref="A1:K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0" customWidth="1" min="1" max="1"/>
    <col width="8" customWidth="1" min="2" max="2"/>
    <col width="12" customWidth="1" min="3" max="3"/>
    <col width="14" customWidth="1" min="4" max="4"/>
    <col width="14" customWidth="1" min="5" max="5"/>
    <col width="14" customWidth="1" min="6" max="6"/>
    <col width="14" customWidth="1" min="7" max="7"/>
    <col width="14" customWidth="1" min="8" max="8"/>
    <col width="18" customWidth="1" min="9" max="9"/>
  </cols>
  <sheetData>
    <row r="1">
      <c r="A1" s="6" t="inlineStr">
        <is>
          <t>무한의 탑 상세 (100층)</t>
        </is>
      </c>
    </row>
    <row r="3">
      <c r="A3" s="7" t="inlineStr">
        <is>
          <t>층 범위</t>
        </is>
      </c>
      <c r="B3" s="7" t="inlineStr">
        <is>
          <t>등급</t>
        </is>
      </c>
      <c r="C3" s="7" t="inlineStr">
        <is>
          <t>몬스터 수</t>
        </is>
      </c>
      <c r="D3" s="7" t="inlineStr">
        <is>
          <t>HP 공식</t>
        </is>
      </c>
      <c r="E3" s="7" t="inlineStr">
        <is>
          <t>ATK 공식</t>
        </is>
      </c>
      <c r="F3" s="7" t="inlineStr">
        <is>
          <t>DEF 공식</t>
        </is>
      </c>
      <c r="G3" s="7" t="inlineStr">
        <is>
          <t>골드 공식</t>
        </is>
      </c>
      <c r="H3" s="7" t="inlineStr">
        <is>
          <t>EXP 공식</t>
        </is>
      </c>
      <c r="I3" s="7" t="inlineStr">
        <is>
          <t>특수 보상</t>
        </is>
      </c>
    </row>
    <row r="4">
      <c r="A4" s="8" t="inlineStr">
        <is>
          <t>1~9층</t>
        </is>
      </c>
      <c r="B4" s="8" t="inlineStr">
        <is>
          <t>normal</t>
        </is>
      </c>
      <c r="C4" s="8" t="inlineStr">
        <is>
          <t>3 + 층/5</t>
        </is>
      </c>
      <c r="D4" s="8" t="inlineStr">
        <is>
          <t>80 + 층×40</t>
        </is>
      </c>
      <c r="E4" s="8" t="inlineStr">
        <is>
          <t>8 + 층×3</t>
        </is>
      </c>
      <c r="F4" s="8" t="inlineStr">
        <is>
          <t>3 + 층×1.5</t>
        </is>
      </c>
      <c r="G4" s="8" t="inlineStr">
        <is>
          <t>100 + 층×50</t>
        </is>
      </c>
      <c r="H4" s="8" t="inlineStr">
        <is>
          <t>200 + 층×80</t>
        </is>
      </c>
      <c r="I4" s="8" t="inlineStr">
        <is>
          <t>없음</t>
        </is>
      </c>
    </row>
    <row r="5">
      <c r="A5" s="9" t="inlineStr">
        <is>
          <t>10~29층</t>
        </is>
      </c>
      <c r="B5" s="9" t="inlineStr">
        <is>
          <t>elite</t>
        </is>
      </c>
      <c r="C5" s="9" t="inlineStr">
        <is>
          <t>3 + 층/5</t>
        </is>
      </c>
      <c r="D5" s="9" t="inlineStr">
        <is>
          <t>80 + 층×40</t>
        </is>
      </c>
      <c r="E5" s="9" t="inlineStr">
        <is>
          <t>8 + 층×3</t>
        </is>
      </c>
      <c r="F5" s="9" t="inlineStr">
        <is>
          <t>3 + 층×1.5</t>
        </is>
      </c>
      <c r="G5" s="9" t="inlineStr">
        <is>
          <t>100 + 층×50</t>
        </is>
      </c>
      <c r="H5" s="9" t="inlineStr">
        <is>
          <t>200 + 층×80</t>
        </is>
      </c>
      <c r="I5" s="9" t="inlineStr">
        <is>
          <t>10층마다 장비</t>
        </is>
      </c>
    </row>
    <row r="6">
      <c r="A6" s="8" t="inlineStr">
        <is>
          <t>30~49층</t>
        </is>
      </c>
      <c r="B6" s="8" t="inlineStr">
        <is>
          <t>rare</t>
        </is>
      </c>
      <c r="C6" s="8" t="inlineStr">
        <is>
          <t>3 + 층/5</t>
        </is>
      </c>
      <c r="D6" s="8" t="inlineStr">
        <is>
          <t>80 + 층×40</t>
        </is>
      </c>
      <c r="E6" s="8" t="inlineStr">
        <is>
          <t>8 + 층×3</t>
        </is>
      </c>
      <c r="F6" s="8" t="inlineStr">
        <is>
          <t>3 + 층×1.5</t>
        </is>
      </c>
      <c r="G6" s="8" t="inlineStr">
        <is>
          <t>100 + 층×50</t>
        </is>
      </c>
      <c r="H6" s="8" t="inlineStr">
        <is>
          <t>200 + 층×80</t>
        </is>
      </c>
      <c r="I6" s="8" t="inlineStr">
        <is>
          <t>장비 드롭 확률 증가</t>
        </is>
      </c>
    </row>
    <row r="7">
      <c r="A7" s="9" t="inlineStr">
        <is>
          <t>50~100층</t>
        </is>
      </c>
      <c r="B7" s="9" t="inlineStr">
        <is>
          <t>boss</t>
        </is>
      </c>
      <c r="C7" s="9" t="inlineStr">
        <is>
          <t>3 + 층/5</t>
        </is>
      </c>
      <c r="D7" s="9" t="inlineStr">
        <is>
          <t>80 + 층×40</t>
        </is>
      </c>
      <c r="E7" s="9" t="inlineStr">
        <is>
          <t>8 + 층×3</t>
        </is>
      </c>
      <c r="F7" s="9" t="inlineStr">
        <is>
          <t>3 + 층×1.5</t>
        </is>
      </c>
      <c r="G7" s="9" t="inlineStr">
        <is>
          <t>100 + 층×50</t>
        </is>
      </c>
      <c r="H7" s="9" t="inlineStr">
        <is>
          <t>200 + 층×80</t>
        </is>
      </c>
      <c r="I7" s="9" t="inlineStr">
        <is>
          <t>10층마다 다이아 (층/2)</t>
        </is>
      </c>
    </row>
    <row r="8">
      <c r="A8" s="8" t="inlineStr">
        <is>
          <t>설정</t>
        </is>
      </c>
      <c r="B8" s="8" t="inlineStr">
        <is>
          <t>최대 층</t>
        </is>
      </c>
      <c r="C8" s="8" t="inlineStr">
        <is>
          <t>100</t>
        </is>
      </c>
      <c r="D8" s="8" t="inlineStr">
        <is>
          <t>클리어 시 리셋</t>
        </is>
      </c>
      <c r="E8" s="8" t="inlineStr">
        <is>
          <t>보상 누적</t>
        </is>
      </c>
      <c r="F8" s="8" t="inlineStr">
        <is>
          <t>자동 전투</t>
        </is>
      </c>
      <c r="G8" s="8" t="inlineStr">
        <is>
          <t>도전 비용 없음</t>
        </is>
      </c>
      <c r="H8" s="8" t="inlineStr">
        <is>
          <t>-</t>
        </is>
      </c>
      <c r="I8" s="8" t="inlineStr">
        <is>
          <t>-</t>
        </is>
      </c>
    </row>
  </sheetData>
  <mergeCells count="1">
    <mergeCell ref="A1:I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6" customWidth="1" min="1" max="1"/>
    <col width="10" customWidth="1" min="2" max="2"/>
    <col width="8" customWidth="1" min="3" max="3"/>
    <col width="10" customWidth="1" min="4" max="4"/>
    <col width="10" customWidth="1" min="5" max="5"/>
    <col width="10" customWidth="1" min="6" max="6"/>
    <col width="10" customWidth="1" min="7" max="7"/>
    <col width="12" customWidth="1" min="8" max="8"/>
    <col width="10" customWidth="1" min="9" max="9"/>
  </cols>
  <sheetData>
    <row r="1">
      <c r="A1" s="6" t="inlineStr">
        <is>
          <t>차원 균열 테마 (4종)</t>
        </is>
      </c>
    </row>
    <row r="3">
      <c r="A3" s="7" t="inlineStr">
        <is>
          <t>테마</t>
        </is>
      </c>
      <c r="B3" s="7" t="inlineStr">
        <is>
          <t>ID</t>
        </is>
      </c>
      <c r="C3" s="7" t="inlineStr">
        <is>
          <t>속성</t>
        </is>
      </c>
      <c r="D3" s="7" t="inlineStr">
        <is>
          <t>ATK 배율</t>
        </is>
      </c>
      <c r="E3" s="7" t="inlineStr">
        <is>
          <t>DEF 배율</t>
        </is>
      </c>
      <c r="F3" s="7" t="inlineStr">
        <is>
          <t>SPD 배율</t>
        </is>
      </c>
      <c r="G3" s="7" t="inlineStr">
        <is>
          <t>Crit 배율</t>
        </is>
      </c>
      <c r="H3" s="7" t="inlineStr">
        <is>
          <t>기타 배율</t>
        </is>
      </c>
      <c r="I3" s="7" t="inlineStr">
        <is>
          <t>색상</t>
        </is>
      </c>
    </row>
    <row r="4">
      <c r="A4" s="8" t="inlineStr">
        <is>
          <t>얼어붙은 심연</t>
        </is>
      </c>
      <c r="B4" s="8" t="inlineStr">
        <is>
          <t>frozen</t>
        </is>
      </c>
      <c r="C4" s="8" t="inlineStr">
        <is>
          <t>water</t>
        </is>
      </c>
      <c r="D4" s="8" t="inlineStr">
        <is>
          <t>ATK 1.0x</t>
        </is>
      </c>
      <c r="E4" s="8" t="inlineStr">
        <is>
          <t>DEF 0.8x</t>
        </is>
      </c>
      <c r="F4" s="8" t="inlineStr">
        <is>
          <t>-</t>
        </is>
      </c>
      <c r="G4" s="8" t="inlineStr">
        <is>
          <t>Crit 1.3x</t>
        </is>
      </c>
      <c r="H4" s="8" t="inlineStr">
        <is>
          <t>-</t>
        </is>
      </c>
      <c r="I4" s="8" t="inlineStr">
        <is>
          <t>#88ccff</t>
        </is>
      </c>
    </row>
    <row r="5">
      <c r="A5" s="9" t="inlineStr">
        <is>
          <t>불타는 사막</t>
        </is>
      </c>
      <c r="B5" s="9" t="inlineStr">
        <is>
          <t>burning</t>
        </is>
      </c>
      <c r="C5" s="9" t="inlineStr">
        <is>
          <t>fire</t>
        </is>
      </c>
      <c r="D5" s="9" t="inlineStr">
        <is>
          <t>ATK 1.2x</t>
        </is>
      </c>
      <c r="E5" s="9" t="inlineStr">
        <is>
          <t>DEF 1.0x</t>
        </is>
      </c>
      <c r="F5" s="9" t="inlineStr">
        <is>
          <t>SPD 0.8x</t>
        </is>
      </c>
      <c r="G5" s="9" t="inlineStr">
        <is>
          <t>-</t>
        </is>
      </c>
      <c r="H5" s="9" t="inlineStr">
        <is>
          <t>-</t>
        </is>
      </c>
      <c r="I5" s="9" t="inlineStr">
        <is>
          <t>#ff6600</t>
        </is>
      </c>
    </row>
    <row r="6">
      <c r="A6" s="8" t="inlineStr">
        <is>
          <t>공허의 폭풍</t>
        </is>
      </c>
      <c r="B6" s="8" t="inlineStr">
        <is>
          <t>void</t>
        </is>
      </c>
      <c r="C6" s="8" t="inlineStr">
        <is>
          <t>wind</t>
        </is>
      </c>
      <c r="D6" s="8" t="inlineStr">
        <is>
          <t>ATK 0.9x</t>
        </is>
      </c>
      <c r="E6" s="8" t="inlineStr">
        <is>
          <t>DEF 0.9x</t>
        </is>
      </c>
      <c r="F6" s="8" t="inlineStr">
        <is>
          <t>-</t>
        </is>
      </c>
      <c r="G6" s="8" t="inlineStr">
        <is>
          <t>-</t>
        </is>
      </c>
      <c r="H6" s="8" t="inlineStr">
        <is>
          <t>EXP 2.0x</t>
        </is>
      </c>
      <c r="I6" s="8" t="inlineStr">
        <is>
          <t>#aa44ff</t>
        </is>
      </c>
    </row>
    <row r="7">
      <c r="A7" s="9" t="inlineStr">
        <is>
          <t>대지의 진동</t>
        </is>
      </c>
      <c r="B7" s="9" t="inlineStr">
        <is>
          <t>earth</t>
        </is>
      </c>
      <c r="C7" s="9" t="inlineStr">
        <is>
          <t>earth</t>
        </is>
      </c>
      <c r="D7" s="9" t="inlineStr">
        <is>
          <t>ATK 1.1x</t>
        </is>
      </c>
      <c r="E7" s="9" t="inlineStr">
        <is>
          <t>DEF 1.3x</t>
        </is>
      </c>
      <c r="F7" s="9" t="inlineStr">
        <is>
          <t>-</t>
        </is>
      </c>
      <c r="G7" s="9" t="inlineStr">
        <is>
          <t>-</t>
        </is>
      </c>
      <c r="H7" s="9" t="inlineStr">
        <is>
          <t>Gold 1.5x</t>
        </is>
      </c>
      <c r="I7" s="9" t="inlineStr">
        <is>
          <t>#88aa44</t>
        </is>
      </c>
    </row>
  </sheetData>
  <mergeCells count="1">
    <mergeCell ref="A1:I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10" customWidth="1" min="1" max="1"/>
    <col width="16" customWidth="1" min="2" max="2"/>
    <col width="16" customWidth="1" min="3" max="3"/>
    <col width="6" customWidth="1" min="4" max="4"/>
    <col width="18" customWidth="1" min="5" max="5"/>
    <col width="22" customWidth="1" min="6" max="6"/>
    <col width="24" customWidth="1" min="7" max="7"/>
  </cols>
  <sheetData>
    <row r="1">
      <c r="A1" s="6" t="inlineStr">
        <is>
          <t>보스 소환 시스템 (v2.20)</t>
        </is>
      </c>
    </row>
    <row r="3">
      <c r="A3" s="7" t="inlineStr">
        <is>
          <t>분류</t>
        </is>
      </c>
      <c r="B3" s="7" t="inlineStr">
        <is>
          <t>ID</t>
        </is>
      </c>
      <c r="C3" s="7" t="inlineStr">
        <is>
          <t>이름</t>
        </is>
      </c>
      <c r="D3" s="7" t="inlineStr">
        <is>
          <t>아이콘</t>
        </is>
      </c>
      <c r="E3" s="7" t="inlineStr">
        <is>
          <t>재료/요구</t>
        </is>
      </c>
      <c r="F3" s="7" t="inlineStr">
        <is>
          <t>스탯</t>
        </is>
      </c>
      <c r="G3" s="7" t="inlineStr">
        <is>
          <t>효과/보상</t>
        </is>
      </c>
    </row>
    <row r="4">
      <c r="A4" s="8" t="inlineStr">
        <is>
          <t>소환석</t>
        </is>
      </c>
      <c r="B4" s="8" t="inlineStr">
        <is>
          <t>stone_fire</t>
        </is>
      </c>
      <c r="C4" s="8" t="inlineStr">
        <is>
          <t>화염 소환석</t>
        </is>
      </c>
      <c r="D4" s="8" t="inlineStr">
        <is>
          <t>🔴</t>
        </is>
      </c>
      <c r="E4" s="8" t="inlineStr">
        <is>
          <t>common</t>
        </is>
      </c>
      <c r="F4" s="8" t="inlineStr">
        <is>
          <t>30</t>
        </is>
      </c>
      <c r="G4" s="8" t="inlineStr">
        <is>
          <t>몬스터 드롭 15%</t>
        </is>
      </c>
    </row>
    <row r="5">
      <c r="A5" s="9" t="inlineStr">
        <is>
          <t>소환석</t>
        </is>
      </c>
      <c r="B5" s="9" t="inlineStr">
        <is>
          <t>stone_water</t>
        </is>
      </c>
      <c r="C5" s="9" t="inlineStr">
        <is>
          <t>수빙 소환석</t>
        </is>
      </c>
      <c r="D5" s="9" t="inlineStr">
        <is>
          <t>🔵</t>
        </is>
      </c>
      <c r="E5" s="9" t="inlineStr">
        <is>
          <t>common</t>
        </is>
      </c>
      <c r="F5" s="9" t="inlineStr">
        <is>
          <t>30</t>
        </is>
      </c>
      <c r="G5" s="9" t="inlineStr">
        <is>
          <t>몬스터 드롭 15%</t>
        </is>
      </c>
    </row>
    <row r="6">
      <c r="A6" s="8" t="inlineStr">
        <is>
          <t>소환석</t>
        </is>
      </c>
      <c r="B6" s="8" t="inlineStr">
        <is>
          <t>stone_wind</t>
        </is>
      </c>
      <c r="C6" s="8" t="inlineStr">
        <is>
          <t>질풍 소환석</t>
        </is>
      </c>
      <c r="D6" s="8" t="inlineStr">
        <is>
          <t>🟢</t>
        </is>
      </c>
      <c r="E6" s="8" t="inlineStr">
        <is>
          <t>common</t>
        </is>
      </c>
      <c r="F6" s="8" t="inlineStr">
        <is>
          <t>30</t>
        </is>
      </c>
      <c r="G6" s="8" t="inlineStr">
        <is>
          <t>몬스터 드롭 15%</t>
        </is>
      </c>
    </row>
    <row r="7">
      <c r="A7" s="9" t="inlineStr">
        <is>
          <t>소환석</t>
        </is>
      </c>
      <c r="B7" s="9" t="inlineStr">
        <is>
          <t>stone_earth</t>
        </is>
      </c>
      <c r="C7" s="9" t="inlineStr">
        <is>
          <t>대지 소환석</t>
        </is>
      </c>
      <c r="D7" s="9" t="inlineStr">
        <is>
          <t>🟤</t>
        </is>
      </c>
      <c r="E7" s="9" t="inlineStr">
        <is>
          <t>common</t>
        </is>
      </c>
      <c r="F7" s="9" t="inlineStr">
        <is>
          <t>30</t>
        </is>
      </c>
      <c r="G7" s="9" t="inlineStr">
        <is>
          <t>몬스터 드롭 15%</t>
        </is>
      </c>
    </row>
    <row r="8">
      <c r="A8" s="8" t="inlineStr">
        <is>
          <t>소환석</t>
        </is>
      </c>
      <c r="B8" s="8" t="inlineStr">
        <is>
          <t>stone_dark</t>
        </is>
      </c>
      <c r="C8" s="8" t="inlineStr">
        <is>
          <t>암흑 소환석</t>
        </is>
      </c>
      <c r="D8" s="8" t="inlineStr">
        <is>
          <t>🟣</t>
        </is>
      </c>
      <c r="E8" s="8" t="inlineStr">
        <is>
          <t>uncommon</t>
        </is>
      </c>
      <c r="F8" s="8" t="inlineStr">
        <is>
          <t>10</t>
        </is>
      </c>
      <c r="G8" s="8" t="inlineStr">
        <is>
          <t>몬스터 드롭 15%</t>
        </is>
      </c>
    </row>
    <row r="9">
      <c r="A9" s="9" t="inlineStr">
        <is>
          <t>소환석</t>
        </is>
      </c>
      <c r="B9" s="9" t="inlineStr">
        <is>
          <t>stone_light</t>
        </is>
      </c>
      <c r="C9" s="9" t="inlineStr">
        <is>
          <t>성광 소환석</t>
        </is>
      </c>
      <c r="D9" s="9" t="inlineStr">
        <is>
          <t>🟡</t>
        </is>
      </c>
      <c r="E9" s="9" t="inlineStr">
        <is>
          <t>uncommon</t>
        </is>
      </c>
      <c r="F9" s="9" t="inlineStr">
        <is>
          <t>10</t>
        </is>
      </c>
      <c r="G9" s="9" t="inlineStr">
        <is>
          <t>몬스터 드롭 15%</t>
        </is>
      </c>
    </row>
    <row r="10">
      <c r="A10" s="8" t="inlineStr">
        <is>
          <t>소환석</t>
        </is>
      </c>
      <c r="B10" s="8" t="inlineStr">
        <is>
          <t>stone_void</t>
        </is>
      </c>
      <c r="C10" s="8" t="inlineStr">
        <is>
          <t>공허 소환석</t>
        </is>
      </c>
      <c r="D10" s="8" t="inlineStr">
        <is>
          <t>⚫</t>
        </is>
      </c>
      <c r="E10" s="8" t="inlineStr">
        <is>
          <t>rare</t>
        </is>
      </c>
      <c r="F10" s="8" t="inlineStr">
        <is>
          <t>3</t>
        </is>
      </c>
      <c r="G10" s="8" t="inlineStr">
        <is>
          <t>몬스터 드롭 15%</t>
        </is>
      </c>
    </row>
    <row r="11">
      <c r="A11" s="9" t="inlineStr">
        <is>
          <t>소환석</t>
        </is>
      </c>
      <c r="B11" s="9" t="inlineStr">
        <is>
          <t>stone_primal</t>
        </is>
      </c>
      <c r="C11" s="9" t="inlineStr">
        <is>
          <t>태초 소환석</t>
        </is>
      </c>
      <c r="D11" s="9" t="inlineStr">
        <is>
          <t>💎</t>
        </is>
      </c>
      <c r="E11" s="9" t="inlineStr">
        <is>
          <t>epic</t>
        </is>
      </c>
      <c r="F11" s="9" t="inlineStr">
        <is>
          <t>1</t>
        </is>
      </c>
      <c r="G11" s="9" t="inlineStr">
        <is>
          <t>몬스터 드롭 15%</t>
        </is>
      </c>
    </row>
    <row r="12">
      <c r="A12" s="8" t="inlineStr">
        <is>
          <t>T1 소환수</t>
        </is>
      </c>
      <c r="B12" s="8" t="inlineStr">
        <is>
          <t>fire_imp</t>
        </is>
      </c>
      <c r="C12" s="8" t="inlineStr">
        <is>
          <t>화염 임프</t>
        </is>
      </c>
      <c r="D12" s="8" t="inlineStr">
        <is>
          <t>🔥</t>
        </is>
      </c>
      <c r="E12" s="8" t="inlineStr">
        <is>
          <t>화염×3</t>
        </is>
      </c>
      <c r="F12" s="8" t="inlineStr">
        <is>
          <t>ATK15/DEF5/HP200</t>
        </is>
      </c>
      <c r="G12" s="8" t="inlineStr">
        <is>
          <t>화염구 (ATK×1.5)</t>
        </is>
      </c>
    </row>
    <row r="13">
      <c r="A13" s="9" t="inlineStr">
        <is>
          <t>T1 소환수</t>
        </is>
      </c>
      <c r="B13" s="9" t="inlineStr">
        <is>
          <t>ice_golem</t>
        </is>
      </c>
      <c r="C13" s="9" t="inlineStr">
        <is>
          <t>빙결 골렘</t>
        </is>
      </c>
      <c r="D13" s="9" t="inlineStr">
        <is>
          <t>🧊</t>
        </is>
      </c>
      <c r="E13" s="9" t="inlineStr">
        <is>
          <t>수빙×3</t>
        </is>
      </c>
      <c r="F13" s="9" t="inlineStr">
        <is>
          <t>ATK8/DEF18/HP400</t>
        </is>
      </c>
      <c r="G13" s="9" t="inlineStr">
        <is>
          <t>빙결 (3초 둔화)</t>
        </is>
      </c>
    </row>
    <row r="14">
      <c r="A14" s="8" t="inlineStr">
        <is>
          <t>T1 소환수</t>
        </is>
      </c>
      <c r="B14" s="8" t="inlineStr">
        <is>
          <t>wind_hawk</t>
        </is>
      </c>
      <c r="C14" s="8" t="inlineStr">
        <is>
          <t>질풍 매</t>
        </is>
      </c>
      <c r="D14" s="8" t="inlineStr">
        <is>
          <t>🦅</t>
        </is>
      </c>
      <c r="E14" s="8" t="inlineStr">
        <is>
          <t>질풍×3</t>
        </is>
      </c>
      <c r="F14" s="8" t="inlineStr">
        <is>
          <t>ATK20/DEF3/HP150</t>
        </is>
      </c>
      <c r="G14" s="8" t="inlineStr">
        <is>
          <t>돌풍 (넉백)</t>
        </is>
      </c>
    </row>
    <row r="15">
      <c r="A15" s="9" t="inlineStr">
        <is>
          <t>T1 소환수</t>
        </is>
      </c>
      <c r="B15" s="9" t="inlineStr">
        <is>
          <t>earth_bear</t>
        </is>
      </c>
      <c r="C15" s="9" t="inlineStr">
        <is>
          <t>대지 곰</t>
        </is>
      </c>
      <c r="D15" s="9" t="inlineStr">
        <is>
          <t>🐻</t>
        </is>
      </c>
      <c r="E15" s="9" t="inlineStr">
        <is>
          <t>대지×3</t>
        </is>
      </c>
      <c r="F15" s="9" t="inlineStr">
        <is>
          <t>ATK12/DEF15/HP500</t>
        </is>
      </c>
      <c r="G15" s="9" t="inlineStr">
        <is>
          <t>지진 (범위)</t>
        </is>
      </c>
    </row>
    <row r="16">
      <c r="A16" s="8" t="inlineStr">
        <is>
          <t>T2 소환수</t>
        </is>
      </c>
      <c r="B16" s="8" t="inlineStr">
        <is>
          <t>storm_drake</t>
        </is>
      </c>
      <c r="C16" s="8" t="inlineStr">
        <is>
          <t>폭풍 드레이크</t>
        </is>
      </c>
      <c r="D16" s="8" t="inlineStr">
        <is>
          <t>⚡</t>
        </is>
      </c>
      <c r="E16" s="8" t="inlineStr">
        <is>
          <t>화염+질풍×2</t>
        </is>
      </c>
      <c r="F16" s="8" t="inlineStr">
        <is>
          <t>ATK25/DEF10/HP350</t>
        </is>
      </c>
      <c r="G16" s="8" t="inlineStr">
        <is>
          <t>번개 (ATK×2, 마비30%)</t>
        </is>
      </c>
    </row>
    <row r="17">
      <c r="A17" s="9" t="inlineStr">
        <is>
          <t>T2 소환수</t>
        </is>
      </c>
      <c r="B17" s="9" t="inlineStr">
        <is>
          <t>lava_titan</t>
        </is>
      </c>
      <c r="C17" s="9" t="inlineStr">
        <is>
          <t>용암 타이탄</t>
        </is>
      </c>
      <c r="D17" s="9" t="inlineStr">
        <is>
          <t>🌋</t>
        </is>
      </c>
      <c r="E17" s="9" t="inlineStr">
        <is>
          <t>화염×2+대지</t>
        </is>
      </c>
      <c r="F17" s="9" t="inlineStr">
        <is>
          <t>ATK18/DEF22/HP600</t>
        </is>
      </c>
      <c r="G17" s="9" t="inlineStr">
        <is>
          <t>분화 (범위 ATK×1.5)</t>
        </is>
      </c>
    </row>
    <row r="18">
      <c r="A18" s="8" t="inlineStr">
        <is>
          <t>T2 소환수</t>
        </is>
      </c>
      <c r="B18" s="8" t="inlineStr">
        <is>
          <t>frost_fairy</t>
        </is>
      </c>
      <c r="C18" s="8" t="inlineStr">
        <is>
          <t>서리 요정</t>
        </is>
      </c>
      <c r="D18" s="8" t="inlineStr">
        <is>
          <t>❄️</t>
        </is>
      </c>
      <c r="E18" s="8" t="inlineStr">
        <is>
          <t>수빙+성광+질풍</t>
        </is>
      </c>
      <c r="F18" s="8" t="inlineStr">
        <is>
          <t>ATK12/DEF8/HP250</t>
        </is>
      </c>
      <c r="G18" s="8" t="inlineStr">
        <is>
          <t>힐 (HP 20% 회복)</t>
        </is>
      </c>
    </row>
    <row r="19">
      <c r="A19" s="9" t="inlineStr">
        <is>
          <t>T2 소환수</t>
        </is>
      </c>
      <c r="B19" s="9" t="inlineStr">
        <is>
          <t>shadow_wolf</t>
        </is>
      </c>
      <c r="C19" s="9" t="inlineStr">
        <is>
          <t>그림자 늑대</t>
        </is>
      </c>
      <c r="D19" s="9" t="inlineStr">
        <is>
          <t>🐺</t>
        </is>
      </c>
      <c r="E19" s="9" t="inlineStr">
        <is>
          <t>암흑×2+대지</t>
        </is>
      </c>
      <c r="F19" s="9" t="inlineStr">
        <is>
          <t>ATK30/DEF6/HP280</t>
        </is>
      </c>
      <c r="G19" s="9" t="inlineStr">
        <is>
          <t>기습 (ATK×3, 크리100%)</t>
        </is>
      </c>
    </row>
    <row r="20">
      <c r="A20" s="8" t="inlineStr">
        <is>
          <t>T3 소환수</t>
        </is>
      </c>
      <c r="B20" s="8" t="inlineStr">
        <is>
          <t>void_serpent</t>
        </is>
      </c>
      <c r="C20" s="8" t="inlineStr">
        <is>
          <t>공허의 뱀</t>
        </is>
      </c>
      <c r="D20" s="8" t="inlineStr">
        <is>
          <t>🐍</t>
        </is>
      </c>
      <c r="E20" s="8" t="inlineStr">
        <is>
          <t>공허+암흑×2</t>
        </is>
      </c>
      <c r="F20" s="8" t="inlineStr">
        <is>
          <t>ATK35/DEF12/HP450</t>
        </is>
      </c>
      <c r="G20" s="8" t="inlineStr">
        <is>
          <t>포식 (50% 흡혈)</t>
        </is>
      </c>
    </row>
    <row r="21">
      <c r="A21" s="9" t="inlineStr">
        <is>
          <t>T3 소환수</t>
        </is>
      </c>
      <c r="B21" s="9" t="inlineStr">
        <is>
          <t>holy_angel</t>
        </is>
      </c>
      <c r="C21" s="9" t="inlineStr">
        <is>
          <t>성스러운 천사</t>
        </is>
      </c>
      <c r="D21" s="9" t="inlineStr">
        <is>
          <t>👼</t>
        </is>
      </c>
      <c r="E21" s="9" t="inlineStr">
        <is>
          <t>성광×2+태초</t>
        </is>
      </c>
      <c r="F21" s="9" t="inlineStr">
        <is>
          <t>ATK22/DEF20/HP500</t>
        </is>
      </c>
      <c r="G21" s="9" t="inlineStr">
        <is>
          <t>신성 (범위 힐+공격)</t>
        </is>
      </c>
    </row>
    <row r="22">
      <c r="A22" s="8" t="inlineStr">
        <is>
          <t>T3 소환수</t>
        </is>
      </c>
      <c r="B22" s="8" t="inlineStr">
        <is>
          <t>primal_dragon</t>
        </is>
      </c>
      <c r="C22" s="8" t="inlineStr">
        <is>
          <t>태초의 용</t>
        </is>
      </c>
      <c r="D22" s="8" t="inlineStr">
        <is>
          <t>🐲</t>
        </is>
      </c>
      <c r="E22" s="8" t="inlineStr">
        <is>
          <t>태초+공허+화염</t>
        </is>
      </c>
      <c r="F22" s="8" t="inlineStr">
        <is>
          <t>ATK50/DEF25/HP800</t>
        </is>
      </c>
      <c r="G22" s="8" t="inlineStr">
        <is>
          <t>브레스 (ATK×2.5)</t>
        </is>
      </c>
    </row>
    <row r="23">
      <c r="A23" s="9" t="inlineStr">
        <is>
          <t>보스</t>
        </is>
      </c>
      <c r="B23" s="9" t="inlineStr">
        <is>
          <t>inferno</t>
        </is>
      </c>
      <c r="C23" s="9" t="inlineStr">
        <is>
          <t>인페르노</t>
        </is>
      </c>
      <c r="D23" s="9" t="inlineStr">
        <is>
          <t>🔥</t>
        </is>
      </c>
      <c r="E23" s="9" t="inlineStr">
        <is>
          <t>T1 fire×3</t>
        </is>
      </c>
      <c r="F23" s="9" t="inlineStr">
        <is>
          <t>HP15K/ATK120/DEF40</t>
        </is>
      </c>
      <c r="G23" s="9" t="inlineStr">
        <is>
          <t>10K G, 8K EXP, 50D</t>
        </is>
      </c>
    </row>
    <row r="24">
      <c r="A24" s="8" t="inlineStr">
        <is>
          <t>보스</t>
        </is>
      </c>
      <c r="B24" s="8" t="inlineStr">
        <is>
          <t>leviathan</t>
        </is>
      </c>
      <c r="C24" s="8" t="inlineStr">
        <is>
          <t>레비아탄</t>
        </is>
      </c>
      <c r="D24" s="8" t="inlineStr">
        <is>
          <t>🌊</t>
        </is>
      </c>
      <c r="E24" s="8" t="inlineStr">
        <is>
          <t>T1 water×3</t>
        </is>
      </c>
      <c r="F24" s="8" t="inlineStr">
        <is>
          <t>HP20K/ATK90/DEF60</t>
        </is>
      </c>
      <c r="G24" s="8" t="inlineStr">
        <is>
          <t>12K G, 10K EXP, 60D</t>
        </is>
      </c>
    </row>
    <row r="25">
      <c r="A25" s="9" t="inlineStr">
        <is>
          <t>보스</t>
        </is>
      </c>
      <c r="B25" s="9" t="inlineStr">
        <is>
          <t>tempest</t>
        </is>
      </c>
      <c r="C25" s="9" t="inlineStr">
        <is>
          <t>템페스트</t>
        </is>
      </c>
      <c r="D25" s="9" t="inlineStr">
        <is>
          <t>⚡</t>
        </is>
      </c>
      <c r="E25" s="9" t="inlineStr">
        <is>
          <t>T2 any×3</t>
        </is>
      </c>
      <c r="F25" s="9" t="inlineStr">
        <is>
          <t>HP30K/ATK150/DEF50</t>
        </is>
      </c>
      <c r="G25" s="9" t="inlineStr">
        <is>
          <t>20K G, 15K EXP, 100D</t>
        </is>
      </c>
    </row>
    <row r="26">
      <c r="A26" s="8" t="inlineStr">
        <is>
          <t>보스</t>
        </is>
      </c>
      <c r="B26" s="8" t="inlineStr">
        <is>
          <t>apocalypse</t>
        </is>
      </c>
      <c r="C26" s="8" t="inlineStr">
        <is>
          <t>아포칼립스</t>
        </is>
      </c>
      <c r="D26" s="8" t="inlineStr">
        <is>
          <t>💀</t>
        </is>
      </c>
      <c r="E26" s="8" t="inlineStr">
        <is>
          <t>T3 any×3</t>
        </is>
      </c>
      <c r="F26" s="8" t="inlineStr">
        <is>
          <t>HP80K/ATK250/DEF80</t>
        </is>
      </c>
      <c r="G26" s="8" t="inlineStr">
        <is>
          <t>50K G, 40K EXP, 300D + 신화 무기</t>
        </is>
      </c>
    </row>
    <row r="27">
      <c r="A27" s="9" t="inlineStr">
        <is>
          <t>진화</t>
        </is>
      </c>
      <c r="B27" s="9" t="inlineStr">
        <is>
          <t>동종 2마리 합성</t>
        </is>
      </c>
      <c r="C27" s="9" t="inlineStr">
        <is>
          <t>1→2→3★</t>
        </is>
      </c>
      <c r="D27" s="9" t="inlineStr">
        <is>
          <t>ATK/DEF/HP ×1.5</t>
        </is>
      </c>
      <c r="E27" s="9" t="inlineStr">
        <is>
          <t>스킬 ×1.3</t>
        </is>
      </c>
      <c r="F27" s="9" t="inlineStr">
        <is>
          <t>최대 3★</t>
        </is>
      </c>
      <c r="G27" s="9" t="inlineStr">
        <is>
          <t>보관함 20마리</t>
        </is>
      </c>
    </row>
  </sheetData>
  <mergeCells count="1">
    <mergeCell ref="A1:G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8" customWidth="1" min="1" max="1"/>
    <col width="14" customWidth="1" min="2" max="2"/>
    <col width="10" customWidth="1" min="3" max="3"/>
    <col width="8" customWidth="1" min="4" max="4"/>
    <col width="14" customWidth="1" min="5" max="5"/>
    <col width="28" customWidth="1" min="6" max="6"/>
    <col width="16" customWidth="1" min="7" max="7"/>
    <col width="12" customWidth="1" min="8" max="8"/>
  </cols>
  <sheetData>
    <row r="1">
      <c r="A1" s="6" t="inlineStr">
        <is>
          <t>날씨 던전 시스템 (v2.21)</t>
        </is>
      </c>
    </row>
    <row r="3">
      <c r="A3" s="7" t="inlineStr">
        <is>
          <t>던전명</t>
        </is>
      </c>
      <c r="B3" s="7" t="inlineStr">
        <is>
          <t>날씨 조건</t>
        </is>
      </c>
      <c r="C3" s="7" t="inlineStr">
        <is>
          <t>요구 레벨</t>
        </is>
      </c>
      <c r="D3" s="7" t="inlineStr">
        <is>
          <t>속성</t>
        </is>
      </c>
      <c r="E3" s="7" t="inlineStr">
        <is>
          <t>구성</t>
        </is>
      </c>
      <c r="F3" s="7" t="inlineStr">
        <is>
          <t>클리어 보상</t>
        </is>
      </c>
      <c r="G3" s="7" t="inlineStr">
        <is>
          <t>날씨 보너스</t>
        </is>
      </c>
      <c r="H3" s="7" t="inlineStr">
        <is>
          <t>쿨다운</t>
        </is>
      </c>
    </row>
    <row r="4">
      <c r="A4" s="8" t="inlineStr">
        <is>
          <t>☀️ 태양의 시련장</t>
        </is>
      </c>
      <c r="B4" s="8" t="inlineStr">
        <is>
          <t>clear(맑음)</t>
        </is>
      </c>
      <c r="C4" s="8" t="inlineStr">
        <is>
          <t>Lv.15</t>
        </is>
      </c>
      <c r="D4" s="8" t="inlineStr">
        <is>
          <t>fire</t>
        </is>
      </c>
      <c r="E4" s="8" t="inlineStr">
        <is>
          <t>3스테이지</t>
        </is>
      </c>
      <c r="F4" s="8" t="inlineStr">
        <is>
          <t>5K G, 4K EXP, 30D, 태양의 파편</t>
        </is>
      </c>
      <c r="G4" s="8" t="inlineStr">
        <is>
          <t>맑은 날 보상 1.5배</t>
        </is>
      </c>
      <c r="H4" s="8" t="inlineStr">
        <is>
          <t>30분 쿨다운</t>
        </is>
      </c>
    </row>
    <row r="5">
      <c r="A5" s="9" t="inlineStr">
        <is>
          <t>🌧️ 우천의 미궁</t>
        </is>
      </c>
      <c r="B5" s="9" t="inlineStr">
        <is>
          <t>rain(비)</t>
        </is>
      </c>
      <c r="C5" s="9" t="inlineStr">
        <is>
          <t>Lv.20</t>
        </is>
      </c>
      <c r="D5" s="9" t="inlineStr">
        <is>
          <t>water</t>
        </is>
      </c>
      <c r="E5" s="9" t="inlineStr">
        <is>
          <t>3스테이지</t>
        </is>
      </c>
      <c r="F5" s="9" t="inlineStr">
        <is>
          <t>6K G, 5K EXP, 40D, 빗물 결정</t>
        </is>
      </c>
      <c r="G5" s="9" t="inlineStr">
        <is>
          <t>비 오는 날 1.5배</t>
        </is>
      </c>
      <c r="H5" s="9" t="inlineStr">
        <is>
          <t>30분 쿨다운</t>
        </is>
      </c>
    </row>
    <row r="6">
      <c r="A6" s="8" t="inlineStr">
        <is>
          <t>❄️ 설원의 성채</t>
        </is>
      </c>
      <c r="B6" s="8" t="inlineStr">
        <is>
          <t>snow(눈)</t>
        </is>
      </c>
      <c r="C6" s="8" t="inlineStr">
        <is>
          <t>Lv.25</t>
        </is>
      </c>
      <c r="D6" s="8" t="inlineStr">
        <is>
          <t>water</t>
        </is>
      </c>
      <c r="E6" s="8" t="inlineStr">
        <is>
          <t>3스테이지</t>
        </is>
      </c>
      <c r="F6" s="8" t="inlineStr">
        <is>
          <t>8K G, 7K EXP, 60D, 서리 왕관</t>
        </is>
      </c>
      <c r="G6" s="8" t="inlineStr">
        <is>
          <t>눈 오는 날 1.5배</t>
        </is>
      </c>
      <c r="H6" s="8" t="inlineStr">
        <is>
          <t>30분 쿨다운</t>
        </is>
      </c>
    </row>
    <row r="7">
      <c r="A7" s="9" t="inlineStr">
        <is>
          <t>⛈️ 뇌광의 탑</t>
        </is>
      </c>
      <c r="B7" s="9" t="inlineStr">
        <is>
          <t>storm(폭풍)</t>
        </is>
      </c>
      <c r="C7" s="9" t="inlineStr">
        <is>
          <t>Lv.30</t>
        </is>
      </c>
      <c r="D7" s="9" t="inlineStr">
        <is>
          <t>wind</t>
        </is>
      </c>
      <c r="E7" s="9" t="inlineStr">
        <is>
          <t>3스테이지</t>
        </is>
      </c>
      <c r="F7" s="9" t="inlineStr">
        <is>
          <t>15K G, 12K EXP, 100D, 뇌광 오브</t>
        </is>
      </c>
      <c r="G7" s="9" t="inlineStr">
        <is>
          <t>폭풍 시 2배!</t>
        </is>
      </c>
      <c r="H7" s="9" t="inlineStr">
        <is>
          <t>30분 쿨다운</t>
        </is>
      </c>
    </row>
    <row r="8">
      <c r="A8" s="8" t="inlineStr">
        <is>
          <t>-</t>
        </is>
      </c>
      <c r="B8" s="8" t="inlineStr">
        <is>
          <t>스테이지1</t>
        </is>
      </c>
      <c r="C8" s="8" t="inlineStr">
        <is>
          <t>일반 몬스터 4~6마리</t>
        </is>
      </c>
      <c r="D8" s="8" t="inlineStr">
        <is>
          <t>HP 300~600</t>
        </is>
      </c>
      <c r="E8" s="8" t="inlineStr">
        <is>
          <t>ATK 18~35</t>
        </is>
      </c>
      <c r="F8" s="8" t="inlineStr">
        <is>
          <t>DEF 8~12</t>
        </is>
      </c>
      <c r="G8" s="8" t="inlineStr">
        <is>
          <t>-</t>
        </is>
      </c>
      <c r="H8" s="8" t="inlineStr">
        <is>
          <t>위험/디버프 가능</t>
        </is>
      </c>
    </row>
    <row r="9">
      <c r="A9" s="9" t="inlineStr">
        <is>
          <t>-</t>
        </is>
      </c>
      <c r="B9" s="9" t="inlineStr">
        <is>
          <t>스테이지2</t>
        </is>
      </c>
      <c r="C9" s="9" t="inlineStr">
        <is>
          <t>일반 몬스터 3~4마리</t>
        </is>
      </c>
      <c r="D9" s="9" t="inlineStr">
        <is>
          <t>HP 600~1200</t>
        </is>
      </c>
      <c r="E9" s="9" t="inlineStr">
        <is>
          <t>ATK 30~50</t>
        </is>
      </c>
      <c r="F9" s="9" t="inlineStr">
        <is>
          <t>DEF 12~22</t>
        </is>
      </c>
      <c r="G9" s="9" t="inlineStr">
        <is>
          <t>위험 지형</t>
        </is>
      </c>
      <c r="H9" s="9" t="inlineStr">
        <is>
          <t>지속 데미지</t>
        </is>
      </c>
    </row>
    <row r="10">
      <c r="A10" s="8" t="inlineStr">
        <is>
          <t>-</t>
        </is>
      </c>
      <c r="B10" s="8" t="inlineStr">
        <is>
          <t>스테이지3 (보스)</t>
        </is>
      </c>
      <c r="C10" s="8" t="inlineStr">
        <is>
          <t>보스 1마리</t>
        </is>
      </c>
      <c r="D10" s="8" t="inlineStr">
        <is>
          <t>HP 3K~8K</t>
        </is>
      </c>
      <c r="E10" s="8" t="inlineStr">
        <is>
          <t>ATK 55~100</t>
        </is>
      </c>
      <c r="F10" s="8" t="inlineStr">
        <is>
          <t>DEF 20~35</t>
        </is>
      </c>
      <c r="G10" s="8" t="inlineStr">
        <is>
          <t>보스 스킬</t>
        </is>
      </c>
      <c r="H10" s="8" t="inlineStr">
        <is>
          <t>5~10초 주기</t>
        </is>
      </c>
    </row>
    <row r="11">
      <c r="A11" s="9" t="inlineStr">
        <is>
          <t>-</t>
        </is>
      </c>
      <c r="B11" s="9" t="inlineStr">
        <is>
          <t>보스: 태양의 수호자</t>
        </is>
      </c>
      <c r="C11" s="9" t="inlineStr">
        <is>
          <t>HP 3,000</t>
        </is>
      </c>
      <c r="D11" s="9" t="inlineStr">
        <is>
          <t>ATK 60</t>
        </is>
      </c>
      <c r="E11" s="9" t="inlineStr">
        <is>
          <t>DEF 20</t>
        </is>
      </c>
      <c r="F11" s="9" t="inlineStr">
        <is>
          <t>태양 플레어</t>
        </is>
      </c>
      <c r="G11" s="9" t="inlineStr">
        <is>
          <t>전체 HP 10% / 5초</t>
        </is>
      </c>
      <c r="H11" s="9" t="inlineStr">
        <is>
          <t>-</t>
        </is>
      </c>
    </row>
    <row r="12">
      <c r="A12" s="8" t="inlineStr">
        <is>
          <t>-</t>
        </is>
      </c>
      <c r="B12" s="8" t="inlineStr">
        <is>
          <t>보스: 폭포의 군주</t>
        </is>
      </c>
      <c r="C12" s="8" t="inlineStr">
        <is>
          <t>HP 4,000</t>
        </is>
      </c>
      <c r="D12" s="8" t="inlineStr">
        <is>
          <t>ATK 55</t>
        </is>
      </c>
      <c r="E12" s="8" t="inlineStr">
        <is>
          <t>DEF 25</t>
        </is>
      </c>
      <c r="F12" s="8" t="inlineStr">
        <is>
          <t>해일</t>
        </is>
      </c>
      <c r="G12" s="8" t="inlineStr">
        <is>
          <t>넉백+둔화 / 8초</t>
        </is>
      </c>
      <c r="H12" s="8" t="inlineStr">
        <is>
          <t>-</t>
        </is>
      </c>
    </row>
    <row r="13">
      <c r="A13" s="9" t="inlineStr">
        <is>
          <t>-</t>
        </is>
      </c>
      <c r="B13" s="9" t="inlineStr">
        <is>
          <t>보스: 서리 여왕</t>
        </is>
      </c>
      <c r="C13" s="9" t="inlineStr">
        <is>
          <t>HP 5,500</t>
        </is>
      </c>
      <c r="D13" s="9" t="inlineStr">
        <is>
          <t>ATK 70</t>
        </is>
      </c>
      <c r="E13" s="9" t="inlineStr">
        <is>
          <t>DEF 30</t>
        </is>
      </c>
      <c r="F13" s="9" t="inlineStr">
        <is>
          <t>절대 영도</t>
        </is>
      </c>
      <c r="G13" s="9" t="inlineStr">
        <is>
          <t>전체 빙결 2초 / 10초</t>
        </is>
      </c>
      <c r="H13" s="9" t="inlineStr">
        <is>
          <t>-</t>
        </is>
      </c>
    </row>
    <row r="14">
      <c r="A14" s="8" t="inlineStr">
        <is>
          <t>-</t>
        </is>
      </c>
      <c r="B14" s="8" t="inlineStr">
        <is>
          <t>보스: 뇌신 라이쥬</t>
        </is>
      </c>
      <c r="C14" s="8" t="inlineStr">
        <is>
          <t>HP 8,000</t>
        </is>
      </c>
      <c r="D14" s="8" t="inlineStr">
        <is>
          <t>ATK 100</t>
        </is>
      </c>
      <c r="E14" s="8" t="inlineStr">
        <is>
          <t>DEF 35</t>
        </is>
      </c>
      <c r="F14" s="8" t="inlineStr">
        <is>
          <t>천둥 연쇄</t>
        </is>
      </c>
      <c r="G14" s="8" t="inlineStr">
        <is>
          <t>3명 연쇄 번개 / 3초</t>
        </is>
      </c>
      <c r="H14" s="8" t="inlineStr">
        <is>
          <t>-</t>
        </is>
      </c>
    </row>
  </sheetData>
  <mergeCells count="1">
    <mergeCell ref="A1:H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8" customWidth="1" min="1" max="1"/>
    <col width="16" customWidth="1" min="2" max="2"/>
    <col width="10" customWidth="1" min="3" max="3"/>
    <col width="18" customWidth="1" min="4" max="4"/>
    <col width="22" customWidth="1" min="5" max="5"/>
    <col width="18" customWidth="1" min="6" max="6"/>
    <col width="14" customWidth="1" min="7" max="7"/>
  </cols>
  <sheetData>
    <row r="1">
      <c r="A1" s="6" t="inlineStr">
        <is>
          <t>PvP 매칭 시스템 (v2.22)</t>
        </is>
      </c>
    </row>
    <row r="3">
      <c r="A3" s="7" t="inlineStr">
        <is>
          <t>분류</t>
        </is>
      </c>
      <c r="B3" s="7" t="inlineStr">
        <is>
          <t>항목</t>
        </is>
      </c>
      <c r="C3" s="7" t="inlineStr">
        <is>
          <t>인원/값</t>
        </is>
      </c>
      <c r="D3" s="7" t="inlineStr">
        <is>
          <t>ELO/조건</t>
        </is>
      </c>
      <c r="E3" s="7" t="inlineStr">
        <is>
          <t>승리 보상</t>
        </is>
      </c>
      <c r="F3" s="7" t="inlineStr">
        <is>
          <t>패배 보상</t>
        </is>
      </c>
      <c r="G3" s="7" t="inlineStr">
        <is>
          <t>비고</t>
        </is>
      </c>
    </row>
    <row r="4">
      <c r="A4" s="8" t="inlineStr">
        <is>
          <t>모드</t>
        </is>
      </c>
      <c r="B4" s="8" t="inlineStr">
        <is>
          <t>1v1</t>
        </is>
      </c>
      <c r="C4" s="8" t="inlineStr">
        <is>
          <t>2명</t>
        </is>
      </c>
      <c r="D4" s="8" t="inlineStr">
        <is>
          <t>ELO K=32</t>
        </is>
      </c>
      <c r="E4" s="8" t="inlineStr">
        <is>
          <t>승: 500G, 300EXP, 10D</t>
        </is>
      </c>
      <c r="F4" s="8" t="inlineStr">
        <is>
          <t>패: 150G, 90EXP</t>
        </is>
      </c>
      <c r="G4" s="8" t="inlineStr">
        <is>
          <t>대기 60초</t>
        </is>
      </c>
    </row>
    <row r="5">
      <c r="A5" s="9" t="inlineStr">
        <is>
          <t>모드</t>
        </is>
      </c>
      <c r="B5" s="9" t="inlineStr">
        <is>
          <t>3v3</t>
        </is>
      </c>
      <c r="C5" s="9" t="inlineStr">
        <is>
          <t>6명</t>
        </is>
      </c>
      <c r="D5" s="9" t="inlineStr">
        <is>
          <t>ELO K=24</t>
        </is>
      </c>
      <c r="E5" s="9" t="inlineStr">
        <is>
          <t>승: 800G, 500EXP, 15D</t>
        </is>
      </c>
      <c r="F5" s="9" t="inlineStr">
        <is>
          <t>패: 240G, 150EXP</t>
        </is>
      </c>
      <c r="G5" s="9" t="inlineStr">
        <is>
          <t>대기 90초</t>
        </is>
      </c>
    </row>
    <row r="6">
      <c r="A6" s="8" t="inlineStr">
        <is>
          <t>ELO</t>
        </is>
      </c>
      <c r="B6" s="8" t="inlineStr">
        <is>
          <t>기본 레이팅</t>
        </is>
      </c>
      <c r="C6" s="8" t="inlineStr">
        <is>
          <t>1000</t>
        </is>
      </c>
      <c r="D6" s="8" t="inlineStr">
        <is>
          <t>매칭 범위 ±100~500</t>
        </is>
      </c>
      <c r="E6" s="8" t="inlineStr">
        <is>
          <t>10초마다 ±50 확장</t>
        </is>
      </c>
      <c r="F6" s="8" t="inlineStr">
        <is>
          <t>-</t>
        </is>
      </c>
      <c r="G6" s="8" t="inlineStr">
        <is>
          <t>-</t>
        </is>
      </c>
    </row>
    <row r="7">
      <c r="A7" s="9" t="inlineStr">
        <is>
          <t>티어</t>
        </is>
      </c>
      <c r="B7" s="9" t="inlineStr">
        <is>
          <t>🥉 브론즈</t>
        </is>
      </c>
      <c r="C7" s="9" t="inlineStr">
        <is>
          <t>0+</t>
        </is>
      </c>
      <c r="D7" s="9" t="inlineStr">
        <is>
          <t>시작 티어</t>
        </is>
      </c>
      <c r="E7" s="9" t="inlineStr">
        <is>
          <t>-</t>
        </is>
      </c>
      <c r="F7" s="9" t="inlineStr">
        <is>
          <t>-</t>
        </is>
      </c>
      <c r="G7" s="9" t="inlineStr">
        <is>
          <t>-</t>
        </is>
      </c>
    </row>
    <row r="8">
      <c r="A8" s="8" t="inlineStr">
        <is>
          <t>티어</t>
        </is>
      </c>
      <c r="B8" s="8" t="inlineStr">
        <is>
          <t>🥈 실버</t>
        </is>
      </c>
      <c r="C8" s="8" t="inlineStr">
        <is>
          <t>1100+</t>
        </is>
      </c>
      <c r="D8" s="8" t="inlineStr"/>
      <c r="E8" s="8" t="inlineStr"/>
      <c r="F8" s="8" t="inlineStr">
        <is>
          <t>-</t>
        </is>
      </c>
      <c r="G8" s="8" t="inlineStr">
        <is>
          <t>-</t>
        </is>
      </c>
    </row>
    <row r="9">
      <c r="A9" s="9" t="inlineStr">
        <is>
          <t>티어</t>
        </is>
      </c>
      <c r="B9" s="9" t="inlineStr">
        <is>
          <t>🥇 골드</t>
        </is>
      </c>
      <c r="C9" s="9" t="inlineStr">
        <is>
          <t>1300+</t>
        </is>
      </c>
      <c r="D9" s="9" t="inlineStr"/>
      <c r="E9" s="9" t="inlineStr"/>
      <c r="F9" s="9" t="inlineStr">
        <is>
          <t>-</t>
        </is>
      </c>
      <c r="G9" s="9" t="inlineStr">
        <is>
          <t>-</t>
        </is>
      </c>
    </row>
    <row r="10">
      <c r="A10" s="8" t="inlineStr">
        <is>
          <t>티어</t>
        </is>
      </c>
      <c r="B10" s="8" t="inlineStr">
        <is>
          <t>💎 플래티넘</t>
        </is>
      </c>
      <c r="C10" s="8" t="inlineStr">
        <is>
          <t>1500+</t>
        </is>
      </c>
      <c r="D10" s="8" t="inlineStr"/>
      <c r="E10" s="8" t="inlineStr"/>
      <c r="F10" s="8" t="inlineStr">
        <is>
          <t>-</t>
        </is>
      </c>
      <c r="G10" s="8" t="inlineStr">
        <is>
          <t>-</t>
        </is>
      </c>
    </row>
    <row r="11">
      <c r="A11" s="9" t="inlineStr">
        <is>
          <t>티어</t>
        </is>
      </c>
      <c r="B11" s="9" t="inlineStr">
        <is>
          <t>💠 다이아몬드</t>
        </is>
      </c>
      <c r="C11" s="9" t="inlineStr">
        <is>
          <t>1800+</t>
        </is>
      </c>
      <c r="D11" s="9" t="inlineStr"/>
      <c r="E11" s="9" t="inlineStr"/>
      <c r="F11" s="9" t="inlineStr">
        <is>
          <t>-</t>
        </is>
      </c>
      <c r="G11" s="9" t="inlineStr">
        <is>
          <t>-</t>
        </is>
      </c>
    </row>
    <row r="12">
      <c r="A12" s="8" t="inlineStr">
        <is>
          <t>티어</t>
        </is>
      </c>
      <c r="B12" s="8" t="inlineStr">
        <is>
          <t>👑 마스터</t>
        </is>
      </c>
      <c r="C12" s="8" t="inlineStr">
        <is>
          <t>2100+</t>
        </is>
      </c>
      <c r="D12" s="8" t="inlineStr"/>
      <c r="E12" s="8" t="inlineStr"/>
      <c r="F12" s="8" t="inlineStr">
        <is>
          <t>-</t>
        </is>
      </c>
      <c r="G12" s="8" t="inlineStr">
        <is>
          <t>-</t>
        </is>
      </c>
    </row>
    <row r="13">
      <c r="A13" s="9" t="inlineStr">
        <is>
          <t>티어</t>
        </is>
      </c>
      <c r="B13" s="9" t="inlineStr">
        <is>
          <t>🌟 그랜드마스터</t>
        </is>
      </c>
      <c r="C13" s="9" t="inlineStr">
        <is>
          <t>2500+</t>
        </is>
      </c>
      <c r="D13" s="9" t="inlineStr">
        <is>
          <t>최상위 티어</t>
        </is>
      </c>
      <c r="E13" s="9" t="inlineStr">
        <is>
          <t>-</t>
        </is>
      </c>
      <c r="F13" s="9" t="inlineStr">
        <is>
          <t>-</t>
        </is>
      </c>
      <c r="G13" s="9" t="inlineStr">
        <is>
          <t>-</t>
        </is>
      </c>
    </row>
    <row r="14">
      <c r="A14" s="8" t="inlineStr">
        <is>
          <t>시즌</t>
        </is>
      </c>
      <c r="B14" s="8" t="inlineStr">
        <is>
          <t>주기</t>
        </is>
      </c>
      <c r="C14" s="8" t="inlineStr">
        <is>
          <t>7일</t>
        </is>
      </c>
      <c r="D14" s="8" t="inlineStr">
        <is>
          <t>자동 리셋</t>
        </is>
      </c>
      <c r="E14" s="8" t="inlineStr">
        <is>
          <t>상위 100명 기록</t>
        </is>
      </c>
      <c r="F14" s="8" t="inlineStr">
        <is>
          <t>-</t>
        </is>
      </c>
      <c r="G14" s="8" t="inlineStr">
        <is>
          <t>-</t>
        </is>
      </c>
    </row>
    <row r="15">
      <c r="A15" s="9" t="inlineStr">
        <is>
          <t>매칭</t>
        </is>
      </c>
      <c r="B15" s="9" t="inlineStr">
        <is>
          <t>서버 틱</t>
        </is>
      </c>
      <c r="C15" s="9" t="inlineStr">
        <is>
          <t>5초마다</t>
        </is>
      </c>
      <c r="D15" s="9" t="inlineStr">
        <is>
          <t>ELO 기반 자동 매칭</t>
        </is>
      </c>
      <c r="E15" s="9" t="inlineStr">
        <is>
          <t>팀 ELO 균형 배분</t>
        </is>
      </c>
      <c r="F15" s="9" t="inlineStr">
        <is>
          <t>-</t>
        </is>
      </c>
      <c r="G15" s="9" t="inlineStr">
        <is>
          <t>-</t>
        </is>
      </c>
    </row>
  </sheetData>
  <mergeCells count="1">
    <mergeCell ref="A1:G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0" customWidth="1" min="1" max="1"/>
    <col width="18" customWidth="1" min="2" max="2"/>
    <col width="20" customWidth="1" min="3" max="3"/>
    <col width="20" customWidth="1" min="4" max="4"/>
    <col width="12" customWidth="1" min="5" max="5"/>
    <col width="16" customWidth="1" min="6" max="6"/>
  </cols>
  <sheetData>
    <row r="1">
      <c r="A1" s="6" t="inlineStr">
        <is>
          <t>사냥꾼 시스템 (v2.23)</t>
        </is>
      </c>
    </row>
    <row r="3">
      <c r="A3" s="7" t="inlineStr">
        <is>
          <t>분류</t>
        </is>
      </c>
      <c r="B3" s="7" t="inlineStr">
        <is>
          <t>이름/등급</t>
        </is>
      </c>
      <c r="C3" s="7" t="inlineStr">
        <is>
          <t>조건/효과</t>
        </is>
      </c>
      <c r="D3" s="7" t="inlineStr">
        <is>
          <t>보상/가격</t>
        </is>
      </c>
      <c r="E3" s="7" t="inlineStr">
        <is>
          <t>난이도/타입</t>
        </is>
      </c>
      <c r="F3" s="7" t="inlineStr">
        <is>
          <t>비고</t>
        </is>
      </c>
    </row>
    <row r="4">
      <c r="A4" s="8" t="inlineStr">
        <is>
          <t>일일 의뢰</t>
        </is>
      </c>
      <c r="B4" s="8" t="inlineStr">
        <is>
          <t>늑대 떼 소탕</t>
        </is>
      </c>
      <c r="C4" s="8" t="inlineStr">
        <is>
          <t>숲/normal 10마리</t>
        </is>
      </c>
      <c r="D4" s="8" t="inlineStr">
        <is>
          <t>2K G, 1.5K EXP, 10D</t>
        </is>
      </c>
      <c r="E4" s="8" t="inlineStr">
        <is>
          <t>easy</t>
        </is>
      </c>
      <c r="F4" s="8" t="inlineStr">
        <is>
          <t>매일 3개 갱신</t>
        </is>
      </c>
    </row>
    <row r="5">
      <c r="A5" s="9" t="inlineStr">
        <is>
          <t>일일 의뢰</t>
        </is>
      </c>
      <c r="B5" s="9" t="inlineStr">
        <is>
          <t>산적 소굴 정리</t>
        </is>
      </c>
      <c r="C5" s="9" t="inlineStr">
        <is>
          <t>산악/elite 8마리</t>
        </is>
      </c>
      <c r="D5" s="9" t="inlineStr">
        <is>
          <t>4K G, 3K EXP, 20D</t>
        </is>
      </c>
      <c r="E5" s="9" t="inlineStr">
        <is>
          <t>normal</t>
        </is>
      </c>
      <c r="F5" s="9" t="inlineStr"/>
    </row>
    <row r="6">
      <c r="A6" s="8" t="inlineStr">
        <is>
          <t>일일 의뢰</t>
        </is>
      </c>
      <c r="B6" s="8" t="inlineStr">
        <is>
          <t>드래곤 알 수거</t>
        </is>
      </c>
      <c r="C6" s="8" t="inlineStr">
        <is>
          <t>용둥지/수집 5개</t>
        </is>
      </c>
      <c r="D6" s="8" t="inlineStr">
        <is>
          <t>8K G, 6K EXP, 40D</t>
        </is>
      </c>
      <c r="E6" s="8" t="inlineStr">
        <is>
          <t>hard</t>
        </is>
      </c>
      <c r="F6" s="8" t="inlineStr"/>
    </row>
    <row r="7">
      <c r="A7" s="9" t="inlineStr">
        <is>
          <t>일일 의뢰</t>
        </is>
      </c>
      <c r="B7" s="9" t="inlineStr">
        <is>
          <t>유령선 정벌</t>
        </is>
      </c>
      <c r="C7" s="9" t="inlineStr">
        <is>
          <t>항구/rare 12마리</t>
        </is>
      </c>
      <c r="D7" s="9" t="inlineStr">
        <is>
          <t>6K G, 5K EXP, 30D</t>
        </is>
      </c>
      <c r="E7" s="9" t="inlineStr">
        <is>
          <t>normal</t>
        </is>
      </c>
      <c r="F7" s="9" t="inlineStr"/>
    </row>
    <row r="8">
      <c r="A8" s="8" t="inlineStr">
        <is>
          <t>일일 의뢰</t>
        </is>
      </c>
      <c r="B8" s="8" t="inlineStr">
        <is>
          <t>공허 균열 봉인</t>
        </is>
      </c>
      <c r="C8" s="8" t="inlineStr">
        <is>
          <t>심연/boss 6마리</t>
        </is>
      </c>
      <c r="D8" s="8" t="inlineStr">
        <is>
          <t>15K G, 12K EXP, 80D</t>
        </is>
      </c>
      <c r="E8" s="8" t="inlineStr">
        <is>
          <t>extreme</t>
        </is>
      </c>
      <c r="F8" s="8" t="inlineStr"/>
    </row>
    <row r="9">
      <c r="A9" s="9" t="inlineStr">
        <is>
          <t>일일 의뢰</t>
        </is>
      </c>
      <c r="B9" s="9" t="inlineStr">
        <is>
          <t>밤의 추적자</t>
        </is>
      </c>
      <c r="C9" s="9" t="inlineStr">
        <is>
          <t>밤 전용 5마리</t>
        </is>
      </c>
      <c r="D9" s="9" t="inlineStr">
        <is>
          <t>7K G, 5K EXP, 35D</t>
        </is>
      </c>
      <c r="E9" s="9" t="inlineStr">
        <is>
          <t>hard</t>
        </is>
      </c>
      <c r="F9" s="9" t="inlineStr">
        <is>
          <t>isNight 조건</t>
        </is>
      </c>
    </row>
    <row r="10">
      <c r="A10" s="8" t="inlineStr">
        <is>
          <t>일일 의뢰</t>
        </is>
      </c>
      <c r="B10" s="8" t="inlineStr">
        <is>
          <t>폭풍 짐승 사냥</t>
        </is>
      </c>
      <c r="C10" s="8" t="inlineStr">
        <is>
          <t>폭풍 전용 4마리</t>
        </is>
      </c>
      <c r="D10" s="8" t="inlineStr">
        <is>
          <t>12K G, 10K EXP, 60D</t>
        </is>
      </c>
      <c r="E10" s="8" t="inlineStr">
        <is>
          <t>extreme</t>
        </is>
      </c>
      <c r="F10" s="8" t="inlineStr">
        <is>
          <t>storm 조건</t>
        </is>
      </c>
    </row>
    <row r="11">
      <c r="A11" s="9" t="inlineStr">
        <is>
          <t>함정</t>
        </is>
      </c>
      <c r="B11" s="9" t="inlineStr">
        <is>
          <t>🪤 올가미</t>
        </is>
      </c>
      <c r="C11" s="9" t="inlineStr">
        <is>
          <t>3초 이동 불가</t>
        </is>
      </c>
      <c r="D11" s="9" t="inlineStr">
        <is>
          <t>500G</t>
        </is>
      </c>
      <c r="E11" s="9" t="inlineStr">
        <is>
          <t>root</t>
        </is>
      </c>
      <c r="F11" s="9" t="inlineStr"/>
    </row>
    <row r="12">
      <c r="A12" s="8" t="inlineStr">
        <is>
          <t>함정</t>
        </is>
      </c>
      <c r="B12" s="8" t="inlineStr">
        <is>
          <t>☠️ 독 함정</t>
        </is>
      </c>
      <c r="C12" s="8" t="inlineStr">
        <is>
          <t>10초 독 DPS 5</t>
        </is>
      </c>
      <c r="D12" s="8" t="inlineStr">
        <is>
          <t>800G</t>
        </is>
      </c>
      <c r="E12" s="8" t="inlineStr">
        <is>
          <t>dot</t>
        </is>
      </c>
      <c r="F12" s="8" t="inlineStr"/>
    </row>
    <row r="13">
      <c r="A13" s="9" t="inlineStr">
        <is>
          <t>함정</t>
        </is>
      </c>
      <c r="B13" s="9" t="inlineStr">
        <is>
          <t>💥 섬광탄</t>
        </is>
      </c>
      <c r="C13" s="9" t="inlineStr">
        <is>
          <t>2초 실명</t>
        </is>
      </c>
      <c r="D13" s="9" t="inlineStr">
        <is>
          <t>600G</t>
        </is>
      </c>
      <c r="E13" s="9" t="inlineStr">
        <is>
          <t>blind</t>
        </is>
      </c>
      <c r="F13" s="9" t="inlineStr"/>
    </row>
    <row r="14">
      <c r="A14" s="8" t="inlineStr">
        <is>
          <t>함정</t>
        </is>
      </c>
      <c r="B14" s="8" t="inlineStr">
        <is>
          <t>🕸️ 투망</t>
        </is>
      </c>
      <c r="C14" s="8" t="inlineStr">
        <is>
          <t>5초 속도 -70%</t>
        </is>
      </c>
      <c r="D14" s="8" t="inlineStr">
        <is>
          <t>700G</t>
        </is>
      </c>
      <c r="E14" s="8" t="inlineStr">
        <is>
          <t>slow</t>
        </is>
      </c>
      <c r="F14" s="8" t="inlineStr"/>
    </row>
    <row r="15">
      <c r="A15" s="9" t="inlineStr">
        <is>
          <t>함정</t>
        </is>
      </c>
      <c r="B15" s="9" t="inlineStr">
        <is>
          <t>💣 폭탄</t>
        </is>
      </c>
      <c r="C15" s="9" t="inlineStr">
        <is>
          <t>즉시 500 데미지</t>
        </is>
      </c>
      <c r="D15" s="9" t="inlineStr">
        <is>
          <t>1,200G</t>
        </is>
      </c>
      <c r="E15" s="9" t="inlineStr">
        <is>
          <t>damage</t>
        </is>
      </c>
      <c r="F15" s="9" t="inlineStr"/>
    </row>
    <row r="16">
      <c r="A16" s="8" t="inlineStr">
        <is>
          <t>등급</t>
        </is>
      </c>
      <c r="B16" s="8" t="inlineStr">
        <is>
          <t>🏹 견습 (0회)</t>
        </is>
      </c>
      <c r="C16" s="8" t="inlineStr">
        <is>
          <t>기본</t>
        </is>
      </c>
      <c r="D16" s="8" t="inlineStr">
        <is>
          <t>-</t>
        </is>
      </c>
      <c r="E16" s="8" t="inlineStr">
        <is>
          <t>-</t>
        </is>
      </c>
      <c r="F16" s="8" t="inlineStr"/>
    </row>
    <row r="17">
      <c r="A17" s="9" t="inlineStr">
        <is>
          <t>등급</t>
        </is>
      </c>
      <c r="B17" s="9" t="inlineStr">
        <is>
          <t>⚔️ 숙련 (10회)</t>
        </is>
      </c>
      <c r="C17" s="9" t="inlineStr">
        <is>
          <t>추적 범위 +10</t>
        </is>
      </c>
      <c r="D17" s="9" t="inlineStr">
        <is>
          <t>-</t>
        </is>
      </c>
      <c r="E17" s="9" t="inlineStr">
        <is>
          <t>-</t>
        </is>
      </c>
      <c r="F17" s="9" t="inlineStr"/>
    </row>
    <row r="18">
      <c r="A18" s="8" t="inlineStr">
        <is>
          <t>등급</t>
        </is>
      </c>
      <c r="B18" s="8" t="inlineStr">
        <is>
          <t>🗡️ 베테랑 (30회)</t>
        </is>
      </c>
      <c r="C18" s="8" t="inlineStr">
        <is>
          <t>보상 +10%</t>
        </is>
      </c>
      <c r="D18" s="8" t="inlineStr">
        <is>
          <t>-</t>
        </is>
      </c>
      <c r="E18" s="8" t="inlineStr">
        <is>
          <t>-</t>
        </is>
      </c>
      <c r="F18" s="8" t="inlineStr"/>
    </row>
    <row r="19">
      <c r="A19" s="9" t="inlineStr">
        <is>
          <t>등급</t>
        </is>
      </c>
      <c r="B19" s="9" t="inlineStr">
        <is>
          <t>🎯 마스터 (60회)</t>
        </is>
      </c>
      <c r="C19" s="9" t="inlineStr">
        <is>
          <t>함정 비용 -20%</t>
        </is>
      </c>
      <c r="D19" s="9" t="inlineStr">
        <is>
          <t>-</t>
        </is>
      </c>
      <c r="E19" s="9" t="inlineStr">
        <is>
          <t>-</t>
        </is>
      </c>
      <c r="F19" s="9" t="inlineStr"/>
    </row>
    <row r="20">
      <c r="A20" s="8" t="inlineStr">
        <is>
          <t>등급</t>
        </is>
      </c>
      <c r="B20" s="8" t="inlineStr">
        <is>
          <t>👑 전설 (100회)</t>
        </is>
      </c>
      <c r="C20" s="8" t="inlineStr">
        <is>
          <t>15% 확률 보상 2배</t>
        </is>
      </c>
      <c r="D20" s="8" t="inlineStr">
        <is>
          <t>-</t>
        </is>
      </c>
      <c r="E20" s="8" t="inlineStr">
        <is>
          <t>-</t>
        </is>
      </c>
      <c r="F20" s="8" t="inlineStr"/>
    </row>
  </sheetData>
  <mergeCells count="1">
    <mergeCell ref="A1:F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4" customWidth="1" min="1" max="1"/>
    <col width="14" customWidth="1" min="2" max="2"/>
    <col width="28" customWidth="1" min="3" max="3"/>
    <col width="24" customWidth="1" min="4" max="4"/>
    <col width="34" customWidth="1" min="5" max="5"/>
    <col width="14" customWidth="1" min="6" max="6"/>
  </cols>
  <sheetData>
    <row r="1">
      <c r="A1" s="6" t="inlineStr">
        <is>
          <t>종족 시스템 (v2.24) — 4종족</t>
        </is>
      </c>
    </row>
    <row r="3">
      <c r="A3" s="7" t="inlineStr">
        <is>
          <t>종족/항목</t>
        </is>
      </c>
      <c r="B3" s="7" t="inlineStr">
        <is>
          <t>해금/조건</t>
        </is>
      </c>
      <c r="C3" s="7" t="inlineStr">
        <is>
          <t>패시브</t>
        </is>
      </c>
      <c r="D3" s="7" t="inlineStr">
        <is>
          <t>성장 보너스</t>
        </is>
      </c>
      <c r="E3" s="7" t="inlineStr">
        <is>
          <t>액티브 스킬</t>
        </is>
      </c>
      <c r="F3" s="7" t="inlineStr">
        <is>
          <t>비고</t>
        </is>
      </c>
    </row>
    <row r="4">
      <c r="A4" s="8" t="inlineStr">
        <is>
          <t>🧑 인간</t>
        </is>
      </c>
      <c r="B4" s="8" t="inlineStr">
        <is>
          <t>Lv.1</t>
        </is>
      </c>
      <c r="C4" s="8" t="inlineStr">
        <is>
          <t>EXP +15%, 모든 장비 가능</t>
        </is>
      </c>
      <c r="D4" s="8" t="inlineStr">
        <is>
          <t>HP+2/Lv, ATK+0.5/Lv, DEF+0.5/Lv</t>
        </is>
      </c>
      <c r="E4" s="8" t="inlineStr">
        <is>
          <t>💪 인간의 의지: 10초 전 스탯 +20% (CD 120초)</t>
        </is>
      </c>
      <c r="F4" s="8" t="inlineStr">
        <is>
          <t>균형형</t>
        </is>
      </c>
    </row>
    <row r="5">
      <c r="A5" s="9" t="inlineStr">
        <is>
          <t>🧝 엘프</t>
        </is>
      </c>
      <c r="B5" s="9" t="inlineStr">
        <is>
          <t>Lv.1</t>
        </is>
      </c>
      <c r="C5" s="9" t="inlineStr">
        <is>
          <t>Crit +8%, Dodge +5%, MP 리젠 +2%</t>
        </is>
      </c>
      <c r="D5" s="9" t="inlineStr">
        <is>
          <t>HP+1/Lv, ATK+0.3/Lv, SPD+0.2/Lv</t>
        </is>
      </c>
      <c r="E5" s="9" t="inlineStr">
        <is>
          <t>🌿 자연의 축복: 15초 HP 리젠 + 독/화상 면역 (CD 90초)</t>
        </is>
      </c>
      <c r="F5" s="9" t="inlineStr">
        <is>
          <t>민첩/마법형</t>
        </is>
      </c>
    </row>
    <row r="6">
      <c r="A6" s="8" t="inlineStr">
        <is>
          <t>⛏️ 드워프</t>
        </is>
      </c>
      <c r="B6" s="8" t="inlineStr">
        <is>
          <t>Lv.1</t>
        </is>
      </c>
      <c r="C6" s="8" t="inlineStr">
        <is>
          <t>DEF +10, HP +100, 제작 +15%, 강화 +10%</t>
        </is>
      </c>
      <c r="D6" s="8" t="inlineStr">
        <is>
          <t>HP+4/Lv, DEF+1.0/Lv</t>
        </is>
      </c>
      <c r="E6" s="8" t="inlineStr">
        <is>
          <t>🛡️ 대지의 방패: 8초 피해 50% 감소 + 넉백 면역 (CD 100초)</t>
        </is>
      </c>
      <c r="F6" s="8" t="inlineStr">
        <is>
          <t>탱커/제작형</t>
        </is>
      </c>
    </row>
    <row r="7">
      <c r="A7" s="9" t="inlineStr">
        <is>
          <t>😈 악마</t>
        </is>
      </c>
      <c r="B7" s="9" t="inlineStr">
        <is>
          <t>Lv.10</t>
        </is>
      </c>
      <c r="C7" s="9" t="inlineStr">
        <is>
          <t>ATK +15, 흡혈 5%, 카르마 감소 50%↓</t>
        </is>
      </c>
      <c r="D7" s="9" t="inlineStr">
        <is>
          <t>ATK+1.0/Lv, HP+1.5/Lv</t>
        </is>
      </c>
      <c r="E7" s="9" t="inlineStr">
        <is>
          <t>🔥 악마의 계약: HP 20% 소모 → 12초 ATK 2배 + 흡혈 15% (CD 150초)</t>
        </is>
      </c>
      <c r="F7" s="9" t="inlineStr">
        <is>
          <t>공격형 (고위험)</t>
        </is>
      </c>
    </row>
    <row r="8">
      <c r="A8" s="8" t="inlineStr">
        <is>
          <t>파티 시너지</t>
        </is>
      </c>
      <c r="B8" s="8" t="inlineStr">
        <is>
          <t>인간+엘프</t>
        </is>
      </c>
      <c r="C8" s="8" t="inlineStr">
        <is>
          <t>숲과 문명의 조화</t>
        </is>
      </c>
      <c r="D8" s="8" t="inlineStr">
        <is>
          <t>EXP +10%</t>
        </is>
      </c>
      <c r="E8" s="8" t="inlineStr">
        <is>
          <t>-</t>
        </is>
      </c>
      <c r="F8" s="8" t="inlineStr">
        <is>
          <t>-</t>
        </is>
      </c>
    </row>
    <row r="9">
      <c r="A9" s="9" t="inlineStr">
        <is>
          <t>파티 시너지</t>
        </is>
      </c>
      <c r="B9" s="9" t="inlineStr">
        <is>
          <t>인간+드워프</t>
        </is>
      </c>
      <c r="C9" s="9" t="inlineStr">
        <is>
          <t>동맹의 힘</t>
        </is>
      </c>
      <c r="D9" s="9" t="inlineStr">
        <is>
          <t>DEF +5, ATK +5</t>
        </is>
      </c>
      <c r="E9" s="9" t="inlineStr">
        <is>
          <t>-</t>
        </is>
      </c>
      <c r="F9" s="9" t="inlineStr">
        <is>
          <t>-</t>
        </is>
      </c>
    </row>
    <row r="10">
      <c r="A10" s="8" t="inlineStr">
        <is>
          <t>파티 시너지</t>
        </is>
      </c>
      <c r="B10" s="8" t="inlineStr">
        <is>
          <t>엘프+드워프</t>
        </is>
      </c>
      <c r="C10" s="8" t="inlineStr">
        <is>
          <t>고대의 약속</t>
        </is>
      </c>
      <c r="D10" s="8" t="inlineStr">
        <is>
          <t>제작 +10%, Crit +3%</t>
        </is>
      </c>
      <c r="E10" s="8" t="inlineStr">
        <is>
          <t>-</t>
        </is>
      </c>
      <c r="F10" s="8" t="inlineStr">
        <is>
          <t>-</t>
        </is>
      </c>
    </row>
    <row r="11">
      <c r="A11" s="9" t="inlineStr">
        <is>
          <t>파티 시너지</t>
        </is>
      </c>
      <c r="B11" s="9" t="inlineStr">
        <is>
          <t>악마+악마</t>
        </is>
      </c>
      <c r="C11" s="9" t="inlineStr">
        <is>
          <t>어둠의 결속</t>
        </is>
      </c>
      <c r="D11" s="9" t="inlineStr">
        <is>
          <t>ATK +10, 흡혈 +3%</t>
        </is>
      </c>
      <c r="E11" s="9" t="inlineStr">
        <is>
          <t>-</t>
        </is>
      </c>
      <c r="F11" s="9" t="inlineStr">
        <is>
          <t>-</t>
        </is>
      </c>
    </row>
    <row r="12">
      <c r="A12" s="8" t="inlineStr">
        <is>
          <t>파티 시너지</t>
        </is>
      </c>
      <c r="B12" s="8" t="inlineStr">
        <is>
          <t>4종족 전부</t>
        </is>
      </c>
      <c r="C12" s="8" t="inlineStr">
        <is>
          <t>종족 대연합</t>
        </is>
      </c>
      <c r="D12" s="8" t="inlineStr">
        <is>
          <t>전체 스탯 +8, EXP +15%</t>
        </is>
      </c>
      <c r="E12" s="8" t="inlineStr">
        <is>
          <t>-</t>
        </is>
      </c>
      <c r="F12" s="8" t="inlineStr">
        <is>
          <t>최고 시너지</t>
        </is>
      </c>
    </row>
    <row r="13">
      <c r="A13" s="9" t="inlineStr">
        <is>
          <t>종족 칭호</t>
        </is>
      </c>
      <c r="B13" s="9" t="inlineStr">
        <is>
          <t>인간 Lv.30</t>
        </is>
      </c>
      <c r="C13" s="9" t="inlineStr">
        <is>
          <t>인류의 희망</t>
        </is>
      </c>
      <c r="D13" s="9" t="inlineStr">
        <is>
          <t>EXP +5%</t>
        </is>
      </c>
      <c r="E13" s="9" t="inlineStr">
        <is>
          <t>-</t>
        </is>
      </c>
      <c r="F13" s="9" t="inlineStr">
        <is>
          <t>-</t>
        </is>
      </c>
    </row>
    <row r="14">
      <c r="A14" s="8" t="inlineStr">
        <is>
          <t>종족 칭호</t>
        </is>
      </c>
      <c r="B14" s="8" t="inlineStr">
        <is>
          <t>엘프 Lv.30</t>
        </is>
      </c>
      <c r="C14" s="8" t="inlineStr">
        <is>
          <t>숲의 수호자</t>
        </is>
      </c>
      <c r="D14" s="8" t="inlineStr">
        <is>
          <t>Dodge +3%</t>
        </is>
      </c>
      <c r="E14" s="8" t="inlineStr">
        <is>
          <t>-</t>
        </is>
      </c>
      <c r="F14" s="8" t="inlineStr">
        <is>
          <t>-</t>
        </is>
      </c>
    </row>
    <row r="15">
      <c r="A15" s="9" t="inlineStr">
        <is>
          <t>종족 칭호</t>
        </is>
      </c>
      <c r="B15" s="9" t="inlineStr">
        <is>
          <t>드워프 Lv.30</t>
        </is>
      </c>
      <c r="C15" s="9" t="inlineStr">
        <is>
          <t>대장장이의 후예</t>
        </is>
      </c>
      <c r="D15" s="9" t="inlineStr">
        <is>
          <t>제작 +10%</t>
        </is>
      </c>
      <c r="E15" s="9" t="inlineStr">
        <is>
          <t>-</t>
        </is>
      </c>
      <c r="F15" s="9" t="inlineStr">
        <is>
          <t>-</t>
        </is>
      </c>
    </row>
    <row r="16">
      <c r="A16" s="8" t="inlineStr">
        <is>
          <t>종족 칭호</t>
        </is>
      </c>
      <c r="B16" s="8" t="inlineStr">
        <is>
          <t>악마 Lv.30</t>
        </is>
      </c>
      <c r="C16" s="8" t="inlineStr">
        <is>
          <t>심연의 아이</t>
        </is>
      </c>
      <c r="D16" s="8" t="inlineStr">
        <is>
          <t>흡혈 +3%</t>
        </is>
      </c>
      <c r="E16" s="8" t="inlineStr">
        <is>
          <t>-</t>
        </is>
      </c>
      <c r="F16" s="8" t="inlineStr">
        <is>
          <t>-</t>
        </is>
      </c>
    </row>
    <row r="17">
      <c r="A17" s="9" t="inlineStr">
        <is>
          <t>변경</t>
        </is>
      </c>
      <c r="B17" s="9" t="inlineStr">
        <is>
          <t>환생 시</t>
        </is>
      </c>
      <c r="C17" s="9" t="inlineStr">
        <is>
          <t>종족 변경 가능</t>
        </is>
      </c>
      <c r="D17" s="9" t="inlineStr">
        <is>
          <t>-</t>
        </is>
      </c>
      <c r="E17" s="9" t="inlineStr">
        <is>
          <t>-</t>
        </is>
      </c>
      <c r="F17" s="9" t="inlineStr">
        <is>
          <t>첫 선택 이후 환생으로만 변경</t>
        </is>
      </c>
    </row>
  </sheetData>
  <mergeCells count="1">
    <mergeCell ref="A1:F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8" customWidth="1" min="1" max="1"/>
    <col width="22" customWidth="1" min="2" max="2"/>
    <col width="26" customWidth="1" min="3" max="3"/>
    <col width="10" customWidth="1" min="4" max="4"/>
    <col width="40" customWidth="1" min="5" max="5"/>
    <col width="14" customWidth="1" min="6" max="6"/>
  </cols>
  <sheetData>
    <row r="1">
      <c r="A1" s="6" t="inlineStr">
        <is>
          <t>유물 조합 시스템 (v2.25)</t>
        </is>
      </c>
    </row>
    <row r="3">
      <c r="A3" s="7" t="inlineStr">
        <is>
          <t>계열</t>
        </is>
      </c>
      <c r="B3" s="7" t="inlineStr">
        <is>
          <t>이름</t>
        </is>
      </c>
      <c r="C3" s="7" t="inlineStr">
        <is>
          <t>재료 (유물 3개)</t>
        </is>
      </c>
      <c r="D3" s="7" t="inlineStr">
        <is>
          <t>등급</t>
        </is>
      </c>
      <c r="E3" s="7" t="inlineStr">
        <is>
          <t>효과</t>
        </is>
      </c>
      <c r="F3" s="7" t="inlineStr">
        <is>
          <t>비고</t>
        </is>
      </c>
    </row>
    <row r="4">
      <c r="A4" s="8" t="inlineStr">
        <is>
          <t>공격</t>
        </is>
      </c>
      <c r="B4" s="8" t="inlineStr">
        <is>
          <t>⚔️🔥 인페르노 블레이드</t>
        </is>
      </c>
      <c r="C4" s="8" t="inlineStr">
        <is>
          <t>혼돈칼날+화염핵+악마뿔</t>
        </is>
      </c>
      <c r="D4" s="8" t="inlineStr">
        <is>
          <t>legendary</t>
        </is>
      </c>
      <c r="E4" s="8" t="inlineStr">
        <is>
          <t>ATK+35, 크리뎀+30%, 10% 화염폭발</t>
        </is>
      </c>
      <c r="F4" s="8" t="inlineStr">
        <is>
          <t>화염+혼돈 시너지</t>
        </is>
      </c>
    </row>
    <row r="5">
      <c r="A5" s="9" t="inlineStr">
        <is>
          <t>공격</t>
        </is>
      </c>
      <c r="B5" s="9" t="inlineStr">
        <is>
          <t>⚡⚔️ 폭풍의 파괴자</t>
        </is>
      </c>
      <c r="C5" s="9" t="inlineStr">
        <is>
          <t>번개송곳니+바람부츠+혼돈칼날</t>
        </is>
      </c>
      <c r="D5" s="9" t="inlineStr">
        <is>
          <t>legendary</t>
        </is>
      </c>
      <c r="E5" s="9" t="inlineStr">
        <is>
          <t>ATK+25, SPD+5, Crit+10%, 15% 연쇄번개</t>
        </is>
      </c>
      <c r="F5" s="9" t="inlineStr">
        <is>
          <t>번개+바람</t>
        </is>
      </c>
    </row>
    <row r="6">
      <c r="A6" s="8" t="inlineStr">
        <is>
          <t>공격</t>
        </is>
      </c>
      <c r="B6" s="8" t="inlineStr">
        <is>
          <t>🕳️⚔️ 공허의 포식자</t>
        </is>
      </c>
      <c r="C6" s="8" t="inlineStr">
        <is>
          <t>공허파편+공허수정+악마뿔</t>
        </is>
      </c>
      <c r="D6" s="8" t="inlineStr">
        <is>
          <t>mythic</t>
        </is>
      </c>
      <c r="E6" s="8" t="inlineStr">
        <is>
          <t>ATK+50, 흡혈12%, 처치 시 HP 15% 회복</t>
        </is>
      </c>
      <c r="F6" s="8" t="inlineStr">
        <is>
          <t>최강 공격</t>
        </is>
      </c>
    </row>
    <row r="7">
      <c r="A7" s="9" t="inlineStr">
        <is>
          <t>방어</t>
        </is>
      </c>
      <c r="B7" s="9" t="inlineStr">
        <is>
          <t>🛡️✨ 영원의 요새</t>
        </is>
      </c>
      <c r="C7" s="9" t="inlineStr">
        <is>
          <t>영원방패+대지뿌리+서리눈물</t>
        </is>
      </c>
      <c r="D7" s="9" t="inlineStr">
        <is>
          <t>legendary</t>
        </is>
      </c>
      <c r="E7" s="9" t="inlineStr">
        <is>
          <t>DEF+40, HP+300, 피감8%, HP30%↓ 무적5초</t>
        </is>
      </c>
      <c r="F7" s="9" t="inlineStr">
        <is>
          <t>최강 방어</t>
        </is>
      </c>
    </row>
    <row r="8">
      <c r="A8" s="8" t="inlineStr">
        <is>
          <t>방어</t>
        </is>
      </c>
      <c r="B8" s="8" t="inlineStr">
        <is>
          <t>👼🛡️ 성스러운 수호자</t>
        </is>
      </c>
      <c r="C8" s="8" t="inlineStr">
        <is>
          <t>성수+천상깃털+영원방패</t>
        </is>
      </c>
      <c r="D8" s="8" t="inlineStr">
        <is>
          <t>legendary</t>
        </is>
      </c>
      <c r="E8" s="8" t="inlineStr">
        <is>
          <t>DEF+30, 힐+25%, 파티DEF+10, 사망 시 부활1회</t>
        </is>
      </c>
      <c r="F8" s="8" t="inlineStr">
        <is>
          <t>서포터</t>
        </is>
      </c>
    </row>
    <row r="9">
      <c r="A9" s="9" t="inlineStr">
        <is>
          <t>유틸</t>
        </is>
      </c>
      <c r="B9" s="9" t="inlineStr">
        <is>
          <t>👑📖 지혜의 왕관</t>
        </is>
      </c>
      <c r="C9" s="9" t="inlineStr">
        <is>
          <t>왕관+고대두루마리+진실의눈</t>
        </is>
      </c>
      <c r="D9" s="9" t="inlineStr">
        <is>
          <t>legendary</t>
        </is>
      </c>
      <c r="E9" s="9" t="inlineStr">
        <is>
          <t>EXP+30%, 골드+20%, 스킬CD-15%</t>
        </is>
      </c>
      <c r="F9" s="9" t="inlineStr">
        <is>
          <t>성장 특화</t>
        </is>
      </c>
    </row>
    <row r="10">
      <c r="A10" s="8" t="inlineStr">
        <is>
          <t>유틸</t>
        </is>
      </c>
      <c r="B10" s="8" t="inlineStr">
        <is>
          <t>🌑💃 그림자 무용수</t>
        </is>
      </c>
      <c r="C10" s="8" t="inlineStr">
        <is>
          <t>그림자진주+바람부츠+진실의눈</t>
        </is>
      </c>
      <c r="D10" s="8" t="inlineStr">
        <is>
          <t>legendary</t>
        </is>
      </c>
      <c r="E10" s="8" t="inlineStr">
        <is>
          <t>Dodge+18%, SPD+8, Crit+8%, 회피 시 투명</t>
        </is>
      </c>
      <c r="F10" s="8" t="inlineStr">
        <is>
          <t>회피 특화</t>
        </is>
      </c>
    </row>
    <row r="11">
      <c r="A11" s="9" t="inlineStr">
        <is>
          <t>원소</t>
        </is>
      </c>
      <c r="B11" s="9" t="inlineStr">
        <is>
          <t>🔥🐦 불사조의 환생</t>
        </is>
      </c>
      <c r="C11" s="9" t="inlineStr">
        <is>
          <t>불사조깃털+화염핵+성수</t>
        </is>
      </c>
      <c r="D11" s="9" t="inlineStr">
        <is>
          <t>mythic</t>
        </is>
      </c>
      <c r="E11" s="9" t="inlineStr">
        <is>
          <t>FireATK+40, Fire면역50%, 자동부활, 부활 시 폭발</t>
        </is>
      </c>
      <c r="F11" s="9" t="inlineStr">
        <is>
          <t>불사</t>
        </is>
      </c>
    </row>
    <row r="12">
      <c r="A12" s="8" t="inlineStr">
        <is>
          <t>원소</t>
        </is>
      </c>
      <c r="B12" s="8" t="inlineStr">
        <is>
          <t>❄️👑 서리 황제</t>
        </is>
      </c>
      <c r="C12" s="8" t="inlineStr">
        <is>
          <t>서리눈물+왕관+대지뿌리</t>
        </is>
      </c>
      <c r="D12" s="8" t="inlineStr">
        <is>
          <t>legendary</t>
        </is>
      </c>
      <c r="E12" s="8" t="inlineStr">
        <is>
          <t>DEF+25, HP+200, 8% 빙결, 주변 속도-20%</t>
        </is>
      </c>
      <c r="F12" s="8" t="inlineStr">
        <is>
          <t>빙결 컨트롤</t>
        </is>
      </c>
    </row>
    <row r="13">
      <c r="A13" s="9" t="inlineStr">
        <is>
          <t>히든</t>
        </is>
      </c>
      <c r="B13" s="9" t="inlineStr">
        <is>
          <t>🌟💎 태초신의 유물</t>
        </is>
      </c>
      <c r="C13" s="9" t="inlineStr">
        <is>
          <t>태초구슬+운명별+천상깃털</t>
        </is>
      </c>
      <c r="D13" s="9" t="inlineStr">
        <is>
          <t>mythic</t>
        </is>
      </c>
      <c r="E13" s="9" t="inlineStr">
        <is>
          <t>전체+20, EXP+50%, 골드+50%, 드롭+30%, 황금오라</t>
        </is>
      </c>
      <c r="F13" s="9" t="inlineStr">
        <is>
          <t>??? 히든</t>
        </is>
      </c>
    </row>
    <row r="14">
      <c r="A14" s="8" t="inlineStr">
        <is>
          <t>히든</t>
        </is>
      </c>
      <c r="B14" s="8" t="inlineStr">
        <is>
          <t>💀🔮 심연의 지배자</t>
        </is>
      </c>
      <c r="C14" s="8" t="inlineStr">
        <is>
          <t>공허파편+악마뿔+그림자진주</t>
        </is>
      </c>
      <c r="D14" s="8" t="inlineStr">
        <is>
          <t>mythic</t>
        </is>
      </c>
      <c r="E14" s="8" t="inlineStr">
        <is>
          <t>ATK+45, 흡혈15%, Dark+40%, 처치 시 ATK+30%</t>
        </is>
      </c>
      <c r="F14" s="8" t="inlineStr">
        <is>
          <t>??? 히든</t>
        </is>
      </c>
    </row>
    <row r="15">
      <c r="A15" s="9" t="inlineStr">
        <is>
          <t>설정</t>
        </is>
      </c>
      <c r="B15" s="9" t="inlineStr">
        <is>
          <t>최대 장착</t>
        </is>
      </c>
      <c r="C15" s="9" t="inlineStr">
        <is>
          <t>2개</t>
        </is>
      </c>
      <c r="D15" s="9" t="inlineStr">
        <is>
          <t>동시 장착 가능</t>
        </is>
      </c>
      <c r="E15" s="9" t="inlineStr">
        <is>
          <t>-</t>
        </is>
      </c>
      <c r="F15" s="9" t="inlineStr">
        <is>
          <t>인벤토리에 보관</t>
        </is>
      </c>
    </row>
    <row r="16">
      <c r="A16" s="8" t="inlineStr">
        <is>
          <t>설정</t>
        </is>
      </c>
      <c r="B16" s="8" t="inlineStr">
        <is>
          <t>유물 풀</t>
        </is>
      </c>
      <c r="C16" s="8" t="inlineStr">
        <is>
          <t>20종</t>
        </is>
      </c>
      <c r="D16" s="8" t="inlineStr">
        <is>
          <t>기존10 + 신규10</t>
        </is>
      </c>
      <c r="E16" s="8" t="inlineStr">
        <is>
          <t>rare~mythic</t>
        </is>
      </c>
      <c r="F16" s="8" t="inlineStr">
        <is>
          <t>조합 재료</t>
        </is>
      </c>
    </row>
    <row r="17">
      <c r="A17" s="9" t="inlineStr">
        <is>
          <t>설정</t>
        </is>
      </c>
      <c r="B17" s="9" t="inlineStr">
        <is>
          <t>레시피</t>
        </is>
      </c>
      <c r="C17" s="9" t="inlineStr">
        <is>
          <t>11종</t>
        </is>
      </c>
      <c r="D17" s="9" t="inlineStr">
        <is>
          <t>공개9 + 히든2</t>
        </is>
      </c>
      <c r="E17" s="9" t="inlineStr">
        <is>
          <t>발견 시 레시피북 등록</t>
        </is>
      </c>
      <c r="F17" s="9" t="inlineStr">
        <is>
          <t>히든은 직접 실험</t>
        </is>
      </c>
    </row>
  </sheetData>
  <mergeCells count="1">
    <mergeCell ref="A1:F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8" customWidth="1" min="1" max="1"/>
    <col width="22" customWidth="1" min="2" max="2"/>
    <col width="26" customWidth="1" min="3" max="3"/>
    <col width="10" customWidth="1" min="4" max="4"/>
    <col width="36" customWidth="1" min="5" max="5"/>
    <col width="14" customWidth="1" min="6" max="6"/>
  </cols>
  <sheetData>
    <row r="1">
      <c r="A1" s="6" t="inlineStr">
        <is>
          <t>스킬 웨이브 시스템 (v2.26)</t>
        </is>
      </c>
    </row>
    <row r="3">
      <c r="A3" s="7" t="inlineStr">
        <is>
          <t>계열</t>
        </is>
      </c>
      <c r="B3" s="7" t="inlineStr">
        <is>
          <t>이름</t>
        </is>
      </c>
      <c r="C3" s="7" t="inlineStr">
        <is>
          <t>조합 (순서대로)</t>
        </is>
      </c>
      <c r="D3" s="7" t="inlineStr">
        <is>
          <t>등급</t>
        </is>
      </c>
      <c r="E3" s="7" t="inlineStr">
        <is>
          <t>효과</t>
        </is>
      </c>
      <c r="F3" s="7" t="inlineStr">
        <is>
          <t>비고</t>
        </is>
      </c>
    </row>
    <row r="4">
      <c r="A4" s="8" t="inlineStr">
        <is>
          <t>공격</t>
        </is>
      </c>
      <c r="B4" s="8" t="inlineStr">
        <is>
          <t>🔥🌪️ 인페르노 스톰</t>
        </is>
      </c>
      <c r="C4" s="8" t="inlineStr">
        <is>
          <t>파이어볼→메테오→파이어볼</t>
        </is>
      </c>
      <c r="D4" s="8" t="inlineStr">
        <is>
          <t>epic</t>
        </is>
      </c>
      <c r="E4" s="8" t="inlineStr">
        <is>
          <t>범위8 ATK×3.5 + 화상5초</t>
        </is>
      </c>
      <c r="F4" s="8" t="inlineStr">
        <is>
          <t>CD 60초</t>
        </is>
      </c>
    </row>
    <row r="5">
      <c r="A5" s="9" t="inlineStr">
        <is>
          <t>공격</t>
        </is>
      </c>
      <c r="B5" s="9" t="inlineStr">
        <is>
          <t>🗡️💀 그림자 난무</t>
        </is>
      </c>
      <c r="C5" s="9" t="inlineStr">
        <is>
          <t>쉐도우×3</t>
        </is>
      </c>
      <c r="D5" s="9" t="inlineStr">
        <is>
          <t>epic</t>
        </is>
      </c>
      <c r="E5" s="9" t="inlineStr">
        <is>
          <t>7연타 ATK×0.8 + 전부 크리</t>
        </is>
      </c>
      <c r="F5" s="9" t="inlineStr">
        <is>
          <t>CD 45초</t>
        </is>
      </c>
    </row>
    <row r="6">
      <c r="A6" s="8" t="inlineStr">
        <is>
          <t>공격</t>
        </is>
      </c>
      <c r="B6" s="8" t="inlineStr">
        <is>
          <t>✨⚡ 성스러운 심판</t>
        </is>
      </c>
      <c r="C6" s="8" t="inlineStr">
        <is>
          <t>홀리×2→파워</t>
        </is>
      </c>
      <c r="D6" s="8" t="inlineStr">
        <is>
          <t>epic</t>
        </is>
      </c>
      <c r="E6" s="8" t="inlineStr">
        <is>
          <t>범위10 ATK×2.5 + 힐30%</t>
        </is>
      </c>
      <c r="F6" s="8" t="inlineStr">
        <is>
          <t>CD 75초</t>
        </is>
      </c>
    </row>
    <row r="7">
      <c r="A7" s="9" t="inlineStr">
        <is>
          <t>공격</t>
        </is>
      </c>
      <c r="B7" s="9" t="inlineStr">
        <is>
          <t>😡⚔️ 광전사의 분노</t>
        </is>
      </c>
      <c r="C7" s="9" t="inlineStr">
        <is>
          <t>분노→파워→파워</t>
        </is>
      </c>
      <c r="D7" s="9" t="inlineStr">
        <is>
          <t>rare</t>
        </is>
      </c>
      <c r="E7" s="9" t="inlineStr">
        <is>
          <t>15초 ATK 2배, DEF 절반</t>
        </is>
      </c>
      <c r="F7" s="9" t="inlineStr">
        <is>
          <t>CD 90초</t>
        </is>
      </c>
    </row>
    <row r="8">
      <c r="A8" s="8" t="inlineStr">
        <is>
          <t>방어</t>
        </is>
      </c>
      <c r="B8" s="8" t="inlineStr">
        <is>
          <t>🛡️🏰 철벽 요새</t>
        </is>
      </c>
      <c r="C8" s="8" t="inlineStr">
        <is>
          <t>실드배쉬→대지방패→실드</t>
        </is>
      </c>
      <c r="D8" s="8" t="inlineStr">
        <is>
          <t>epic</t>
        </is>
      </c>
      <c r="E8" s="8" t="inlineStr">
        <is>
          <t>파티 피감60% + 반사20% 10초</t>
        </is>
      </c>
      <c r="F8" s="8" t="inlineStr">
        <is>
          <t>CD 120초</t>
        </is>
      </c>
    </row>
    <row r="9">
      <c r="A9" s="9" t="inlineStr">
        <is>
          <t>방어</t>
        </is>
      </c>
      <c r="B9" s="9" t="inlineStr">
        <is>
          <t>✨🛡️ 신성한 보호막</t>
        </is>
      </c>
      <c r="C9" s="9" t="inlineStr">
        <is>
          <t>홀리→힐→대지방패</t>
        </is>
      </c>
      <c r="D9" s="9" t="inlineStr">
        <is>
          <t>epic</t>
        </is>
      </c>
      <c r="E9" s="9" t="inlineStr">
        <is>
          <t>파티 보호막 + 초당3% 회복 8초</t>
        </is>
      </c>
      <c r="F9" s="9" t="inlineStr">
        <is>
          <t>CD 100초</t>
        </is>
      </c>
    </row>
    <row r="10">
      <c r="A10" s="8" t="inlineStr">
        <is>
          <t>유틸</t>
        </is>
      </c>
      <c r="B10" s="8" t="inlineStr">
        <is>
          <t>💨💨 질풍 질주</t>
        </is>
      </c>
      <c r="C10" s="8" t="inlineStr">
        <is>
          <t>회피×3</t>
        </is>
      </c>
      <c r="D10" s="8" t="inlineStr">
        <is>
          <t>rare</t>
        </is>
      </c>
      <c r="E10" s="8" t="inlineStr">
        <is>
          <t>10초 속도3배 + 회피50% + 2초무적</t>
        </is>
      </c>
      <c r="F10" s="8" t="inlineStr">
        <is>
          <t>CD 60초</t>
        </is>
      </c>
    </row>
    <row r="11">
      <c r="A11" s="9" t="inlineStr">
        <is>
          <t>유틸</t>
        </is>
      </c>
      <c r="B11" s="9" t="inlineStr">
        <is>
          <t>🌿🌸 자연의 기적</t>
        </is>
      </c>
      <c r="C11" s="9" t="inlineStr">
        <is>
          <t>자연축복→힐→자연축복</t>
        </is>
      </c>
      <c r="D11" s="9" t="inlineStr">
        <is>
          <t>epic</t>
        </is>
      </c>
      <c r="E11" s="9" t="inlineStr">
        <is>
          <t>파티 HP50% + 디버프해제 + 20초리젠</t>
        </is>
      </c>
      <c r="F11" s="9" t="inlineStr">
        <is>
          <t>CD 120초</t>
        </is>
      </c>
    </row>
    <row r="12">
      <c r="A12" s="8" t="inlineStr">
        <is>
          <t>연쇄</t>
        </is>
      </c>
      <c r="B12" s="8" t="inlineStr">
        <is>
          <t>🔥🗡️ 혼돈의 연쇄</t>
        </is>
      </c>
      <c r="C12" s="8" t="inlineStr">
        <is>
          <t>파이어볼→쉐도우→메테오</t>
        </is>
      </c>
      <c r="D12" s="8" t="inlineStr">
        <is>
          <t>legendary</t>
        </is>
      </c>
      <c r="E12" s="8" t="inlineStr">
        <is>
          <t>5연쇄 폭발 ATK×2 + 8초 혼란</t>
        </is>
      </c>
      <c r="F12" s="8" t="inlineStr">
        <is>
          <t>CD 90초</t>
        </is>
      </c>
    </row>
    <row r="13">
      <c r="A13" s="9" t="inlineStr">
        <is>
          <t>연쇄</t>
        </is>
      </c>
      <c r="B13" s="9" t="inlineStr">
        <is>
          <t>🔥💧🌪️ 원소 융합</t>
        </is>
      </c>
      <c r="C13" s="9" t="inlineStr">
        <is>
          <t>파이어볼→힐→회피</t>
        </is>
      </c>
      <c r="D13" s="9" t="inlineStr">
        <is>
          <t>legendary</t>
        </is>
      </c>
      <c r="E13" s="9" t="inlineStr">
        <is>
          <t>범위12 ATK×4 + 원소저항무시</t>
        </is>
      </c>
      <c r="F13" s="9" t="inlineStr">
        <is>
          <t>CD 120초</t>
        </is>
      </c>
    </row>
    <row r="14">
      <c r="A14" s="8" t="inlineStr">
        <is>
          <t>히든</t>
        </is>
      </c>
      <c r="B14" s="8" t="inlineStr">
        <is>
          <t>👑😈 마왕의 강림</t>
        </is>
      </c>
      <c r="C14" s="8" t="inlineStr">
        <is>
          <t>악마계약→쉐도우→분노</t>
        </is>
      </c>
      <c r="D14" s="8" t="inlineStr">
        <is>
          <t>mythic</t>
        </is>
      </c>
      <c r="E14" s="8" t="inlineStr">
        <is>
          <t>20초 마왕 변신! ATK3배+흡혈25%+DPS오라</t>
        </is>
      </c>
      <c r="F14" s="8" t="inlineStr">
        <is>
          <t>CD 180초 (???)</t>
        </is>
      </c>
    </row>
    <row r="15">
      <c r="A15" s="9" t="inlineStr">
        <is>
          <t>히든</t>
        </is>
      </c>
      <c r="B15" s="9" t="inlineStr">
        <is>
          <t>⚔️🌟 신살자</t>
        </is>
      </c>
      <c r="C15" s="9" t="inlineStr">
        <is>
          <t>인간의지→파워→메테오</t>
        </is>
      </c>
      <c r="D15" s="9" t="inlineStr">
        <is>
          <t>mythic</t>
        </is>
      </c>
      <c r="E15" s="9" t="inlineStr">
        <is>
          <t>방어무시 ATK×10 + HP30%↓ 즉사</t>
        </is>
      </c>
      <c r="F15" s="9" t="inlineStr">
        <is>
          <t>CD 300초 (???)</t>
        </is>
      </c>
    </row>
    <row r="16">
      <c r="A16" s="8" t="inlineStr">
        <is>
          <t>시스템</t>
        </is>
      </c>
      <c r="B16" s="8" t="inlineStr">
        <is>
          <t>스킬 기록</t>
        </is>
      </c>
      <c r="C16" s="8" t="inlineStr">
        <is>
          <t>최근 3개</t>
        </is>
      </c>
      <c r="D16" s="8" t="inlineStr">
        <is>
          <t>순서 중요</t>
        </is>
      </c>
      <c r="E16" s="8" t="inlineStr">
        <is>
          <t>매칭 시 자동 발동</t>
        </is>
      </c>
      <c r="F16" s="8" t="inlineStr">
        <is>
          <t>연쇄 카운터</t>
        </is>
      </c>
    </row>
    <row r="17">
      <c r="A17" s="9" t="inlineStr">
        <is>
          <t>시스템</t>
        </is>
      </c>
      <c r="B17" s="9" t="inlineStr">
        <is>
          <t>연쇄 보너스</t>
        </is>
      </c>
      <c r="C17" s="9" t="inlineStr">
        <is>
          <t>3연쇄+</t>
        </is>
      </c>
      <c r="D17" s="9" t="inlineStr">
        <is>
          <t>서버 공지</t>
        </is>
      </c>
      <c r="E17" s="9" t="inlineStr">
        <is>
          <t>연속 웨이브 성공 추적</t>
        </is>
      </c>
      <c r="F17" s="9" t="inlineStr">
        <is>
          <t>리셋: 실패 시</t>
        </is>
      </c>
    </row>
  </sheetData>
  <mergeCells count="1">
    <mergeCell ref="A1:F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0" customWidth="1" min="1" max="1"/>
    <col width="16" customWidth="1" min="2" max="2"/>
    <col width="22" customWidth="1" min="3" max="3"/>
    <col width="16" customWidth="1" min="4" max="4"/>
    <col width="14" customWidth="1" min="5" max="5"/>
    <col width="14" customWidth="1" min="6" max="6"/>
  </cols>
  <sheetData>
    <row r="1">
      <c r="A1" s="6" t="inlineStr">
        <is>
          <t>도전 과제 100개 (v2.27)</t>
        </is>
      </c>
    </row>
    <row r="3">
      <c r="A3" s="7" t="inlineStr">
        <is>
          <t>카테고리</t>
        </is>
      </c>
      <c r="B3" s="7" t="inlineStr">
        <is>
          <t>이름</t>
        </is>
      </c>
      <c r="C3" s="7" t="inlineStr">
        <is>
          <t>목표 (5단계)</t>
        </is>
      </c>
      <c r="D3" s="7" t="inlineStr">
        <is>
          <t>보상</t>
        </is>
      </c>
      <c r="E3" s="7" t="inlineStr">
        <is>
          <t>비고</t>
        </is>
      </c>
      <c r="F3" s="7" t="inlineStr">
        <is>
          <t>배율</t>
        </is>
      </c>
    </row>
    <row r="4">
      <c r="A4" s="8" t="inlineStr">
        <is>
          <t>전투(20)</t>
        </is>
      </c>
      <c r="B4" s="8" t="inlineStr">
        <is>
          <t>몬스터 처치</t>
        </is>
      </c>
      <c r="C4" s="8" t="inlineStr">
        <is>
          <t>1/10/100/500/2000</t>
        </is>
      </c>
      <c r="D4" s="8" t="inlineStr">
        <is>
          <t>골드+EXP</t>
        </is>
      </c>
      <c r="E4" s="8" t="inlineStr">
        <is>
          <t>5단계 (브/실/골/플/다)</t>
        </is>
      </c>
      <c r="F4" s="8" t="inlineStr">
        <is>
          <t>보상 1x~5x 배율</t>
        </is>
      </c>
    </row>
    <row r="5">
      <c r="A5" s="9" t="inlineStr">
        <is>
          <t>전투</t>
        </is>
      </c>
      <c r="B5" s="9" t="inlineStr">
        <is>
          <t>엘리트 처치</t>
        </is>
      </c>
      <c r="C5" s="9" t="inlineStr">
        <is>
          <t>1/5/20/50/200</t>
        </is>
      </c>
      <c r="D5" s="9" t="inlineStr">
        <is>
          <t>골드+다이아</t>
        </is>
      </c>
      <c r="E5" s="9" t="inlineStr"/>
      <c r="F5" s="9" t="inlineStr"/>
    </row>
    <row r="6">
      <c r="A6" s="8" t="inlineStr">
        <is>
          <t>전투</t>
        </is>
      </c>
      <c r="B6" s="8" t="inlineStr">
        <is>
          <t>보스 슬레이어</t>
        </is>
      </c>
      <c r="C6" s="8" t="inlineStr">
        <is>
          <t>1/3/10/25/50</t>
        </is>
      </c>
      <c r="D6" s="8" t="inlineStr">
        <is>
          <t>골드+다이아</t>
        </is>
      </c>
      <c r="E6" s="8" t="inlineStr"/>
      <c r="F6" s="8" t="inlineStr"/>
    </row>
    <row r="7">
      <c r="A7" s="9" t="inlineStr">
        <is>
          <t>전투</t>
        </is>
      </c>
      <c r="B7" s="9" t="inlineStr">
        <is>
          <t>월드 보스 MVP</t>
        </is>
      </c>
      <c r="C7" s="9" t="inlineStr">
        <is>
          <t>1/3/5/10/20</t>
        </is>
      </c>
      <c r="D7" s="9" t="inlineStr">
        <is>
          <t>골드+다이아</t>
        </is>
      </c>
      <c r="E7" s="9" t="inlineStr">
        <is>
          <t>최고난도</t>
        </is>
      </c>
      <c r="F7" s="9" t="inlineStr"/>
    </row>
    <row r="8">
      <c r="A8" s="8" t="inlineStr">
        <is>
          <t>전투</t>
        </is>
      </c>
      <c r="B8" s="8" t="inlineStr">
        <is>
          <t>스킬 웨이브</t>
        </is>
      </c>
      <c r="C8" s="8" t="inlineStr">
        <is>
          <t>1/10/30/50/100</t>
        </is>
      </c>
      <c r="D8" s="8" t="inlineStr">
        <is>
          <t>골드+EXP</t>
        </is>
      </c>
      <c r="E8" s="8" t="inlineStr"/>
      <c r="F8" s="8" t="inlineStr"/>
    </row>
    <row r="9">
      <c r="A9" s="9" t="inlineStr">
        <is>
          <t>성장(20)</t>
        </is>
      </c>
      <c r="B9" s="9" t="inlineStr">
        <is>
          <t>레벨 달성</t>
        </is>
      </c>
      <c r="C9" s="9" t="inlineStr">
        <is>
          <t>10/20/30/40/50</t>
        </is>
      </c>
      <c r="D9" s="9" t="inlineStr">
        <is>
          <t>골드+EXP</t>
        </is>
      </c>
      <c r="E9" s="9" t="inlineStr"/>
      <c r="F9" s="9" t="inlineStr"/>
    </row>
    <row r="10">
      <c r="A10" s="8" t="inlineStr">
        <is>
          <t>성장</t>
        </is>
      </c>
      <c r="B10" s="8" t="inlineStr">
        <is>
          <t>환생</t>
        </is>
      </c>
      <c r="C10" s="8" t="inlineStr">
        <is>
          <t>1/2/3/5/10</t>
        </is>
      </c>
      <c r="D10" s="8" t="inlineStr">
        <is>
          <t>다이아</t>
        </is>
      </c>
      <c r="E10" s="8" t="inlineStr"/>
      <c r="F10" s="8" t="inlineStr"/>
    </row>
    <row r="11">
      <c r="A11" s="9" t="inlineStr">
        <is>
          <t>성장</t>
        </is>
      </c>
      <c r="B11" s="9" t="inlineStr">
        <is>
          <t>유물 조합</t>
        </is>
      </c>
      <c r="C11" s="9" t="inlineStr">
        <is>
          <t>1/3/5/8/11</t>
        </is>
      </c>
      <c r="D11" s="9" t="inlineStr">
        <is>
          <t>골드+다이아</t>
        </is>
      </c>
      <c r="E11" s="9" t="inlineStr"/>
      <c r="F11" s="9" t="inlineStr"/>
    </row>
    <row r="12">
      <c r="A12" s="8" t="inlineStr">
        <is>
          <t>성장</t>
        </is>
      </c>
      <c r="B12" s="8" t="inlineStr">
        <is>
          <t>별자리 관측</t>
        </is>
      </c>
      <c r="C12" s="8" t="inlineStr">
        <is>
          <t>1/4/8/12/12</t>
        </is>
      </c>
      <c r="D12" s="8" t="inlineStr">
        <is>
          <t>골드+다이아</t>
        </is>
      </c>
      <c r="E12" s="8" t="inlineStr"/>
      <c r="F12" s="8" t="inlineStr"/>
    </row>
    <row r="13">
      <c r="A13" s="9" t="inlineStr">
        <is>
          <t>경제(10)</t>
        </is>
      </c>
      <c r="B13" s="9" t="inlineStr">
        <is>
          <t>골드 누적</t>
        </is>
      </c>
      <c r="C13" s="9" t="inlineStr">
        <is>
          <t>10K/100K/500K/1M/5M</t>
        </is>
      </c>
      <c r="D13" s="9" t="inlineStr">
        <is>
          <t>골드</t>
        </is>
      </c>
      <c r="E13" s="9" t="inlineStr"/>
      <c r="F13" s="9" t="inlineStr"/>
    </row>
    <row r="14">
      <c r="A14" s="8" t="inlineStr">
        <is>
          <t>경제</t>
        </is>
      </c>
      <c r="B14" s="8" t="inlineStr">
        <is>
          <t>전설 낚시</t>
        </is>
      </c>
      <c r="C14" s="8" t="inlineStr">
        <is>
          <t>1/2/3/5/10</t>
        </is>
      </c>
      <c r="D14" s="8" t="inlineStr">
        <is>
          <t>골드+다이아</t>
        </is>
      </c>
      <c r="E14" s="8" t="inlineStr">
        <is>
          <t>희귀</t>
        </is>
      </c>
      <c r="F14" s="8" t="inlineStr"/>
    </row>
    <row r="15">
      <c r="A15" s="9" t="inlineStr">
        <is>
          <t>소셜(10)</t>
        </is>
      </c>
      <c r="B15" s="9" t="inlineStr">
        <is>
          <t>혈맹 활동</t>
        </is>
      </c>
      <c r="C15" s="9" t="inlineStr">
        <is>
          <t>가입</t>
        </is>
      </c>
      <c r="D15" s="9" t="inlineStr">
        <is>
          <t>골드</t>
        </is>
      </c>
      <c r="E15" s="9" t="inlineStr"/>
      <c r="F15" s="9" t="inlineStr"/>
    </row>
    <row r="16">
      <c r="A16" s="8" t="inlineStr">
        <is>
          <t>소셜</t>
        </is>
      </c>
      <c r="B16" s="8" t="inlineStr">
        <is>
          <t>PvP 매칭</t>
        </is>
      </c>
      <c r="C16" s="8" t="inlineStr">
        <is>
          <t>1/10/30/50/100</t>
        </is>
      </c>
      <c r="D16" s="8" t="inlineStr">
        <is>
          <t>골드+다이아</t>
        </is>
      </c>
      <c r="E16" s="8" t="inlineStr"/>
      <c r="F16" s="8" t="inlineStr"/>
    </row>
    <row r="17">
      <c r="A17" s="9" t="inlineStr">
        <is>
          <t>생존(5)</t>
        </is>
      </c>
      <c r="B17" s="9" t="inlineStr">
        <is>
          <t>화산 생존</t>
        </is>
      </c>
      <c r="C17" s="9" t="inlineStr">
        <is>
          <t>60/180/300/600/1200초</t>
        </is>
      </c>
      <c r="D17" s="9" t="inlineStr">
        <is>
          <t>골드+다이아</t>
        </is>
      </c>
      <c r="E17" s="9" t="inlineStr"/>
      <c r="F17" s="9" t="inlineStr"/>
    </row>
    <row r="18">
      <c r="A18" s="8" t="inlineStr">
        <is>
          <t>수집(10)</t>
        </is>
      </c>
      <c r="B18" s="8" t="inlineStr">
        <is>
          <t>히든 발견</t>
        </is>
      </c>
      <c r="C18" s="8" t="inlineStr">
        <is>
          <t>1/3/5/8/12</t>
        </is>
      </c>
      <c r="D18" s="8" t="inlineStr">
        <is>
          <t>골드+다이아</t>
        </is>
      </c>
      <c r="E18" s="8" t="inlineStr"/>
      <c r="F18" s="8" t="inlineStr"/>
    </row>
    <row r="19">
      <c r="A19" s="9" t="inlineStr">
        <is>
          <t>마스터(10)</t>
        </is>
      </c>
      <c r="B19" s="9" t="inlineStr">
        <is>
          <t>만렙 달성</t>
        </is>
      </c>
      <c r="C19" s="9" t="inlineStr">
        <is>
          <t>50</t>
        </is>
      </c>
      <c r="D19" s="9" t="inlineStr">
        <is>
          <t>다이아 200</t>
        </is>
      </c>
      <c r="E19" s="9" t="inlineStr"/>
      <c r="F19" s="9" t="inlineStr"/>
    </row>
    <row r="20">
      <c r="A20" s="8" t="inlineStr">
        <is>
          <t>마스터</t>
        </is>
      </c>
      <c r="B20" s="8" t="inlineStr">
        <is>
          <t>그랜드마스터</t>
        </is>
      </c>
      <c r="C20" s="8" t="inlineStr">
        <is>
          <t>ELO 2500</t>
        </is>
      </c>
      <c r="D20" s="8" t="inlineStr">
        <is>
          <t>다이아 500</t>
        </is>
      </c>
      <c r="E20" s="8" t="inlineStr">
        <is>
          <t>최상위</t>
        </is>
      </c>
      <c r="F20" s="8" t="inlineStr"/>
    </row>
    <row r="21">
      <c r="A21" s="9" t="inlineStr">
        <is>
          <t>특수(15)</t>
        </is>
      </c>
      <c r="B21" s="9" t="inlineStr">
        <is>
          <t>도박 20연승</t>
        </is>
      </c>
      <c r="C21" s="9" t="inlineStr">
        <is>
          <t>주사위</t>
        </is>
      </c>
      <c r="D21" s="9" t="inlineStr">
        <is>
          <t>10K G + 100D</t>
        </is>
      </c>
      <c r="E21" s="9" t="inlineStr">
        <is>
          <t>특수 조건</t>
        </is>
      </c>
      <c r="F21" s="9" t="inlineStr"/>
    </row>
    <row r="22">
      <c r="A22" s="8" t="inlineStr">
        <is>
          <t>특수</t>
        </is>
      </c>
      <c r="B22" s="8" t="inlineStr">
        <is>
          <t>신화 낚시</t>
        </is>
      </c>
      <c r="C22" s="8" t="inlineStr">
        <is>
          <t>크라켄</t>
        </is>
      </c>
      <c r="D22" s="8" t="inlineStr">
        <is>
          <t>20K G + 200D</t>
        </is>
      </c>
      <c r="E22" s="8" t="inlineStr"/>
      <c r="F22" s="8" t="inlineStr"/>
    </row>
    <row r="23">
      <c r="A23" s="9" t="inlineStr">
        <is>
          <t>특수</t>
        </is>
      </c>
      <c r="B23" s="9" t="inlineStr">
        <is>
          <t>#100 완벽한 전설</t>
        </is>
      </c>
      <c r="C23" s="9" t="inlineStr">
        <is>
          <t>100개 전부 다이아</t>
        </is>
      </c>
      <c r="D23" s="9" t="inlineStr">
        <is>
          <t>2000D + 무지개 오라</t>
        </is>
      </c>
      <c r="E23" s="9" t="inlineStr">
        <is>
          <t>최종</t>
        </is>
      </c>
      <c r="F23" s="9" t="inlineStr"/>
    </row>
    <row r="24">
      <c r="A24" s="8" t="inlineStr">
        <is>
          <t>프로필</t>
        </is>
      </c>
      <c r="B24" s="8" t="inlineStr">
        <is>
          <t>프레임 5종</t>
        </is>
      </c>
      <c r="C24" s="8" t="inlineStr">
        <is>
          <t>10/25/50/75/100개</t>
        </is>
      </c>
      <c r="D24" s="8" t="inlineStr">
        <is>
          <t>브~레인보우</t>
        </is>
      </c>
      <c r="E24" s="8" t="inlineStr">
        <is>
          <t>장식</t>
        </is>
      </c>
      <c r="F24" s="8" t="inlineStr"/>
    </row>
    <row r="25">
      <c r="A25" s="9" t="inlineStr">
        <is>
          <t>프로필</t>
        </is>
      </c>
      <c r="B25" s="9" t="inlineStr">
        <is>
          <t>오라 3종</t>
        </is>
      </c>
      <c r="C25" s="9" t="inlineStr">
        <is>
          <t>30(전투)/30(수집)/100(전체)</t>
        </is>
      </c>
      <c r="D25" s="9" t="inlineStr">
        <is>
          <t>화염/빙결/무지개</t>
        </is>
      </c>
      <c r="E25" s="9" t="inlineStr">
        <is>
          <t>장식</t>
        </is>
      </c>
      <c r="F25" s="9" t="inlineStr"/>
    </row>
  </sheetData>
  <mergeCells count="1">
    <mergeCell ref="A1:F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4" customWidth="1" min="1" max="1"/>
    <col width="8" customWidth="1" min="2" max="2"/>
    <col width="8" customWidth="1" min="3" max="3"/>
    <col width="10" customWidth="1" min="4" max="4"/>
    <col width="22" customWidth="1" min="5" max="5"/>
    <col width="22" customWidth="1" min="6" max="6"/>
    <col width="24" customWidth="1" min="7" max="7"/>
    <col width="20" customWidth="1" min="8" max="8"/>
  </cols>
  <sheetData>
    <row r="1">
      <c r="A1" s="6" t="inlineStr">
        <is>
          <t>슈퍼 보스 (v2.28)</t>
        </is>
      </c>
    </row>
    <row r="3">
      <c r="A3" s="7" t="inlineStr">
        <is>
          <t>보스명</t>
        </is>
      </c>
      <c r="B3" s="7" t="inlineStr">
        <is>
          <t>속성</t>
        </is>
      </c>
      <c r="C3" s="7" t="inlineStr">
        <is>
          <t>HP</t>
        </is>
      </c>
      <c r="D3" s="7" t="inlineStr">
        <is>
          <t>ATK/DEF</t>
        </is>
      </c>
      <c r="E3" s="7" t="inlineStr">
        <is>
          <t>Phase 1</t>
        </is>
      </c>
      <c r="F3" s="7" t="inlineStr">
        <is>
          <t>Phase 2</t>
        </is>
      </c>
      <c r="G3" s="7" t="inlineStr">
        <is>
          <t>Phase 3</t>
        </is>
      </c>
      <c r="H3" s="7" t="inlineStr">
        <is>
          <t>MVP 보상</t>
        </is>
      </c>
    </row>
    <row r="4">
      <c r="A4" s="8" t="inlineStr">
        <is>
          <t>⏳ 크로노스</t>
        </is>
      </c>
      <c r="B4" s="8" t="inlineStr">
        <is>
          <t>void</t>
        </is>
      </c>
      <c r="C4" s="8" t="inlineStr">
        <is>
          <t>500K</t>
        </is>
      </c>
      <c r="D4" s="8" t="inlineStr">
        <is>
          <t>300/100</t>
        </is>
      </c>
      <c r="E4" s="8" t="inlineStr">
        <is>
          <t>P1: 시간 둔화 (속도-50%)</t>
        </is>
      </c>
      <c r="F4" s="8" t="inlineStr">
        <is>
          <t>P2: 시간 역행 (5명 HP 복원)</t>
        </is>
      </c>
      <c r="G4" s="8" t="inlineStr">
        <is>
          <t>P3: 시간 정지+운석500</t>
        </is>
      </c>
      <c r="H4" s="8" t="inlineStr">
        <is>
          <t>50K G, 300D, 시간 무기</t>
        </is>
      </c>
    </row>
    <row r="5">
      <c r="A5" s="9" t="inlineStr">
        <is>
          <t>🐉 이그니시아</t>
        </is>
      </c>
      <c r="B5" s="9" t="inlineStr">
        <is>
          <t>fire</t>
        </is>
      </c>
      <c r="C5" s="9" t="inlineStr">
        <is>
          <t>600K</t>
        </is>
      </c>
      <c r="D5" s="9" t="inlineStr">
        <is>
          <t>350/80</t>
        </is>
      </c>
      <c r="E5" s="9" t="inlineStr">
        <is>
          <t>P1: 불의 비 (5곳 폭격)</t>
        </is>
      </c>
      <c r="F5" s="9" t="inlineStr">
        <is>
          <t>P2: 용의 포효 (공포+DEF-30%)</t>
        </is>
      </c>
      <c r="G5" s="9" t="inlineStr">
        <is>
          <t>P3: 불멸 불꽃 (1회 풀힐!)</t>
        </is>
      </c>
      <c r="H5" s="9" t="inlineStr">
        <is>
          <t>60K G, 400D, 용 검</t>
        </is>
      </c>
    </row>
    <row r="6">
      <c r="A6" s="8" t="inlineStr">
        <is>
          <t>🕳️ 아자토스</t>
        </is>
      </c>
      <c r="B6" s="8" t="inlineStr">
        <is>
          <t>void</t>
        </is>
      </c>
      <c r="C6" s="8" t="inlineStr">
        <is>
          <t>800K</t>
        </is>
      </c>
      <c r="D6" s="8" t="inlineStr">
        <is>
          <t>400/120</t>
        </is>
      </c>
      <c r="E6" s="8" t="inlineStr">
        <is>
          <t>P1: 공허 침식 (MP 흡수)</t>
        </is>
      </c>
      <c r="F6" s="8" t="inlineStr">
        <is>
          <t>P2: 차원 붕괴 (맵 축소)</t>
        </is>
      </c>
      <c r="G6" s="8" t="inlineStr">
        <is>
          <t>P3: 현실 파괴 (HP↔MP!) ATK3배</t>
        </is>
      </c>
      <c r="H6" s="8" t="inlineStr">
        <is>
          <t>80K G, 500D, 공허 오브</t>
        </is>
      </c>
    </row>
    <row r="7">
      <c r="A7" s="9" t="inlineStr">
        <is>
          <t>설정</t>
        </is>
      </c>
      <c r="B7" s="9" t="inlineStr">
        <is>
          <t>스폰 시간</t>
        </is>
      </c>
      <c r="C7" s="9" t="inlineStr">
        <is>
          <t>6/12/18/22시</t>
        </is>
      </c>
      <c r="D7" s="9" t="inlineStr">
        <is>
          <t>5명+ 접속 시</t>
        </is>
      </c>
      <c r="E7" s="9" t="inlineStr">
        <is>
          <t>10분 제한</t>
        </is>
      </c>
      <c r="F7" s="9" t="inlineStr">
        <is>
          <t>기여도 3티어</t>
        </is>
      </c>
      <c r="G7" s="9" t="inlineStr">
        <is>
          <t>MVP 전설 장비+칭호</t>
        </is>
      </c>
    </row>
  </sheetData>
  <mergeCells count="1">
    <mergeCell ref="A1:H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4" customWidth="1" min="1" max="1"/>
    <col width="14" customWidth="1" min="2" max="2"/>
    <col width="12" customWidth="1" min="3" max="3"/>
    <col width="12" customWidth="1" min="4" max="4"/>
    <col width="14" customWidth="1" min="5" max="5"/>
    <col width="14" customWidth="1" min="6" max="6"/>
  </cols>
  <sheetData>
    <row r="1">
      <c r="A1" s="6" t="inlineStr">
        <is>
          <t>전장 점령 시스템 (v2.29)</t>
        </is>
      </c>
    </row>
    <row r="3">
      <c r="A3" s="7" t="inlineStr">
        <is>
          <t>지역/설정</t>
        </is>
      </c>
      <c r="B3" s="7" t="inlineStr">
        <is>
          <t>골드/비용</t>
        </is>
      </c>
      <c r="C3" s="7" t="inlineStr">
        <is>
          <t>EXP/효과</t>
        </is>
      </c>
      <c r="D3" s="7" t="inlineStr">
        <is>
          <t>방어/경비</t>
        </is>
      </c>
      <c r="E3" s="7" t="inlineStr">
        <is>
          <t>특수</t>
        </is>
      </c>
      <c r="F3" s="7" t="inlineStr">
        <is>
          <t>비고</t>
        </is>
      </c>
    </row>
    <row r="4">
      <c r="A4" s="8" t="inlineStr">
        <is>
          <t>🏰 북부 전초</t>
        </is>
      </c>
      <c r="B4" s="8" t="inlineStr">
        <is>
          <t>100G/주기</t>
        </is>
      </c>
      <c r="C4" s="8" t="inlineStr">
        <is>
          <t>50 EXP</t>
        </is>
      </c>
      <c r="D4" s="8" t="inlineStr">
        <is>
          <t>방어 0</t>
        </is>
      </c>
      <c r="E4" s="8" t="inlineStr">
        <is>
          <t>기본 거점</t>
        </is>
      </c>
      <c r="F4" s="8" t="inlineStr">
        <is>
          <t>점령 30초</t>
        </is>
      </c>
    </row>
    <row r="5">
      <c r="A5" s="9" t="inlineStr">
        <is>
          <t>🏰 남부 전초</t>
        </is>
      </c>
      <c r="B5" s="9" t="inlineStr">
        <is>
          <t>100G/주기</t>
        </is>
      </c>
      <c r="C5" s="9" t="inlineStr">
        <is>
          <t>50 EXP</t>
        </is>
      </c>
      <c r="D5" s="9" t="inlineStr">
        <is>
          <t>방어 0</t>
        </is>
      </c>
      <c r="E5" s="9" t="inlineStr">
        <is>
          <t>기본 거점</t>
        </is>
      </c>
      <c r="F5" s="9" t="inlineStr"/>
    </row>
    <row r="6">
      <c r="A6" s="8" t="inlineStr">
        <is>
          <t>⛏️ 수정 광산</t>
        </is>
      </c>
      <c r="B6" s="8" t="inlineStr">
        <is>
          <t>200G/주기</t>
        </is>
      </c>
      <c r="C6" s="8" t="inlineStr">
        <is>
          <t>30 EXP</t>
        </is>
      </c>
      <c r="D6" s="8" t="inlineStr">
        <is>
          <t>방어 0</t>
        </is>
      </c>
      <c r="E6" s="8" t="inlineStr">
        <is>
          <t>수정 자원</t>
        </is>
      </c>
      <c r="F6" s="8" t="inlineStr"/>
    </row>
    <row r="7">
      <c r="A7" s="9" t="inlineStr">
        <is>
          <t>⛏️ 철광석 광산</t>
        </is>
      </c>
      <c r="B7" s="9" t="inlineStr">
        <is>
          <t>150G/주기</t>
        </is>
      </c>
      <c r="C7" s="9" t="inlineStr">
        <is>
          <t>40 EXP</t>
        </is>
      </c>
      <c r="D7" s="9" t="inlineStr">
        <is>
          <t>방어 0</t>
        </is>
      </c>
      <c r="E7" s="9" t="inlineStr">
        <is>
          <t>철 자원</t>
        </is>
      </c>
      <c r="F7" s="9" t="inlineStr"/>
    </row>
    <row r="8">
      <c r="A8" s="8" t="inlineStr">
        <is>
          <t>🐉 용의 요새</t>
        </is>
      </c>
      <c r="B8" s="8" t="inlineStr">
        <is>
          <t>300G/주기</t>
        </is>
      </c>
      <c r="C8" s="8" t="inlineStr">
        <is>
          <t>100 EXP</t>
        </is>
      </c>
      <c r="D8" s="8" t="inlineStr">
        <is>
          <t>방어+20</t>
        </is>
      </c>
      <c r="E8" s="8" t="inlineStr">
        <is>
          <t>핵심 거점</t>
        </is>
      </c>
      <c r="F8" s="8" t="inlineStr">
        <is>
          <t>최고 수입</t>
        </is>
      </c>
    </row>
    <row r="9">
      <c r="A9" s="9" t="inlineStr">
        <is>
          <t>🕳️ 심연 요새</t>
        </is>
      </c>
      <c r="B9" s="9" t="inlineStr">
        <is>
          <t>250G/주기</t>
        </is>
      </c>
      <c r="C9" s="9" t="inlineStr">
        <is>
          <t>80 EXP</t>
        </is>
      </c>
      <c r="D9" s="9" t="inlineStr">
        <is>
          <t>방어+15</t>
        </is>
      </c>
      <c r="E9" s="9" t="inlineStr"/>
      <c r="F9" s="9" t="inlineStr"/>
    </row>
    <row r="10">
      <c r="A10" s="8" t="inlineStr">
        <is>
          <t>🗼 마법사 탑</t>
        </is>
      </c>
      <c r="B10" s="8" t="inlineStr">
        <is>
          <t>180G/주기</t>
        </is>
      </c>
      <c r="C10" s="8" t="inlineStr">
        <is>
          <t>120 EXP</t>
        </is>
      </c>
      <c r="D10" s="8" t="inlineStr">
        <is>
          <t>방어+10</t>
        </is>
      </c>
      <c r="E10" s="8" t="inlineStr">
        <is>
          <t>EXP 특화</t>
        </is>
      </c>
      <c r="F10" s="8" t="inlineStr"/>
    </row>
    <row r="11">
      <c r="A11" s="9" t="inlineStr">
        <is>
          <t>⛩️ 고대 제단</t>
        </is>
      </c>
      <c r="B11" s="9" t="inlineStr">
        <is>
          <t>200G/주기</t>
        </is>
      </c>
      <c r="C11" s="9" t="inlineStr">
        <is>
          <t>200 EXP</t>
        </is>
      </c>
      <c r="D11" s="9" t="inlineStr">
        <is>
          <t>방어+5</t>
        </is>
      </c>
      <c r="E11" s="9" t="inlineStr">
        <is>
          <t>축복 특수</t>
        </is>
      </c>
      <c r="F11" s="9" t="inlineStr"/>
    </row>
    <row r="12">
      <c r="A12" s="8" t="inlineStr">
        <is>
          <t>강화 1단계</t>
        </is>
      </c>
      <c r="B12" s="8" t="inlineStr">
        <is>
          <t>5,000G</t>
        </is>
      </c>
      <c r="C12" s="8" t="inlineStr">
        <is>
          <t>DEF+10</t>
        </is>
      </c>
      <c r="D12" s="8" t="inlineStr">
        <is>
          <t>경비 2명</t>
        </is>
      </c>
      <c r="E12" s="8" t="inlineStr"/>
      <c r="F12" s="8" t="inlineStr"/>
    </row>
    <row r="13">
      <c r="A13" s="9" t="inlineStr">
        <is>
          <t>강화 5단계</t>
        </is>
      </c>
      <c r="B13" s="9" t="inlineStr">
        <is>
          <t>100,000G</t>
        </is>
      </c>
      <c r="C13" s="9" t="inlineStr">
        <is>
          <t>DEF+50</t>
        </is>
      </c>
      <c r="D13" s="9" t="inlineStr">
        <is>
          <t>경비 8명</t>
        </is>
      </c>
      <c r="E13" s="9" t="inlineStr">
        <is>
          <t>최대</t>
        </is>
      </c>
      <c r="F13" s="9" t="inlineStr"/>
    </row>
    <row r="14">
      <c r="A14" s="8" t="inlineStr">
        <is>
          <t>방어측 보너스</t>
        </is>
      </c>
      <c r="B14" s="8" t="inlineStr">
        <is>
          <t>1.3배</t>
        </is>
      </c>
      <c r="C14" s="8" t="inlineStr">
        <is>
          <t>전투력</t>
        </is>
      </c>
      <c r="D14" s="8" t="inlineStr"/>
      <c r="E14" s="8" t="inlineStr">
        <is>
          <t>점령 진행 감소</t>
        </is>
      </c>
      <c r="F14" s="8" t="inlineStr"/>
    </row>
    <row r="15">
      <c r="A15" s="9" t="inlineStr">
        <is>
          <t>☀️ 태양 기사단</t>
        </is>
      </c>
      <c r="B15" s="9" t="inlineStr">
        <is>
          <t>공격 특화</t>
        </is>
      </c>
      <c r="C15" s="9" t="inlineStr"/>
      <c r="D15" s="9" t="inlineStr"/>
      <c r="E15" s="9" t="inlineStr"/>
      <c r="F15" s="9" t="inlineStr"/>
    </row>
    <row r="16">
      <c r="A16" s="8" t="inlineStr">
        <is>
          <t>🌙 달빛 마법단</t>
        </is>
      </c>
      <c r="B16" s="8" t="inlineStr">
        <is>
          <t>마법 특화</t>
        </is>
      </c>
      <c r="C16" s="8" t="inlineStr"/>
      <c r="D16" s="8" t="inlineStr"/>
      <c r="E16" s="8" t="inlineStr"/>
      <c r="F16" s="8" t="inlineStr"/>
    </row>
    <row r="17">
      <c r="A17" s="9" t="inlineStr">
        <is>
          <t>⭐ 별의 수호자</t>
        </is>
      </c>
      <c r="B17" s="9" t="inlineStr">
        <is>
          <t>방어 특화</t>
        </is>
      </c>
      <c r="C17" s="9" t="inlineStr"/>
      <c r="D17" s="9" t="inlineStr"/>
      <c r="E17" s="9" t="inlineStr"/>
      <c r="F17" s="9" t="inlineStr"/>
    </row>
  </sheetData>
  <mergeCells count="1">
    <mergeCell ref="A1:F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2" customWidth="1" min="1" max="1"/>
    <col width="14" customWidth="1" min="2" max="2"/>
    <col width="24" customWidth="1" min="3" max="3"/>
    <col width="14" customWidth="1" min="4" max="4"/>
    <col width="14" customWidth="1" min="5" max="5"/>
    <col width="12" customWidth="1" min="6" max="6"/>
  </cols>
  <sheetData>
    <row r="1">
      <c r="A1" s="6" t="inlineStr">
        <is>
          <t>소원 나무 시스템 (v2.30)</t>
        </is>
      </c>
    </row>
    <row r="3">
      <c r="A3" s="7" t="inlineStr">
        <is>
          <t>나무/항목</t>
        </is>
      </c>
      <c r="B3" s="7" t="inlineStr">
        <is>
          <t>타입/등급</t>
        </is>
      </c>
      <c r="C3" s="7" t="inlineStr">
        <is>
          <t>열매/효과</t>
        </is>
      </c>
      <c r="D3" s="7" t="inlineStr">
        <is>
          <t>계절/시간</t>
        </is>
      </c>
      <c r="E3" s="7" t="inlineStr">
        <is>
          <t>기타</t>
        </is>
      </c>
      <c r="F3" s="7" t="inlineStr">
        <is>
          <t>비고</t>
        </is>
      </c>
    </row>
    <row r="4">
      <c r="A4" s="8" t="inlineStr">
        <is>
          <t>🌳 세계수</t>
        </is>
      </c>
      <c r="B4" s="8" t="inlineStr">
        <is>
          <t>균형</t>
        </is>
      </c>
      <c r="C4" s="8" t="inlineStr">
        <is>
          <t>모든 열매</t>
        </is>
      </c>
      <c r="D4" s="8" t="inlineStr">
        <is>
          <t>가을 1.5배</t>
        </is>
      </c>
      <c r="E4" s="8" t="inlineStr">
        <is>
          <t>성장률 1.0</t>
        </is>
      </c>
      <c r="F4" s="8" t="inlineStr">
        <is>
          <t>범용</t>
        </is>
      </c>
    </row>
    <row r="5">
      <c r="A5" s="9" t="inlineStr">
        <is>
          <t>🔥 화염수</t>
        </is>
      </c>
      <c r="B5" s="9" t="inlineStr">
        <is>
          <t>공격</t>
        </is>
      </c>
      <c r="C5" s="9" t="inlineStr">
        <is>
          <t>ATK/크리/화염</t>
        </is>
      </c>
      <c r="D5" s="9" t="inlineStr">
        <is>
          <t>여름 1.5배</t>
        </is>
      </c>
      <c r="E5" s="9" t="inlineStr">
        <is>
          <t>성장률 0.9</t>
        </is>
      </c>
      <c r="F5" s="9" t="inlineStr">
        <is>
          <t>딜러</t>
        </is>
      </c>
    </row>
    <row r="6">
      <c r="A6" s="8" t="inlineStr">
        <is>
          <t>❄️ 서리수</t>
        </is>
      </c>
      <c r="B6" s="8" t="inlineStr">
        <is>
          <t>방어</t>
        </is>
      </c>
      <c r="C6" s="8" t="inlineStr">
        <is>
          <t>DEF/HP/빙결</t>
        </is>
      </c>
      <c r="D6" s="8" t="inlineStr">
        <is>
          <t>겨울 1.5배</t>
        </is>
      </c>
      <c r="E6" s="8" t="inlineStr">
        <is>
          <t>성장률 0.9</t>
        </is>
      </c>
      <c r="F6" s="8" t="inlineStr">
        <is>
          <t>탱커</t>
        </is>
      </c>
    </row>
    <row r="7">
      <c r="A7" s="9" t="inlineStr">
        <is>
          <t>✨ 정령수</t>
        </is>
      </c>
      <c r="B7" s="9" t="inlineStr">
        <is>
          <t>성장</t>
        </is>
      </c>
      <c r="C7" s="9" t="inlineStr">
        <is>
          <t>EXP/지혜/행운</t>
        </is>
      </c>
      <c r="D7" s="9" t="inlineStr">
        <is>
          <t>봄 1.5배</t>
        </is>
      </c>
      <c r="E7" s="9" t="inlineStr">
        <is>
          <t>성장률 1.1</t>
        </is>
      </c>
      <c r="F7" s="9" t="inlineStr">
        <is>
          <t>성장</t>
        </is>
      </c>
    </row>
    <row r="8">
      <c r="A8" s="8" t="inlineStr">
        <is>
          <t>열매(20종)</t>
        </is>
      </c>
      <c r="B8" s="8" t="inlineStr">
        <is>
          <t>common 1-2h</t>
        </is>
      </c>
      <c r="C8" s="8" t="inlineStr">
        <is>
          <t>🍊골드,🍇EXP,🍑회복</t>
        </is>
      </c>
      <c r="D8" s="8" t="inlineStr"/>
      <c r="E8" s="8" t="inlineStr"/>
      <c r="F8" s="8" t="inlineStr"/>
    </row>
    <row r="9">
      <c r="A9" s="9" t="inlineStr"/>
      <c r="B9" s="9" t="inlineStr">
        <is>
          <t>uncommon 3-4h</t>
        </is>
      </c>
      <c r="C9" s="9" t="inlineStr">
        <is>
          <t>🌶️힘,🥝수호,🍒크리,💎다이아</t>
        </is>
      </c>
      <c r="D9" s="9" t="inlineStr"/>
      <c r="E9" s="9" t="inlineStr"/>
      <c r="F9" s="9" t="inlineStr"/>
    </row>
    <row r="10">
      <c r="A10" s="8" t="inlineStr"/>
      <c r="B10" s="8" t="inlineStr">
        <is>
          <t>rare 5-6h</t>
        </is>
      </c>
      <c r="C10" s="8" t="inlineStr">
        <is>
          <t>🔥화염,🧊빙결,📖지혜,🍀행운</t>
        </is>
      </c>
      <c r="D10" s="8" t="inlineStr"/>
      <c r="E10" s="8" t="inlineStr"/>
      <c r="F10" s="8" t="inlineStr"/>
    </row>
    <row r="11">
      <c r="A11" s="9" t="inlineStr"/>
      <c r="B11" s="9" t="inlineStr">
        <is>
          <t>legendary 24h</t>
        </is>
      </c>
      <c r="C11" s="9" t="inlineStr">
        <is>
          <t>🌈무지개,☄️지옥불,💠절대영도,🌟깨달음</t>
        </is>
      </c>
      <c r="D11" s="9" t="inlineStr"/>
      <c r="E11" s="9" t="inlineStr"/>
      <c r="F11" s="9" t="inlineStr"/>
    </row>
    <row r="12">
      <c r="A12" s="8" t="inlineStr">
        <is>
          <t>성장</t>
        </is>
      </c>
      <c r="B12" s="8" t="inlineStr">
        <is>
          <t>Lv.0→10</t>
        </is>
      </c>
      <c r="C12" s="8" t="inlineStr">
        <is>
          <t>물 4시간마다</t>
        </is>
      </c>
      <c r="D12" s="8" t="inlineStr">
        <is>
          <t>슬롯 3→6</t>
        </is>
      </c>
      <c r="E12" s="8" t="inlineStr">
        <is>
          <t>Lv.8+ 전설 5%</t>
        </is>
      </c>
      <c r="F12" s="8" t="inlineStr"/>
    </row>
    <row r="13">
      <c r="A13" s="9" t="inlineStr">
        <is>
          <t>소원(500D)</t>
        </is>
      </c>
      <c r="B13" s="9" t="inlineStr">
        <is>
          <t>💰부의</t>
        </is>
      </c>
      <c r="C13" s="9" t="inlineStr">
        <is>
          <t>⚔️힘의</t>
        </is>
      </c>
      <c r="D13" s="9" t="inlineStr">
        <is>
          <t>🛡️수호의</t>
        </is>
      </c>
      <c r="E13" s="9" t="inlineStr">
        <is>
          <t>📖지혜의</t>
        </is>
      </c>
      <c r="F13" s="9" t="inlineStr">
        <is>
          <t>🌟기적(전설10%)</t>
        </is>
      </c>
    </row>
  </sheetData>
  <mergeCells count="1">
    <mergeCell ref="A1:F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2" customWidth="1" min="1" max="1"/>
    <col width="14" customWidth="1" min="2" max="2"/>
    <col width="20" customWidth="1" min="3" max="3"/>
    <col width="26" customWidth="1" min="4" max="4"/>
    <col width="8" customWidth="1" min="5" max="5"/>
    <col width="10" customWidth="1" min="6" max="6"/>
  </cols>
  <sheetData>
    <row r="1">
      <c r="A1" s="6" t="inlineStr">
        <is>
          <t>영혼 시스템 (v2.31)</t>
        </is>
      </c>
    </row>
    <row r="3">
      <c r="A3" s="7" t="inlineStr">
        <is>
          <t>티어(드롭률)</t>
        </is>
      </c>
      <c r="B3" s="7" t="inlineStr">
        <is>
          <t>이름</t>
        </is>
      </c>
      <c r="C3" s="7" t="inlineStr">
        <is>
          <t>패시브</t>
        </is>
      </c>
      <c r="D3" s="7" t="inlineStr">
        <is>
          <t>액티브 스킬</t>
        </is>
      </c>
      <c r="E3" s="7" t="inlineStr">
        <is>
          <t>속성</t>
        </is>
      </c>
      <c r="F3" s="7" t="inlineStr">
        <is>
          <t>비고</t>
        </is>
      </c>
    </row>
    <row r="4">
      <c r="A4" s="8" t="inlineStr">
        <is>
          <t>T1(10%)</t>
        </is>
      </c>
      <c r="B4" s="8" t="inlineStr">
        <is>
          <t>🟢슬라임</t>
        </is>
      </c>
      <c r="C4" s="8" t="inlineStr">
        <is>
          <t>HP+20</t>
        </is>
      </c>
      <c r="D4" s="8" t="inlineStr">
        <is>
          <t>없음</t>
        </is>
      </c>
      <c r="E4" s="8" t="inlineStr">
        <is>
          <t>earth</t>
        </is>
      </c>
      <c r="F4" s="8" t="inlineStr">
        <is>
          <t>일반</t>
        </is>
      </c>
    </row>
    <row r="5">
      <c r="A5" s="9" t="inlineStr">
        <is>
          <t>T1</t>
        </is>
      </c>
      <c r="B5" s="9" t="inlineStr">
        <is>
          <t>🐺늑대</t>
        </is>
      </c>
      <c r="C5" s="9" t="inlineStr">
        <is>
          <t>ATK+3</t>
        </is>
      </c>
      <c r="D5" s="9" t="inlineStr">
        <is>
          <t>없음</t>
        </is>
      </c>
      <c r="E5" s="9" t="inlineStr">
        <is>
          <t>wind</t>
        </is>
      </c>
      <c r="F5" s="9" t="inlineStr"/>
    </row>
    <row r="6">
      <c r="A6" s="8" t="inlineStr">
        <is>
          <t>T1</t>
        </is>
      </c>
      <c r="B6" s="8" t="inlineStr">
        <is>
          <t>💀스켈레톤</t>
        </is>
      </c>
      <c r="C6" s="8" t="inlineStr">
        <is>
          <t>DEF+3</t>
        </is>
      </c>
      <c r="D6" s="8" t="inlineStr">
        <is>
          <t>없음</t>
        </is>
      </c>
      <c r="E6" s="8" t="inlineStr">
        <is>
          <t>dark</t>
        </is>
      </c>
      <c r="F6" s="8" t="inlineStr"/>
    </row>
    <row r="7">
      <c r="A7" s="9" t="inlineStr">
        <is>
          <t>T1</t>
        </is>
      </c>
      <c r="B7" s="9" t="inlineStr">
        <is>
          <t>👹고블린</t>
        </is>
      </c>
      <c r="C7" s="9" t="inlineStr">
        <is>
          <t>골드+3%</t>
        </is>
      </c>
      <c r="D7" s="9" t="inlineStr">
        <is>
          <t>없음</t>
        </is>
      </c>
      <c r="E7" s="9" t="inlineStr">
        <is>
          <t>earth</t>
        </is>
      </c>
      <c r="F7" s="9" t="inlineStr"/>
    </row>
    <row r="8">
      <c r="A8" s="8" t="inlineStr">
        <is>
          <t>T2(5%)</t>
        </is>
      </c>
      <c r="B8" s="8" t="inlineStr">
        <is>
          <t>🐗오크</t>
        </is>
      </c>
      <c r="C8" s="8" t="inlineStr">
        <is>
          <t>ATK+8,HP+30</t>
        </is>
      </c>
      <c r="D8" s="8" t="inlineStr">
        <is>
          <t>전사의 함성 (ATK+20% 5초)</t>
        </is>
      </c>
      <c r="E8" s="8" t="inlineStr">
        <is>
          <t>fire</t>
        </is>
      </c>
      <c r="F8" s="8" t="inlineStr">
        <is>
          <t>액티브 보유</t>
        </is>
      </c>
    </row>
    <row r="9">
      <c r="A9" s="9" t="inlineStr">
        <is>
          <t>T2</t>
        </is>
      </c>
      <c r="B9" s="9" t="inlineStr">
        <is>
          <t>🦅하피</t>
        </is>
      </c>
      <c r="C9" s="9" t="inlineStr">
        <is>
          <t>SPD+2,회피+3%</t>
        </is>
      </c>
      <c r="D9" s="9" t="inlineStr">
        <is>
          <t>질풍 비행 (속도 3배 3초)</t>
        </is>
      </c>
      <c r="E9" s="9" t="inlineStr">
        <is>
          <t>wind</t>
        </is>
      </c>
      <c r="F9" s="9" t="inlineStr"/>
    </row>
    <row r="10">
      <c r="A10" s="8" t="inlineStr">
        <is>
          <t>T2</t>
        </is>
      </c>
      <c r="B10" s="8" t="inlineStr">
        <is>
          <t>🗿골렘</t>
        </is>
      </c>
      <c r="C10" s="8" t="inlineStr">
        <is>
          <t>DEF+12,HP+50</t>
        </is>
      </c>
      <c r="D10" s="8" t="inlineStr">
        <is>
          <t>석화 (4초 무적)</t>
        </is>
      </c>
      <c r="E10" s="8" t="inlineStr">
        <is>
          <t>earth</t>
        </is>
      </c>
      <c r="F10" s="8" t="inlineStr"/>
    </row>
    <row r="11">
      <c r="A11" s="9" t="inlineStr">
        <is>
          <t>T2</t>
        </is>
      </c>
      <c r="B11" s="9" t="inlineStr">
        <is>
          <t>🧙다크메이지</t>
        </is>
      </c>
      <c r="C11" s="9" t="inlineStr">
        <is>
          <t>MP+20,EXP+5%</t>
        </is>
      </c>
      <c r="D11" s="9" t="inlineStr">
        <is>
          <t>마력 폭발 (AoE x2)</t>
        </is>
      </c>
      <c r="E11" s="9" t="inlineStr">
        <is>
          <t>dark</t>
        </is>
      </c>
      <c r="F11" s="9" t="inlineStr"/>
    </row>
    <row r="12">
      <c r="A12" s="8" t="inlineStr">
        <is>
          <t>T3(1%)</t>
        </is>
      </c>
      <c r="B12" s="8" t="inlineStr">
        <is>
          <t>🐲드래곤</t>
        </is>
      </c>
      <c r="C12" s="8" t="inlineStr">
        <is>
          <t>ATK+20,화염+15%</t>
        </is>
      </c>
      <c r="D12" s="8" t="inlineStr">
        <is>
          <t>용의 브레스 (AoE x3+화상)</t>
        </is>
      </c>
      <c r="E12" s="8" t="inlineStr">
        <is>
          <t>fire</t>
        </is>
      </c>
      <c r="F12" s="8" t="inlineStr">
        <is>
          <t>강력</t>
        </is>
      </c>
    </row>
    <row r="13">
      <c r="A13" s="9" t="inlineStr">
        <is>
          <t>T3</t>
        </is>
      </c>
      <c r="B13" s="9" t="inlineStr">
        <is>
          <t>☠️리치</t>
        </is>
      </c>
      <c r="C13" s="9" t="inlineStr">
        <is>
          <t>흡혈8%,MP+50</t>
        </is>
      </c>
      <c r="D13" s="9" t="inlineStr">
        <is>
          <t>죽음의 손길 (x5+50%흡수)</t>
        </is>
      </c>
      <c r="E13" s="9" t="inlineStr">
        <is>
          <t>dark</t>
        </is>
      </c>
      <c r="F13" s="9" t="inlineStr"/>
    </row>
    <row r="14">
      <c r="A14" s="8" t="inlineStr">
        <is>
          <t>T3</t>
        </is>
      </c>
      <c r="B14" s="8" t="inlineStr">
        <is>
          <t>🔥불사조</t>
        </is>
      </c>
      <c r="C14" s="8" t="inlineStr">
        <is>
          <t>HP+150,자동부활</t>
        </is>
      </c>
      <c r="D14" s="8" t="inlineStr">
        <is>
          <t>불사의 불꽃 (부활+폭발)</t>
        </is>
      </c>
      <c r="E14" s="8" t="inlineStr">
        <is>
          <t>fire</t>
        </is>
      </c>
      <c r="F14" s="8" t="inlineStr"/>
    </row>
    <row r="15">
      <c r="A15" s="9" t="inlineStr">
        <is>
          <t>T3</t>
        </is>
      </c>
      <c r="B15" s="9" t="inlineStr">
        <is>
          <t>🐋리바이어던</t>
        </is>
      </c>
      <c r="C15" s="9" t="inlineStr">
        <is>
          <t>DEF+25,HP+200</t>
        </is>
      </c>
      <c r="D15" s="9" t="inlineStr">
        <is>
          <t>해일 (범위 넉백+둔화)</t>
        </is>
      </c>
      <c r="E15" s="9" t="inlineStr">
        <is>
          <t>water</t>
        </is>
      </c>
      <c r="F15" s="9" t="inlineStr"/>
    </row>
    <row r="16">
      <c r="A16" s="8" t="inlineStr">
        <is>
          <t>T4(0.1%)</t>
        </is>
      </c>
      <c r="B16" s="8" t="inlineStr">
        <is>
          <t>⏳크로노스</t>
        </is>
      </c>
      <c r="C16" s="8" t="inlineStr">
        <is>
          <t>전체+8,CD-15%</t>
        </is>
      </c>
      <c r="D16" s="8" t="inlineStr">
        <is>
          <t>시간 정지 (3초!)</t>
        </is>
      </c>
      <c r="E16" s="8" t="inlineStr">
        <is>
          <t>void</t>
        </is>
      </c>
      <c r="F16" s="8" t="inlineStr">
        <is>
          <t>전설</t>
        </is>
      </c>
    </row>
    <row r="17">
      <c r="A17" s="9" t="inlineStr">
        <is>
          <t>T4</t>
        </is>
      </c>
      <c r="B17" s="9" t="inlineStr">
        <is>
          <t>🕳️아자토스</t>
        </is>
      </c>
      <c r="C17" s="9" t="inlineStr">
        <is>
          <t>ATK+30,흡혈10%</t>
        </is>
      </c>
      <c r="D17" s="9" t="inlineStr">
        <is>
          <t>공허 삼키기 (20% 즉사)</t>
        </is>
      </c>
      <c r="E17" s="9" t="inlineStr">
        <is>
          <t>void</t>
        </is>
      </c>
      <c r="F17" s="9" t="inlineStr">
        <is>
          <t>최강</t>
        </is>
      </c>
    </row>
    <row r="18">
      <c r="A18" s="8" t="inlineStr">
        <is>
          <t>합성</t>
        </is>
      </c>
      <c r="B18" s="8" t="inlineStr">
        <is>
          <t>같은 영혼 3개</t>
        </is>
      </c>
      <c r="C18" s="8" t="inlineStr">
        <is>
          <t>Lv+1 (최대 5)</t>
        </is>
      </c>
      <c r="D18" s="8" t="inlineStr">
        <is>
          <t>스탯 +30%/레벨</t>
        </is>
      </c>
      <c r="E18" s="8" t="inlineStr">
        <is>
          <t>2,000G</t>
        </is>
      </c>
      <c r="F18" s="8" t="inlineStr"/>
    </row>
    <row r="19">
      <c r="A19" s="9" t="inlineStr">
        <is>
          <t>각성</t>
        </is>
      </c>
      <c r="B19" s="9" t="inlineStr">
        <is>
          <t>T3+ 영혼</t>
        </is>
      </c>
      <c r="C19" s="9" t="inlineStr">
        <is>
          <t>스탯 2배</t>
        </is>
      </c>
      <c r="D19" s="9" t="inlineStr">
        <is>
          <t>mat_soul 10개 + 50KG</t>
        </is>
      </c>
      <c r="E19" s="9" t="inlineStr"/>
      <c r="F19" s="9" t="inlineStr"/>
    </row>
    <row r="20">
      <c r="A20" s="8" t="inlineStr">
        <is>
          <t>공명</t>
        </is>
      </c>
      <c r="B20" s="8" t="inlineStr">
        <is>
          <t>같은 속성 2+</t>
        </is>
      </c>
      <c r="C20" s="8" t="inlineStr">
        <is>
          <t>원소 보너스</t>
        </is>
      </c>
      <c r="D20" s="8" t="inlineStr">
        <is>
          <t>3속성→원소 조화</t>
        </is>
      </c>
      <c r="E20" s="8" t="inlineStr">
        <is>
          <t>T4×2→전설 공명</t>
        </is>
      </c>
      <c r="F20" s="8" t="inlineStr"/>
    </row>
  </sheetData>
  <mergeCells count="1">
    <mergeCell ref="A1:F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2" customWidth="1" min="1" max="1"/>
    <col width="10" customWidth="1" min="2" max="2"/>
    <col width="46" customWidth="1" min="3" max="3"/>
    <col width="24" customWidth="1" min="4" max="4"/>
    <col width="12" customWidth="1" min="5" max="5"/>
    <col width="10" customWidth="1" min="6" max="6"/>
  </cols>
  <sheetData>
    <row r="1">
      <c r="A1" s="6" t="inlineStr">
        <is>
          <t>시간 여행 던전 (v2.32)</t>
        </is>
      </c>
    </row>
    <row r="3">
      <c r="A3" s="7" t="inlineStr">
        <is>
          <t>던전</t>
        </is>
      </c>
      <c r="B3" s="7" t="inlineStr">
        <is>
          <t>요구 레벨</t>
        </is>
      </c>
      <c r="C3" s="7" t="inlineStr">
        <is>
          <t>스테이지 (1→2→3)</t>
        </is>
      </c>
      <c r="D3" s="7" t="inlineStr">
        <is>
          <t>클리어 보상</t>
        </is>
      </c>
      <c r="E3" s="7" t="inlineStr">
        <is>
          <t>파편</t>
        </is>
      </c>
      <c r="F3" s="7" t="inlineStr">
        <is>
          <t>비고</t>
        </is>
      </c>
    </row>
    <row r="4">
      <c r="A4" s="8" t="inlineStr">
        <is>
          <t>🏛️ 고대</t>
        </is>
      </c>
      <c r="B4" s="8" t="inlineStr">
        <is>
          <t>Lv.25</t>
        </is>
      </c>
      <c r="C4" s="8" t="inlineStr">
        <is>
          <t>안개+기습 → 석판 퍼즐 → 시간 파수꾼(HP 6K, 10초마다 힐10%)</t>
        </is>
      </c>
      <c r="D4" s="8" t="inlineStr">
        <is>
          <t>10K G, 50D, 고대 봉인</t>
        </is>
      </c>
      <c r="E4" s="8" t="inlineStr">
        <is>
          <t>과거 파편</t>
        </is>
      </c>
      <c r="F4" s="8" t="inlineStr">
        <is>
          <t>1시간 쿨</t>
        </is>
      </c>
    </row>
    <row r="5">
      <c r="A5" s="9" t="inlineStr">
        <is>
          <t>🏙️ 현재</t>
        </is>
      </c>
      <c r="B5" s="9" t="inlineStr">
        <is>
          <t>Lv.35</t>
        </is>
      </c>
      <c r="C5" s="9" t="inlineStr">
        <is>
          <t>컨베이어 → 원소 변환 → 시간 조율자(HP 10K, 가속 2배)</t>
        </is>
      </c>
      <c r="D5" s="9" t="inlineStr">
        <is>
          <t>18K G, 80D, 시간 톱니</t>
        </is>
      </c>
      <c r="E5" s="9" t="inlineStr">
        <is>
          <t>현재 파편</t>
        </is>
      </c>
      <c r="F5" s="9" t="inlineStr">
        <is>
          <t>1시간 쿨</t>
        </is>
      </c>
    </row>
    <row r="6">
      <c r="A6" s="8" t="inlineStr">
        <is>
          <t>🚀 미래</t>
        </is>
      </c>
      <c r="B6" s="8" t="inlineStr">
        <is>
          <t>Lv.45</t>
        </is>
      </c>
      <c r="C6" s="8" t="inlineStr">
        <is>
          <t>포탈 순간이동 → 면역 회전 → 오메가(HP 20K, 3시대 동시!)</t>
        </is>
      </c>
      <c r="D6" s="8" t="inlineStr">
        <is>
          <t>30K G, 150D, 오메가 코어</t>
        </is>
      </c>
      <c r="E6" s="8" t="inlineStr">
        <is>
          <t>미래 파편</t>
        </is>
      </c>
      <c r="F6" s="8" t="inlineStr">
        <is>
          <t>1시간 쿨</t>
        </is>
      </c>
    </row>
    <row r="7">
      <c r="A7" s="9" t="inlineStr">
        <is>
          <t>⏳🌀 역설</t>
        </is>
      </c>
      <c r="B7" s="9" t="inlineStr">
        <is>
          <t>Lv.50</t>
        </is>
      </c>
      <c r="C7" s="9" t="inlineStr">
        <is>
          <t>혼합 8마리 → 시간의 심장(HP 50K!, 즉사 존)</t>
        </is>
      </c>
      <c r="D7" s="9" t="inlineStr">
        <is>
          <t>80K G, 500D, 시간 군주 세트+칭호</t>
        </is>
      </c>
      <c r="E7" s="9" t="inlineStr">
        <is>
          <t>3파편 소모</t>
        </is>
      </c>
      <c r="F7" s="9" t="inlineStr">
        <is>
          <t>3파편 필요</t>
        </is>
      </c>
    </row>
  </sheetData>
  <mergeCells count="1">
    <mergeCell ref="A1:F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4" customWidth="1" min="1" max="1"/>
    <col width="12" customWidth="1" min="2" max="2"/>
    <col width="14" customWidth="1" min="3" max="3"/>
    <col width="24" customWidth="1" min="4" max="4"/>
    <col width="32" customWidth="1" min="5" max="5"/>
    <col width="28" customWidth="1" min="6" max="6"/>
  </cols>
  <sheetData>
    <row r="1">
      <c r="A1" s="6" t="inlineStr">
        <is>
          <t>신화 소환수 (v2.33)</t>
        </is>
      </c>
    </row>
    <row r="3">
      <c r="A3" s="7" t="inlineStr">
        <is>
          <t>소환수/항목</t>
        </is>
      </c>
      <c r="B3" s="7" t="inlineStr">
        <is>
          <t>속성/단계</t>
        </is>
      </c>
      <c r="C3" s="7" t="inlineStr">
        <is>
          <t>출처/요구</t>
        </is>
      </c>
      <c r="D3" s="7" t="inlineStr">
        <is>
          <t>패시브/스탯</t>
        </is>
      </c>
      <c r="E3" s="7" t="inlineStr">
        <is>
          <t>스킬 1 / 스킬 2</t>
        </is>
      </c>
      <c r="F3" s="7" t="inlineStr">
        <is>
          <t>궁극기/보상</t>
        </is>
      </c>
    </row>
    <row r="4">
      <c r="A4" s="8" t="inlineStr">
        <is>
          <t>🐺 펜리르</t>
        </is>
      </c>
      <c r="B4" s="8" t="inlineStr">
        <is>
          <t>dark</t>
        </is>
      </c>
      <c r="C4" s="8" t="inlineStr">
        <is>
          <t>북유럽</t>
        </is>
      </c>
      <c r="D4" s="8" t="inlineStr">
        <is>
          <t>ATK80,크리15%,흡혈8%</t>
        </is>
      </c>
      <c r="E4" s="8" t="inlineStr">
        <is>
          <t>포식(x4+30%흡수) / 멸망의 울부짖음(AoE+공포)</t>
        </is>
      </c>
      <c r="F4" s="8" t="inlineStr">
        <is>
          <t>라그나로크 (전체x6+불사+ATK3배)</t>
        </is>
      </c>
    </row>
    <row r="5">
      <c r="A5" s="9" t="inlineStr">
        <is>
          <t>🐉 바하무트</t>
        </is>
      </c>
      <c r="B5" s="9" t="inlineStr">
        <is>
          <t>fire</t>
        </is>
      </c>
      <c r="C5" s="9" t="inlineStr">
        <is>
          <t>아라비아</t>
        </is>
      </c>
      <c r="D5" s="9" t="inlineStr">
        <is>
          <t>ATK100,화염30%,화상20%</t>
        </is>
      </c>
      <c r="E5" s="9" t="inlineStr">
        <is>
          <t>메가 플레어(범위8 x3) / 용신의 포효(버프/디버프)</t>
        </is>
      </c>
      <c r="F5" s="9" t="inlineStr">
        <is>
          <t>테라 플레어 (전체x8+화면면역)</t>
        </is>
      </c>
    </row>
    <row r="6">
      <c r="A6" s="8" t="inlineStr">
        <is>
          <t>🐋 레비아탄 신</t>
        </is>
      </c>
      <c r="B6" s="8" t="inlineStr">
        <is>
          <t>water</t>
        </is>
      </c>
      <c r="C6" s="8" t="inlineStr">
        <is>
          <t>히브리</t>
        </is>
      </c>
      <c r="D6" s="8" t="inlineStr">
        <is>
          <t>DEF70,HP3500,빙결15%</t>
        </is>
      </c>
      <c r="E6" s="8" t="inlineStr">
        <is>
          <t>심해 감옥(8초 CC) / 쓰나미(범위12 넉백)</t>
        </is>
      </c>
      <c r="F6" s="8" t="inlineStr">
        <is>
          <t>심해의 심판 (전체 5초 익사!)</t>
        </is>
      </c>
    </row>
    <row r="7">
      <c r="A7" s="9" t="inlineStr">
        <is>
          <t>👁️ 오딘</t>
        </is>
      </c>
      <c r="B7" s="9" t="inlineStr">
        <is>
          <t>light</t>
        </is>
      </c>
      <c r="C7" s="9" t="inlineStr">
        <is>
          <t>북유럽</t>
        </is>
      </c>
      <c r="D7" s="9" t="inlineStr">
        <is>
          <t>EXP25%,크리10%,CD-20%</t>
        </is>
      </c>
      <c r="E7" s="9" t="inlineStr">
        <is>
          <t>군그니르(관통x5 방무) / 지혜의 눈(전장 시야)</t>
        </is>
      </c>
      <c r="F7" s="9" t="inlineStr">
        <is>
          <t>발할라 (전사5명+파티 불사)</t>
        </is>
      </c>
    </row>
    <row r="8">
      <c r="A8" s="8" t="inlineStr">
        <is>
          <t>💀 타나토스</t>
        </is>
      </c>
      <c r="B8" s="8" t="inlineStr">
        <is>
          <t>dark</t>
        </is>
      </c>
      <c r="C8" s="8" t="inlineStr">
        <is>
          <t>그리스</t>
        </is>
      </c>
      <c r="D8" s="8" t="inlineStr">
        <is>
          <t>흡혈12%,즉사&lt;20%</t>
        </is>
      </c>
      <c r="E8" s="8" t="inlineStr">
        <is>
          <t>죽음의 낫(30%↓ 즉사) / 영혼 수확(ATK+15%)</t>
        </is>
      </c>
      <c r="F8" s="8" t="inlineStr">
        <is>
          <t>죽음의 문 (HP50%삭감+부활불가)</t>
        </is>
      </c>
    </row>
    <row r="9">
      <c r="A9" s="9" t="inlineStr">
        <is>
          <t>🌍 가이아</t>
        </is>
      </c>
      <c r="B9" s="9" t="inlineStr">
        <is>
          <t>earth</t>
        </is>
      </c>
      <c r="C9" s="9" t="inlineStr">
        <is>
          <t>그리스</t>
        </is>
      </c>
      <c r="D9" s="9" t="inlineStr">
        <is>
          <t>HP4000,힐오라3%</t>
        </is>
      </c>
      <c r="E9" s="9" t="inlineStr">
        <is>
          <t>대지의 축복(40%힐+해제) / 자연의 방벽(15초 방패)</t>
        </is>
      </c>
      <c r="F9" s="9" t="inlineStr">
        <is>
          <t>생명의 기적 (전원 부활+30초 무적!)</t>
        </is>
      </c>
    </row>
    <row r="10">
      <c r="A10" s="8" t="inlineStr">
        <is>
          <t>각성 4단계</t>
        </is>
      </c>
      <c r="B10" s="8" t="inlineStr">
        <is>
          <t>⭐일반(1x)</t>
        </is>
      </c>
      <c r="C10" s="8" t="inlineStr">
        <is>
          <t>⭐⭐각성(1.5x)</t>
        </is>
      </c>
      <c r="D10" s="8" t="inlineStr">
        <is>
          <t>⭐⭐⭐초월(2x)</t>
        </is>
      </c>
      <c r="E10" s="8" t="inlineStr">
        <is>
          <t>🌟신격화(3x)</t>
        </is>
      </c>
      <c r="F10" s="8" t="inlineStr">
        <is>
          <t>mat_soul/dragon/primal 필요</t>
        </is>
      </c>
    </row>
    <row r="11">
      <c r="A11" s="9" t="inlineStr">
        <is>
          <t>신화 보스</t>
        </is>
      </c>
      <c r="B11" s="9" t="inlineStr">
        <is>
          <t>🐍 요르문간드</t>
        </is>
      </c>
      <c r="C11" s="9" t="inlineStr">
        <is>
          <t>HP 200K</t>
        </is>
      </c>
      <c r="D11" s="9" t="inlineStr">
        <is>
          <t>펜리르+레비아탄</t>
        </is>
      </c>
      <c r="E11" s="9" t="inlineStr">
        <is>
          <t>라그나로크 세트+칭호</t>
        </is>
      </c>
      <c r="F11" s="9" t="inlineStr"/>
    </row>
    <row r="12">
      <c r="A12" s="8" t="inlineStr">
        <is>
          <t>신화 보스</t>
        </is>
      </c>
      <c r="B12" s="8" t="inlineStr">
        <is>
          <t>🐉 티아마트</t>
        </is>
      </c>
      <c r="C12" s="8" t="inlineStr">
        <is>
          <t>HP 300K</t>
        </is>
      </c>
      <c r="D12" s="8" t="inlineStr">
        <is>
          <t>바하무트+타나토스</t>
        </is>
      </c>
      <c r="E12" s="8" t="inlineStr">
        <is>
          <t>혼돈의 왕관+칭호</t>
        </is>
      </c>
      <c r="F12" s="8" t="inlineStr"/>
    </row>
  </sheetData>
  <mergeCells count="1">
    <mergeCell ref="A1:F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2" customWidth="1" min="1" max="1"/>
    <col width="14" customWidth="1" min="2" max="2"/>
    <col width="26" customWidth="1" min="3" max="3"/>
    <col width="24" customWidth="1" min="4" max="4"/>
    <col width="14" customWidth="1" min="5" max="5"/>
    <col width="10" customWidth="1" min="6" max="6"/>
  </cols>
  <sheetData>
    <row r="1">
      <c r="A1" s="6" t="inlineStr">
        <is>
          <t>고대 유적 탐험 (v2.34)</t>
        </is>
      </c>
    </row>
    <row r="3">
      <c r="A3" s="7" t="inlineStr">
        <is>
          <t>방 타입</t>
        </is>
      </c>
      <c r="B3" s="7" t="inlineStr">
        <is>
          <t>확률/위치</t>
        </is>
      </c>
      <c r="C3" s="7" t="inlineStr">
        <is>
          <t>내용</t>
        </is>
      </c>
      <c r="D3" s="7" t="inlineStr">
        <is>
          <t>보상/효과</t>
        </is>
      </c>
      <c r="E3" s="7" t="inlineStr">
        <is>
          <t>스케일</t>
        </is>
      </c>
      <c r="F3" s="7" t="inlineStr">
        <is>
          <t>비고</t>
        </is>
      </c>
    </row>
    <row r="4">
      <c r="A4" s="8" t="inlineStr">
        <is>
          <t>⬜ 빈 방</t>
        </is>
      </c>
      <c r="B4" s="8" t="inlineStr">
        <is>
          <t>20%</t>
        </is>
      </c>
      <c r="C4" s="8" t="inlineStr">
        <is>
          <t>안전한 쉼터</t>
        </is>
      </c>
      <c r="D4" s="8" t="inlineStr">
        <is>
          <t>없음</t>
        </is>
      </c>
      <c r="E4" s="8" t="inlineStr"/>
      <c r="F4" s="8" t="inlineStr"/>
    </row>
    <row r="5">
      <c r="A5" s="9" t="inlineStr">
        <is>
          <t>👹 몬스터</t>
        </is>
      </c>
      <c r="B5" s="9" t="inlineStr">
        <is>
          <t>30%</t>
        </is>
      </c>
      <c r="C5" s="9" t="inlineStr">
        <is>
          <t>전투 (층 스케일)</t>
        </is>
      </c>
      <c r="D5" s="9" t="inlineStr">
        <is>
          <t>골드+EXP</t>
        </is>
      </c>
      <c r="E5" s="9" t="inlineStr">
        <is>
          <t>HP=300×1.15^층</t>
        </is>
      </c>
      <c r="F5" s="9" t="inlineStr"/>
    </row>
    <row r="6">
      <c r="A6" s="8" t="inlineStr">
        <is>
          <t>💰 보물</t>
        </is>
      </c>
      <c r="B6" s="8" t="inlineStr">
        <is>
          <t>12%</t>
        </is>
      </c>
      <c r="C6" s="8" t="inlineStr">
        <is>
          <t>상자 (5등급)</t>
        </is>
      </c>
      <c r="D6" s="8" t="inlineStr">
        <is>
          <t>1-4층 common ~ 30+층 legendary</t>
        </is>
      </c>
      <c r="E6" s="8" t="inlineStr"/>
      <c r="F6" s="8" t="inlineStr"/>
    </row>
    <row r="7">
      <c r="A7" s="9" t="inlineStr">
        <is>
          <t>⚠️ 함정</t>
        </is>
      </c>
      <c r="B7" s="9" t="inlineStr">
        <is>
          <t>15%</t>
        </is>
      </c>
      <c r="C7" s="9" t="inlineStr">
        <is>
          <t>독침/화염/낙석/빙결/차원/저주</t>
        </is>
      </c>
      <c r="D7" s="9" t="inlineStr">
        <is>
          <t>HP 데미지+디버프</t>
        </is>
      </c>
      <c r="E7" s="9" t="inlineStr">
        <is>
          <t>6종 랜덤</t>
        </is>
      </c>
      <c r="F7" s="9" t="inlineStr"/>
    </row>
    <row r="8">
      <c r="A8" s="8" t="inlineStr">
        <is>
          <t>🧩 퍼즐</t>
        </is>
      </c>
      <c r="B8" s="8" t="inlineStr">
        <is>
          <t>8%</t>
        </is>
      </c>
      <c r="C8" s="8" t="inlineStr">
        <is>
          <t>순서/수수께끼/기억/전투</t>
        </is>
      </c>
      <c r="D8" s="8" t="inlineStr">
        <is>
          <t>uncommon~epic 보상</t>
        </is>
      </c>
      <c r="E8" s="8" t="inlineStr">
        <is>
          <t>성공률 60%</t>
        </is>
      </c>
      <c r="F8" s="8" t="inlineStr"/>
    </row>
    <row r="9">
      <c r="A9" s="9" t="inlineStr">
        <is>
          <t>🏪 상인</t>
        </is>
      </c>
      <c r="B9" s="9" t="inlineStr">
        <is>
          <t>5%</t>
        </is>
      </c>
      <c r="C9" s="9" t="inlineStr">
        <is>
          <t>횃불/열쇠/지도/탈출</t>
        </is>
      </c>
      <c r="D9" s="9" t="inlineStr">
        <is>
          <t>골드 구매</t>
        </is>
      </c>
      <c r="E9" s="9" t="inlineStr">
        <is>
          <t>5종 상품</t>
        </is>
      </c>
      <c r="F9" s="9" t="inlineStr"/>
    </row>
    <row r="10">
      <c r="A10" s="8" t="inlineStr">
        <is>
          <t>⛩️ 제단</t>
        </is>
      </c>
      <c r="B10" s="8" t="inlineStr">
        <is>
          <t>5%</t>
        </is>
      </c>
      <c r="C10" s="8" t="inlineStr">
        <is>
          <t>힐/ATK버프/EXP버프/저주/행운/맵공개</t>
        </is>
      </c>
      <c r="D10" s="8" t="inlineStr">
        <is>
          <t>6종 랜덤</t>
        </is>
      </c>
      <c r="E10" s="8" t="inlineStr"/>
      <c r="F10" s="8" t="inlineStr"/>
    </row>
    <row r="11">
      <c r="A11" s="9" t="inlineStr">
        <is>
          <t>💀 보스</t>
        </is>
      </c>
      <c r="B11" s="9" t="inlineStr">
        <is>
          <t>매 층 1개</t>
        </is>
      </c>
      <c r="C11" s="9" t="inlineStr">
        <is>
          <t>층 수호자 (처치→출구)</t>
        </is>
      </c>
      <c r="D11" s="9" t="inlineStr">
        <is>
          <t>3000×스케일 HP</t>
        </is>
      </c>
      <c r="E11" s="9" t="inlineStr">
        <is>
          <t>층당 강해짐</t>
        </is>
      </c>
      <c r="F11" s="9" t="inlineStr"/>
    </row>
    <row r="12">
      <c r="A12" s="8" t="inlineStr">
        <is>
          <t>🔮 비밀</t>
        </is>
      </c>
      <c r="B12" s="8" t="inlineStr">
        <is>
          <t>3%</t>
        </is>
      </c>
      <c r="C12" s="8" t="inlineStr">
        <is>
          <t>고급 보물 (rare~epic)</t>
        </is>
      </c>
      <c r="D12" s="8" t="inlineStr">
        <is>
          <t>숨겨진 공간</t>
        </is>
      </c>
      <c r="E12" s="8" t="inlineStr">
        <is>
          <t>열쇠 필요 가능</t>
        </is>
      </c>
      <c r="F12" s="8" t="inlineStr"/>
    </row>
    <row r="13">
      <c r="A13" s="9" t="inlineStr">
        <is>
          <t>🚪 출구</t>
        </is>
      </c>
      <c r="B13" s="9" t="inlineStr">
        <is>
          <t>매 층 1개</t>
        </is>
      </c>
      <c r="C13" s="9" t="inlineStr">
        <is>
          <t>다음 층 (보스 처치 후)</t>
        </is>
      </c>
      <c r="D13" s="9" t="inlineStr">
        <is>
          <t>무한 깊이</t>
        </is>
      </c>
      <c r="E13" s="9" t="inlineStr"/>
      <c r="F13" s="9" t="inlineStr"/>
    </row>
    <row r="14">
      <c r="A14" s="8" t="inlineStr">
        <is>
          <t>무한 스케일</t>
        </is>
      </c>
      <c r="B14" s="8" t="inlineStr">
        <is>
          <t>방 수: 8+1.5×층</t>
        </is>
      </c>
      <c r="C14" s="8" t="inlineStr">
        <is>
          <t>몬스터: HP/ATK/DEF ×1.15^층</t>
        </is>
      </c>
      <c r="D14" s="8" t="inlineStr">
        <is>
          <t>보물: 층↑ 등급↑</t>
        </is>
      </c>
      <c r="E14" s="8" t="inlineStr"/>
      <c r="F14" s="8" t="inlineStr"/>
    </row>
  </sheetData>
  <mergeCells count="1">
    <mergeCell ref="A1:F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4" customWidth="1" min="1" max="1"/>
    <col width="8" customWidth="1" min="2" max="2"/>
    <col width="14" customWidth="1" min="3" max="3"/>
    <col width="10" customWidth="1" min="4" max="4"/>
    <col width="28" customWidth="1" min="5" max="5"/>
    <col width="24" customWidth="1" min="6" max="6"/>
  </cols>
  <sheetData>
    <row r="1">
      <c r="A1" s="6" t="inlineStr">
        <is>
          <t>세계 보스 연대기 (v2.35)</t>
        </is>
      </c>
    </row>
    <row r="3">
      <c r="A3" s="7" t="inlineStr">
        <is>
          <t>시즌</t>
        </is>
      </c>
      <c r="B3" s="7" t="inlineStr">
        <is>
          <t>장</t>
        </is>
      </c>
      <c r="C3" s="7" t="inlineStr">
        <is>
          <t>보스</t>
        </is>
      </c>
      <c r="D3" s="7" t="inlineStr">
        <is>
          <t>HP</t>
        </is>
      </c>
      <c r="E3" s="7" t="inlineStr">
        <is>
          <t>기믹</t>
        </is>
      </c>
      <c r="F3" s="7" t="inlineStr">
        <is>
          <t>보상</t>
        </is>
      </c>
    </row>
    <row r="4">
      <c r="A4" s="8" t="inlineStr">
        <is>
          <t>⚡🔥 라그나로크</t>
        </is>
      </c>
      <c r="B4" s="8" t="inlineStr">
        <is>
          <t>제1장</t>
        </is>
      </c>
      <c r="C4" s="8" t="inlineStr">
        <is>
          <t>🧊 흐림투르스</t>
        </is>
      </c>
      <c r="D4" s="8" t="inlineStr">
        <is>
          <t>HP 150K</t>
        </is>
      </c>
      <c r="E4" s="8" t="inlineStr">
        <is>
          <t>빙결 파도 (전체 3초 빙결)</t>
        </is>
      </c>
      <c r="F4" s="8" t="inlineStr">
        <is>
          <t>8K G, 40D</t>
        </is>
      </c>
    </row>
    <row r="5">
      <c r="A5" s="9" t="inlineStr"/>
      <c r="B5" s="9" t="inlineStr">
        <is>
          <t>제2장</t>
        </is>
      </c>
      <c r="C5" s="9" t="inlineStr">
        <is>
          <t>🔥 수르트</t>
        </is>
      </c>
      <c r="D5" s="9" t="inlineStr">
        <is>
          <t>HP 250K</t>
        </is>
      </c>
      <c r="E5" s="9" t="inlineStr">
        <is>
          <t>맵 절반 화염 즉사 존</t>
        </is>
      </c>
      <c r="F5" s="9" t="inlineStr">
        <is>
          <t>15K G, 80D</t>
        </is>
      </c>
    </row>
    <row r="6">
      <c r="A6" s="8" t="inlineStr"/>
      <c r="B6" s="8" t="inlineStr">
        <is>
          <t>최종장</t>
        </is>
      </c>
      <c r="C6" s="8" t="inlineStr">
        <is>
          <t>🐍 요르문간드</t>
        </is>
      </c>
      <c r="D6" s="8" t="inlineStr">
        <is>
          <t>HP 500K</t>
        </is>
      </c>
      <c r="E6" s="8" t="inlineStr">
        <is>
          <t>해일+독+분노(ATK3배)</t>
        </is>
      </c>
      <c r="F6" s="8" t="inlineStr">
        <is>
          <t>30K G, 200D, 전설 무기+칭호</t>
        </is>
      </c>
    </row>
    <row r="7">
      <c r="A7" s="9" t="inlineStr">
        <is>
          <t>⚡🏛️ 올림포스</t>
        </is>
      </c>
      <c r="B7" s="9" t="inlineStr">
        <is>
          <t>제1장</t>
        </is>
      </c>
      <c r="C7" s="9" t="inlineStr">
        <is>
          <t>🔱 포세이돈</t>
        </is>
      </c>
      <c r="D7" s="9" t="inlineStr">
        <is>
          <t>HP 180K</t>
        </is>
      </c>
      <c r="E7" s="9" t="inlineStr">
        <is>
          <t>소용돌이 즉사</t>
        </is>
      </c>
      <c r="F7" s="9" t="inlineStr">
        <is>
          <t>10K G, 50D</t>
        </is>
      </c>
    </row>
    <row r="8">
      <c r="A8" s="8" t="inlineStr"/>
      <c r="B8" s="8" t="inlineStr">
        <is>
          <t>제2장</t>
        </is>
      </c>
      <c r="C8" s="8" t="inlineStr">
        <is>
          <t>⚔️ 아레스</t>
        </is>
      </c>
      <c r="D8" s="8" t="inlineStr">
        <is>
          <t>HP 300K</t>
        </is>
      </c>
      <c r="E8" s="8" t="inlineStr">
        <is>
          <t>전쟁 광기 (아군 PvP 강제!)</t>
        </is>
      </c>
      <c r="F8" s="8" t="inlineStr">
        <is>
          <t>18K G, 100D</t>
        </is>
      </c>
    </row>
    <row r="9">
      <c r="A9" s="9" t="inlineStr"/>
      <c r="B9" s="9" t="inlineStr">
        <is>
          <t>최종장</t>
        </is>
      </c>
      <c r="C9" s="9" t="inlineStr">
        <is>
          <t>⚡ 제우스</t>
        </is>
      </c>
      <c r="D9" s="9" t="inlineStr">
        <is>
          <t>HP 600K</t>
        </is>
      </c>
      <c r="E9" s="9" t="inlineStr">
        <is>
          <t>DPS 1위 즉사 번개!</t>
        </is>
      </c>
      <c r="F9" s="9" t="inlineStr">
        <is>
          <t>40K G, 300D, 아이기스+칭호</t>
        </is>
      </c>
    </row>
    <row r="10">
      <c r="A10" s="8" t="inlineStr">
        <is>
          <t>🐲🌸 동방</t>
        </is>
      </c>
      <c r="B10" s="8" t="inlineStr">
        <is>
          <t>제1장</t>
        </is>
      </c>
      <c r="C10" s="8" t="inlineStr">
        <is>
          <t>🦊 구미호</t>
        </is>
      </c>
      <c r="D10" s="8" t="inlineStr">
        <is>
          <t>HP 120K</t>
        </is>
      </c>
      <c r="E10" s="8" t="inlineStr">
        <is>
          <t>5명 매혹 (아군 공격!)</t>
        </is>
      </c>
      <c r="F10" s="8" t="inlineStr">
        <is>
          <t>7K G, 35D</t>
        </is>
      </c>
    </row>
    <row r="11">
      <c r="A11" s="9" t="inlineStr"/>
      <c r="B11" s="9" t="inlineStr">
        <is>
          <t>제2장</t>
        </is>
      </c>
      <c r="C11" s="9" t="inlineStr">
        <is>
          <t>🐲 용왕</t>
        </is>
      </c>
      <c r="D11" s="9" t="inlineStr">
        <is>
          <t>HP 280K</t>
        </is>
      </c>
      <c r="E11" s="9" t="inlineStr">
        <is>
          <t>맵 수중 변환 (속도-50%)</t>
        </is>
      </c>
      <c r="F11" s="9" t="inlineStr">
        <is>
          <t>16K G, 90D</t>
        </is>
      </c>
    </row>
    <row r="12">
      <c r="A12" s="8" t="inlineStr"/>
      <c r="B12" s="8" t="inlineStr">
        <is>
          <t>최종장</t>
        </is>
      </c>
      <c r="C12" s="8" t="inlineStr">
        <is>
          <t>☯️ 혼돈</t>
        </is>
      </c>
      <c r="D12" s="8" t="inlineStr">
        <is>
          <t>HP 700K</t>
        </is>
      </c>
      <c r="E12" s="8" t="inlineStr">
        <is>
          <t>속성 반전 (잘못 치면 힐!)</t>
        </is>
      </c>
      <c r="F12" s="8" t="inlineStr">
        <is>
          <t>50K G, 350D, 동방 왕관+칭호</t>
        </is>
      </c>
    </row>
    <row r="13">
      <c r="A13" s="9" t="inlineStr">
        <is>
          <t>설정</t>
        </is>
      </c>
      <c r="B13" s="9" t="inlineStr">
        <is>
          <t>3시즌 회전</t>
        </is>
      </c>
      <c r="C13" s="9" t="inlineStr">
        <is>
          <t>주간 리셋</t>
        </is>
      </c>
      <c r="D13" s="9" t="inlineStr">
        <is>
          <t>1→2→3 순차</t>
        </is>
      </c>
      <c r="E13" s="9" t="inlineStr">
        <is>
          <t>MVP 3배 보상</t>
        </is>
      </c>
      <c r="F13" s="9" t="inlineStr">
        <is>
          <t>전 서버 협동</t>
        </is>
      </c>
    </row>
  </sheetData>
  <mergeCells count="1">
    <mergeCell ref="A1:F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18" customWidth="1" min="1" max="1"/>
    <col width="16" customWidth="1" min="2" max="2"/>
    <col width="6" customWidth="1" min="3" max="3"/>
    <col width="8" customWidth="1" min="4" max="4"/>
    <col width="5" customWidth="1" min="5" max="5"/>
    <col width="8" customWidth="1" min="6" max="6"/>
    <col width="6" customWidth="1" min="7" max="7"/>
    <col width="18" customWidth="1" min="8" max="8"/>
    <col width="10" customWidth="1" min="9" max="9"/>
    <col width="24" customWidth="1" min="10" max="10"/>
    <col width="16" customWidth="1" min="11" max="11"/>
  </cols>
  <sheetData>
    <row r="1">
      <c r="A1" s="6" t="inlineStr">
        <is>
          <t>마법 연구소 (v2.37)</t>
        </is>
      </c>
    </row>
    <row r="3">
      <c r="A3" s="7" t="inlineStr">
        <is>
          <t>연구ID</t>
        </is>
      </c>
      <c r="B3" s="7" t="inlineStr">
        <is>
          <t>이름</t>
        </is>
      </c>
      <c r="C3" s="7" t="inlineStr">
        <is>
          <t>아이콘</t>
        </is>
      </c>
      <c r="D3" s="7" t="inlineStr">
        <is>
          <t>계열</t>
        </is>
      </c>
      <c r="E3" s="7" t="inlineStr">
        <is>
          <t>티어</t>
        </is>
      </c>
      <c r="F3" s="7" t="inlineStr">
        <is>
          <t>골드</t>
        </is>
      </c>
      <c r="G3" s="7" t="inlineStr">
        <is>
          <t>MP</t>
        </is>
      </c>
      <c r="H3" s="7" t="inlineStr">
        <is>
          <t>재료</t>
        </is>
      </c>
      <c r="I3" s="7" t="inlineStr">
        <is>
          <t>연구시간(초)</t>
        </is>
      </c>
      <c r="J3" s="7" t="inlineStr">
        <is>
          <t>효과</t>
        </is>
      </c>
      <c r="K3" s="7" t="inlineStr">
        <is>
          <t>선행연구</t>
        </is>
      </c>
    </row>
    <row r="4">
      <c r="A4" s="8" t="inlineStr">
        <is>
          <t>fire_mastery</t>
        </is>
      </c>
      <c r="B4" s="8" t="inlineStr">
        <is>
          <t>화염 숙련</t>
        </is>
      </c>
      <c r="C4" s="8" t="inlineStr">
        <is>
          <t>🔥</t>
        </is>
      </c>
      <c r="D4" s="8" t="inlineStr">
        <is>
          <t>화염</t>
        </is>
      </c>
      <c r="E4" s="8" t="n">
        <v>1</v>
      </c>
      <c r="F4" s="8" t="n">
        <v>5000</v>
      </c>
      <c r="G4" s="8" t="n">
        <v>50</v>
      </c>
      <c r="H4" s="8" t="inlineStr">
        <is>
          <t>-</t>
        </is>
      </c>
      <c r="I4" s="8" t="n">
        <v>1800</v>
      </c>
      <c r="J4" s="8" t="inlineStr">
        <is>
          <t>fireAtk +10%</t>
        </is>
      </c>
      <c r="K4" s="8" t="inlineStr">
        <is>
          <t>-</t>
        </is>
      </c>
    </row>
    <row r="5">
      <c r="A5" s="9" t="inlineStr">
        <is>
          <t>fireball_enhance</t>
        </is>
      </c>
      <c r="B5" s="9" t="inlineStr">
        <is>
          <t>파이어볼 강화</t>
        </is>
      </c>
      <c r="C5" s="9" t="inlineStr">
        <is>
          <t>🔥+</t>
        </is>
      </c>
      <c r="D5" s="9" t="inlineStr">
        <is>
          <t>화염</t>
        </is>
      </c>
      <c r="E5" s="9" t="n">
        <v>2</v>
      </c>
      <c r="F5" s="9" t="n">
        <v>15000</v>
      </c>
      <c r="G5" s="9" t="n">
        <v>100</v>
      </c>
      <c r="H5" s="9" t="inlineStr">
        <is>
          <t>-</t>
        </is>
      </c>
      <c r="I5" s="9" t="n">
        <v>3600</v>
      </c>
      <c r="J5" s="9" t="inlineStr">
        <is>
          <t>fireballMult +30%</t>
        </is>
      </c>
      <c r="K5" s="9" t="inlineStr">
        <is>
          <t>fire_mastery</t>
        </is>
      </c>
    </row>
    <row r="6">
      <c r="A6" s="8" t="inlineStr">
        <is>
          <t>meteor_rain</t>
        </is>
      </c>
      <c r="B6" s="8" t="inlineStr">
        <is>
          <t>메테오 레인</t>
        </is>
      </c>
      <c r="C6" s="8" t="inlineStr">
        <is>
          <t>☄️</t>
        </is>
      </c>
      <c r="D6" s="8" t="inlineStr">
        <is>
          <t>화염</t>
        </is>
      </c>
      <c r="E6" s="8" t="n">
        <v>3</v>
      </c>
      <c r="F6" s="8" t="n">
        <v>50000</v>
      </c>
      <c r="G6" s="8" t="n">
        <v>200</v>
      </c>
      <c r="H6" s="8" t="inlineStr">
        <is>
          <t>mat_dragon</t>
        </is>
      </c>
      <c r="I6" s="8" t="n">
        <v>7200</v>
      </c>
      <c r="J6" s="8" t="inlineStr">
        <is>
          <t>신규스킬: 5연속 낙하</t>
        </is>
      </c>
      <c r="K6" s="8" t="inlineStr">
        <is>
          <t>fireball_enhance</t>
        </is>
      </c>
    </row>
    <row r="7">
      <c r="A7" s="9" t="inlineStr">
        <is>
          <t>inferno_aura</t>
        </is>
      </c>
      <c r="B7" s="9" t="inlineStr">
        <is>
          <t>인페르노 오라</t>
        </is>
      </c>
      <c r="C7" s="9" t="inlineStr">
        <is>
          <t>🔥🔥</t>
        </is>
      </c>
      <c r="D7" s="9" t="inlineStr">
        <is>
          <t>화염</t>
        </is>
      </c>
      <c r="E7" s="9" t="n">
        <v>4</v>
      </c>
      <c r="F7" s="9" t="n">
        <v>100000</v>
      </c>
      <c r="G7" s="9" t="n">
        <v>300</v>
      </c>
      <c r="H7" s="9" t="inlineStr">
        <is>
          <t>relic_sun_shard</t>
        </is>
      </c>
      <c r="I7" s="9" t="n">
        <v>14400</v>
      </c>
      <c r="J7" s="9" t="inlineStr">
        <is>
          <t>상시 화염 오라 DPS 10</t>
        </is>
      </c>
      <c r="K7" s="9" t="inlineStr">
        <is>
          <t>meteor_rain</t>
        </is>
      </c>
    </row>
    <row r="8">
      <c r="A8" s="8" t="inlineStr">
        <is>
          <t>ice_mastery</t>
        </is>
      </c>
      <c r="B8" s="8" t="inlineStr">
        <is>
          <t>빙결 숙련</t>
        </is>
      </c>
      <c r="C8" s="8" t="inlineStr">
        <is>
          <t>❄️</t>
        </is>
      </c>
      <c r="D8" s="8" t="inlineStr">
        <is>
          <t>빙결</t>
        </is>
      </c>
      <c r="E8" s="8" t="n">
        <v>1</v>
      </c>
      <c r="F8" s="8" t="n">
        <v>5000</v>
      </c>
      <c r="G8" s="8" t="n">
        <v>50</v>
      </c>
      <c r="H8" s="8" t="inlineStr">
        <is>
          <t>-</t>
        </is>
      </c>
      <c r="I8" s="8" t="n">
        <v>1800</v>
      </c>
      <c r="J8" s="8" t="inlineStr">
        <is>
          <t>iceAtk +10%</t>
        </is>
      </c>
      <c r="K8" s="8" t="inlineStr">
        <is>
          <t>-</t>
        </is>
      </c>
    </row>
    <row r="9">
      <c r="A9" s="9" t="inlineStr">
        <is>
          <t>frost_armor</t>
        </is>
      </c>
      <c r="B9" s="9" t="inlineStr">
        <is>
          <t>서리 갑옷</t>
        </is>
      </c>
      <c r="C9" s="9" t="inlineStr">
        <is>
          <t>🧊</t>
        </is>
      </c>
      <c r="D9" s="9" t="inlineStr">
        <is>
          <t>빙결</t>
        </is>
      </c>
      <c r="E9" s="9" t="n">
        <v>2</v>
      </c>
      <c r="F9" s="9" t="n">
        <v>15000</v>
      </c>
      <c r="G9" s="9" t="n">
        <v>100</v>
      </c>
      <c r="H9" s="9" t="inlineStr">
        <is>
          <t>-</t>
        </is>
      </c>
      <c r="I9" s="9" t="n">
        <v>3600</v>
      </c>
      <c r="J9" s="9" t="inlineStr">
        <is>
          <t>DEF+15, 피격둔화10%</t>
        </is>
      </c>
      <c r="K9" s="9" t="inlineStr">
        <is>
          <t>ice_mastery</t>
        </is>
      </c>
    </row>
    <row r="10">
      <c r="A10" s="8" t="inlineStr">
        <is>
          <t>blizzard</t>
        </is>
      </c>
      <c r="B10" s="8" t="inlineStr">
        <is>
          <t>블리자드</t>
        </is>
      </c>
      <c r="C10" s="8" t="inlineStr">
        <is>
          <t>🌨️</t>
        </is>
      </c>
      <c r="D10" s="8" t="inlineStr">
        <is>
          <t>빙결</t>
        </is>
      </c>
      <c r="E10" s="8" t="n">
        <v>3</v>
      </c>
      <c r="F10" s="8" t="n">
        <v>50000</v>
      </c>
      <c r="G10" s="8" t="n">
        <v>200</v>
      </c>
      <c r="H10" s="8" t="inlineStr">
        <is>
          <t>relic_frost_crown</t>
        </is>
      </c>
      <c r="I10" s="8" t="n">
        <v>7200</v>
      </c>
      <c r="J10" s="8" t="inlineStr">
        <is>
          <t>범위 빙결 3초</t>
        </is>
      </c>
      <c r="K10" s="8" t="inlineStr">
        <is>
          <t>frost_armor</t>
        </is>
      </c>
    </row>
    <row r="11">
      <c r="A11" s="9" t="inlineStr">
        <is>
          <t>absolute_zero_field</t>
        </is>
      </c>
      <c r="B11" s="9" t="inlineStr">
        <is>
          <t>절대 영도 필드</t>
        </is>
      </c>
      <c r="C11" s="9" t="inlineStr">
        <is>
          <t>💠</t>
        </is>
      </c>
      <c r="D11" s="9" t="inlineStr">
        <is>
          <t>빙결</t>
        </is>
      </c>
      <c r="E11" s="9" t="n">
        <v>4</v>
      </c>
      <c r="F11" s="9" t="n">
        <v>100000</v>
      </c>
      <c r="G11" s="9" t="n">
        <v>300</v>
      </c>
      <c r="H11" s="9" t="inlineStr">
        <is>
          <t>relic_rain_crystal</t>
        </is>
      </c>
      <c r="I11" s="9" t="n">
        <v>14400</v>
      </c>
      <c r="J11" s="9" t="inlineStr">
        <is>
          <t>주변 속도-30%</t>
        </is>
      </c>
      <c r="K11" s="9" t="inlineStr">
        <is>
          <t>blizzard</t>
        </is>
      </c>
    </row>
    <row r="12">
      <c r="A12" s="8" t="inlineStr">
        <is>
          <t>thunder_mastery</t>
        </is>
      </c>
      <c r="B12" s="8" t="inlineStr">
        <is>
          <t>번개 숙련</t>
        </is>
      </c>
      <c r="C12" s="8" t="inlineStr">
        <is>
          <t>⚡</t>
        </is>
      </c>
      <c r="D12" s="8" t="inlineStr">
        <is>
          <t>번개</t>
        </is>
      </c>
      <c r="E12" s="8" t="n">
        <v>1</v>
      </c>
      <c r="F12" s="8" t="n">
        <v>5000</v>
      </c>
      <c r="G12" s="8" t="n">
        <v>50</v>
      </c>
      <c r="H12" s="8" t="inlineStr">
        <is>
          <t>-</t>
        </is>
      </c>
      <c r="I12" s="8" t="n">
        <v>1800</v>
      </c>
      <c r="J12" s="8" t="inlineStr">
        <is>
          <t>thunderAtk +10%</t>
        </is>
      </c>
      <c r="K12" s="8" t="inlineStr">
        <is>
          <t>-</t>
        </is>
      </c>
    </row>
    <row r="13">
      <c r="A13" s="9" t="inlineStr">
        <is>
          <t>chain_lightning</t>
        </is>
      </c>
      <c r="B13" s="9" t="inlineStr">
        <is>
          <t>체인 라이트닝</t>
        </is>
      </c>
      <c r="C13" s="9" t="inlineStr">
        <is>
          <t>⚡⚡</t>
        </is>
      </c>
      <c r="D13" s="9" t="inlineStr">
        <is>
          <t>번개</t>
        </is>
      </c>
      <c r="E13" s="9" t="n">
        <v>2</v>
      </c>
      <c r="F13" s="9" t="n">
        <v>15000</v>
      </c>
      <c r="G13" s="9" t="n">
        <v>100</v>
      </c>
      <c r="H13" s="9" t="inlineStr">
        <is>
          <t>-</t>
        </is>
      </c>
      <c r="I13" s="9" t="n">
        <v>3600</v>
      </c>
      <c r="J13" s="9" t="inlineStr">
        <is>
          <t>신규스킬: 연쇄 3명</t>
        </is>
      </c>
      <c r="K13" s="9" t="inlineStr">
        <is>
          <t>thunder_mastery</t>
        </is>
      </c>
    </row>
    <row r="14">
      <c r="A14" s="8" t="inlineStr">
        <is>
          <t>thunder_god</t>
        </is>
      </c>
      <c r="B14" s="8" t="inlineStr">
        <is>
          <t>뇌신의 권능</t>
        </is>
      </c>
      <c r="C14" s="8" t="inlineStr">
        <is>
          <t>🌩️</t>
        </is>
      </c>
      <c r="D14" s="8" t="inlineStr">
        <is>
          <t>번개</t>
        </is>
      </c>
      <c r="E14" s="8" t="n">
        <v>3</v>
      </c>
      <c r="F14" s="8" t="n">
        <v>50000</v>
      </c>
      <c r="G14" s="8" t="n">
        <v>200</v>
      </c>
      <c r="H14" s="8" t="inlineStr">
        <is>
          <t>relic_thunder_orb</t>
        </is>
      </c>
      <c r="I14" s="8" t="n">
        <v>7200</v>
      </c>
      <c r="J14" s="8" t="inlineStr">
        <is>
          <t>번개크리+20%, 기절15%</t>
        </is>
      </c>
      <c r="K14" s="8" t="inlineStr">
        <is>
          <t>chain_lightning</t>
        </is>
      </c>
    </row>
    <row r="15">
      <c r="A15" s="9" t="inlineStr">
        <is>
          <t>ragnarok_bolt</t>
        </is>
      </c>
      <c r="B15" s="9" t="inlineStr">
        <is>
          <t>라그나로크 볼트</t>
        </is>
      </c>
      <c r="C15" s="9" t="inlineStr">
        <is>
          <t>⚡💀</t>
        </is>
      </c>
      <c r="D15" s="9" t="inlineStr">
        <is>
          <t>번개</t>
        </is>
      </c>
      <c r="E15" s="9" t="n">
        <v>4</v>
      </c>
      <c r="F15" s="9" t="n">
        <v>100000</v>
      </c>
      <c r="G15" s="9" t="n">
        <v>300</v>
      </c>
      <c r="H15" s="9" t="inlineStr">
        <is>
          <t>relic_omega_core</t>
        </is>
      </c>
      <c r="I15" s="9" t="n">
        <v>14400</v>
      </c>
      <c r="J15" s="9" t="inlineStr">
        <is>
          <t>궁극 번개 ATKx8</t>
        </is>
      </c>
      <c r="K15" s="9" t="inlineStr">
        <is>
          <t>thunder_god</t>
        </is>
      </c>
    </row>
    <row r="16">
      <c r="A16" s="8" t="inlineStr">
        <is>
          <t>dark_mastery</t>
        </is>
      </c>
      <c r="B16" s="8" t="inlineStr">
        <is>
          <t>암흑 숙련</t>
        </is>
      </c>
      <c r="C16" s="8" t="inlineStr">
        <is>
          <t>🌑</t>
        </is>
      </c>
      <c r="D16" s="8" t="inlineStr">
        <is>
          <t>암흑</t>
        </is>
      </c>
      <c r="E16" s="8" t="n">
        <v>1</v>
      </c>
      <c r="F16" s="8" t="n">
        <v>5000</v>
      </c>
      <c r="G16" s="8" t="n">
        <v>50</v>
      </c>
      <c r="H16" s="8" t="inlineStr">
        <is>
          <t>-</t>
        </is>
      </c>
      <c r="I16" s="8" t="n">
        <v>1800</v>
      </c>
      <c r="J16" s="8" t="inlineStr">
        <is>
          <t>darkAtk +10%</t>
        </is>
      </c>
      <c r="K16" s="8" t="inlineStr">
        <is>
          <t>-</t>
        </is>
      </c>
    </row>
    <row r="17">
      <c r="A17" s="9" t="inlineStr">
        <is>
          <t>soul_drain</t>
        </is>
      </c>
      <c r="B17" s="9" t="inlineStr">
        <is>
          <t>영혼 흡수</t>
        </is>
      </c>
      <c r="C17" s="9" t="inlineStr">
        <is>
          <t>👻</t>
        </is>
      </c>
      <c r="D17" s="9" t="inlineStr">
        <is>
          <t>암흑</t>
        </is>
      </c>
      <c r="E17" s="9" t="n">
        <v>2</v>
      </c>
      <c r="F17" s="9" t="n">
        <v>15000</v>
      </c>
      <c r="G17" s="9" t="n">
        <v>100</v>
      </c>
      <c r="H17" s="9" t="inlineStr">
        <is>
          <t>-</t>
        </is>
      </c>
      <c r="I17" s="9" t="n">
        <v>3600</v>
      </c>
      <c r="J17" s="9" t="inlineStr">
        <is>
          <t>흡혈 +5%</t>
        </is>
      </c>
      <c r="K17" s="9" t="inlineStr">
        <is>
          <t>dark_mastery</t>
        </is>
      </c>
    </row>
    <row r="18">
      <c r="A18" s="8" t="inlineStr">
        <is>
          <t>shadow_realm</t>
        </is>
      </c>
      <c r="B18" s="8" t="inlineStr">
        <is>
          <t>그림자 영역</t>
        </is>
      </c>
      <c r="C18" s="8" t="inlineStr">
        <is>
          <t>🕳️</t>
        </is>
      </c>
      <c r="D18" s="8" t="inlineStr">
        <is>
          <t>암흑</t>
        </is>
      </c>
      <c r="E18" s="8" t="n">
        <v>3</v>
      </c>
      <c r="F18" s="8" t="n">
        <v>50000</v>
      </c>
      <c r="G18" s="8" t="n">
        <v>200</v>
      </c>
      <c r="H18" s="8" t="inlineStr">
        <is>
          <t>mat_soul</t>
        </is>
      </c>
      <c r="I18" s="8" t="n">
        <v>7200</v>
      </c>
      <c r="J18" s="8" t="inlineStr">
        <is>
          <t>5초 은신+ATK2배</t>
        </is>
      </c>
      <c r="K18" s="8" t="inlineStr">
        <is>
          <t>soul_drain</t>
        </is>
      </c>
    </row>
    <row r="19">
      <c r="A19" s="9" t="inlineStr">
        <is>
          <t>void_annihilation</t>
        </is>
      </c>
      <c r="B19" s="9" t="inlineStr">
        <is>
          <t>공허 소멸</t>
        </is>
      </c>
      <c r="C19" s="9" t="inlineStr">
        <is>
          <t>💀🕳️</t>
        </is>
      </c>
      <c r="D19" s="9" t="inlineStr">
        <is>
          <t>암흑</t>
        </is>
      </c>
      <c r="E19" s="9" t="n">
        <v>4</v>
      </c>
      <c r="F19" s="9" t="n">
        <v>100000</v>
      </c>
      <c r="G19" s="9" t="n">
        <v>300</v>
      </c>
      <c r="H19" s="9" t="inlineStr">
        <is>
          <t>-</t>
        </is>
      </c>
      <c r="I19" s="9" t="n">
        <v>14400</v>
      </c>
      <c r="J19" s="9" t="inlineStr">
        <is>
          <t>범위 HP 30% 삭감</t>
        </is>
      </c>
      <c r="K19" s="9" t="inlineStr">
        <is>
          <t>shadow_realm</t>
        </is>
      </c>
    </row>
    <row r="20">
      <c r="A20" s="8" t="inlineStr">
        <is>
          <t>holy_mastery</t>
        </is>
      </c>
      <c r="B20" s="8" t="inlineStr">
        <is>
          <t>성광 숙련</t>
        </is>
      </c>
      <c r="C20" s="8" t="inlineStr">
        <is>
          <t>✨</t>
        </is>
      </c>
      <c r="D20" s="8" t="inlineStr">
        <is>
          <t>성광</t>
        </is>
      </c>
      <c r="E20" s="8" t="n">
        <v>1</v>
      </c>
      <c r="F20" s="8" t="n">
        <v>5000</v>
      </c>
      <c r="G20" s="8" t="n">
        <v>50</v>
      </c>
      <c r="H20" s="8" t="inlineStr">
        <is>
          <t>-</t>
        </is>
      </c>
      <c r="I20" s="8" t="n">
        <v>1800</v>
      </c>
      <c r="J20" s="8" t="inlineStr">
        <is>
          <t>healBonus +10%</t>
        </is>
      </c>
      <c r="K20" s="8" t="inlineStr">
        <is>
          <t>-</t>
        </is>
      </c>
    </row>
    <row r="21">
      <c r="A21" s="9" t="inlineStr">
        <is>
          <t>divine_shield</t>
        </is>
      </c>
      <c r="B21" s="9" t="inlineStr">
        <is>
          <t>신성 보호막</t>
        </is>
      </c>
      <c r="C21" s="9" t="inlineStr">
        <is>
          <t>🛡️✨</t>
        </is>
      </c>
      <c r="D21" s="9" t="inlineStr">
        <is>
          <t>성광</t>
        </is>
      </c>
      <c r="E21" s="9" t="n">
        <v>2</v>
      </c>
      <c r="F21" s="9" t="n">
        <v>15000</v>
      </c>
      <c r="G21" s="9" t="n">
        <v>100</v>
      </c>
      <c r="H21" s="9" t="inlineStr">
        <is>
          <t>-</t>
        </is>
      </c>
      <c r="I21" s="9" t="n">
        <v>3600</v>
      </c>
      <c r="J21" s="9" t="inlineStr">
        <is>
          <t>5초 무적 (CD120초)</t>
        </is>
      </c>
      <c r="K21" s="9" t="inlineStr">
        <is>
          <t>holy_mastery</t>
        </is>
      </c>
    </row>
    <row r="22">
      <c r="A22" s="8" t="inlineStr">
        <is>
          <t>resurrection</t>
        </is>
      </c>
      <c r="B22" s="8" t="inlineStr">
        <is>
          <t>부활</t>
        </is>
      </c>
      <c r="C22" s="8" t="inlineStr">
        <is>
          <t>💫</t>
        </is>
      </c>
      <c r="D22" s="8" t="inlineStr">
        <is>
          <t>성광</t>
        </is>
      </c>
      <c r="E22" s="8" t="n">
        <v>3</v>
      </c>
      <c r="F22" s="8" t="n">
        <v>50000</v>
      </c>
      <c r="G22" s="8" t="n">
        <v>200</v>
      </c>
      <c r="H22" s="8" t="inlineStr">
        <is>
          <t>-</t>
        </is>
      </c>
      <c r="I22" s="8" t="n">
        <v>7200</v>
      </c>
      <c r="J22" s="8" t="inlineStr">
        <is>
          <t>아군 1명 즉시 부활</t>
        </is>
      </c>
      <c r="K22" s="8" t="inlineStr">
        <is>
          <t>divine_shield</t>
        </is>
      </c>
    </row>
    <row r="23">
      <c r="A23" s="9" t="inlineStr">
        <is>
          <t>judgment_light</t>
        </is>
      </c>
      <c r="B23" s="9" t="inlineStr">
        <is>
          <t>심판의 빛</t>
        </is>
      </c>
      <c r="C23" s="9" t="inlineStr">
        <is>
          <t>🌟⚔️</t>
        </is>
      </c>
      <c r="D23" s="9" t="inlineStr">
        <is>
          <t>성광</t>
        </is>
      </c>
      <c r="E23" s="9" t="n">
        <v>4</v>
      </c>
      <c r="F23" s="9" t="n">
        <v>100000</v>
      </c>
      <c r="G23" s="9" t="n">
        <v>300</v>
      </c>
      <c r="H23" s="9" t="inlineStr">
        <is>
          <t>-</t>
        </is>
      </c>
      <c r="I23" s="9" t="n">
        <v>14400</v>
      </c>
      <c r="J23" s="9" t="inlineStr">
        <is>
          <t>범위 ATKx5+힐</t>
        </is>
      </c>
      <c r="K23" s="9" t="inlineStr">
        <is>
          <t>resurrection</t>
        </is>
      </c>
    </row>
    <row r="24">
      <c r="A24" s="8" t="inlineStr">
        <is>
          <t>---</t>
        </is>
      </c>
      <c r="B24" s="8" t="inlineStr">
        <is>
          <t>--- 스킬 결합 ---</t>
        </is>
      </c>
      <c r="C24" s="8" t="inlineStr"/>
      <c r="D24" s="8" t="inlineStr"/>
      <c r="E24" s="8" t="inlineStr"/>
      <c r="F24" s="8" t="inlineStr"/>
      <c r="G24" s="8" t="inlineStr"/>
      <c r="H24" s="8" t="inlineStr"/>
      <c r="I24" s="8" t="inlineStr"/>
      <c r="J24" s="8" t="inlineStr"/>
      <c r="K24" s="8" t="inlineStr"/>
    </row>
    <row r="25">
      <c r="A25" s="9" t="inlineStr">
        <is>
          <t>volcanic_storm</t>
        </is>
      </c>
      <c r="B25" s="9" t="inlineStr">
        <is>
          <t>화산 폭풍</t>
        </is>
      </c>
      <c r="C25" s="9" t="inlineStr">
        <is>
          <t>🌋⚡</t>
        </is>
      </c>
      <c r="D25" s="9" t="inlineStr">
        <is>
          <t>결합</t>
        </is>
      </c>
      <c r="E25" s="9" t="inlineStr">
        <is>
          <t>-</t>
        </is>
      </c>
      <c r="F25" s="9" t="inlineStr">
        <is>
          <t>-</t>
        </is>
      </c>
      <c r="G25" s="9" t="inlineStr">
        <is>
          <t>-</t>
        </is>
      </c>
      <c r="H25" s="9" t="inlineStr">
        <is>
          <t>meteor_rain+chain_lightning</t>
        </is>
      </c>
      <c r="I25" s="9" t="inlineStr">
        <is>
          <t>-</t>
        </is>
      </c>
      <c r="J25" s="9" t="inlineStr">
        <is>
          <t>범위10 x5 + 화상+기절</t>
        </is>
      </c>
      <c r="K25" s="9" t="inlineStr">
        <is>
          <t>CD 180초</t>
        </is>
      </c>
    </row>
    <row r="26">
      <c r="A26" s="8" t="inlineStr">
        <is>
          <t>frozen_inferno</t>
        </is>
      </c>
      <c r="B26" s="8" t="inlineStr">
        <is>
          <t>얼어붙은 지옥</t>
        </is>
      </c>
      <c r="C26" s="8" t="inlineStr">
        <is>
          <t>❄️🔥</t>
        </is>
      </c>
      <c r="D26" s="8" t="inlineStr">
        <is>
          <t>결합</t>
        </is>
      </c>
      <c r="E26" s="8" t="inlineStr">
        <is>
          <t>-</t>
        </is>
      </c>
      <c r="F26" s="8" t="inlineStr">
        <is>
          <t>-</t>
        </is>
      </c>
      <c r="G26" s="8" t="inlineStr">
        <is>
          <t>-</t>
        </is>
      </c>
      <c r="H26" s="8" t="inlineStr">
        <is>
          <t>blizzard+inferno_aura</t>
        </is>
      </c>
      <c r="I26" s="8" t="inlineStr">
        <is>
          <t>-</t>
        </is>
      </c>
      <c r="J26" s="8" t="inlineStr">
        <is>
          <t>동상+화상 동시</t>
        </is>
      </c>
      <c r="K26" s="8" t="inlineStr">
        <is>
          <t>CD 150초</t>
        </is>
      </c>
    </row>
    <row r="27">
      <c r="A27" s="9" t="inlineStr">
        <is>
          <t>shadow_lightning</t>
        </is>
      </c>
      <c r="B27" s="9" t="inlineStr">
        <is>
          <t>그림자 번개</t>
        </is>
      </c>
      <c r="C27" s="9" t="inlineStr">
        <is>
          <t>🌑⚡</t>
        </is>
      </c>
      <c r="D27" s="9" t="inlineStr">
        <is>
          <t>결합</t>
        </is>
      </c>
      <c r="E27" s="9" t="inlineStr">
        <is>
          <t>-</t>
        </is>
      </c>
      <c r="F27" s="9" t="inlineStr">
        <is>
          <t>-</t>
        </is>
      </c>
      <c r="G27" s="9" t="inlineStr">
        <is>
          <t>-</t>
        </is>
      </c>
      <c r="H27" s="9" t="inlineStr">
        <is>
          <t>shadow_realm+ragnarok_bolt</t>
        </is>
      </c>
      <c r="I27" s="9" t="inlineStr">
        <is>
          <t>-</t>
        </is>
      </c>
      <c r="J27" s="9" t="inlineStr">
        <is>
          <t>방어무시 12배</t>
        </is>
      </c>
      <c r="K27" s="9" t="inlineStr">
        <is>
          <t>CD 200초</t>
        </is>
      </c>
    </row>
    <row r="28">
      <c r="A28" s="8" t="inlineStr">
        <is>
          <t>divine_apocalypse</t>
        </is>
      </c>
      <c r="B28" s="8" t="inlineStr">
        <is>
          <t>신성한 종말</t>
        </is>
      </c>
      <c r="C28" s="8" t="inlineStr">
        <is>
          <t>✨💀</t>
        </is>
      </c>
      <c r="D28" s="8" t="inlineStr">
        <is>
          <t>결합</t>
        </is>
      </c>
      <c r="E28" s="8" t="inlineStr">
        <is>
          <t>-</t>
        </is>
      </c>
      <c r="F28" s="8" t="inlineStr">
        <is>
          <t>-</t>
        </is>
      </c>
      <c r="G28" s="8" t="inlineStr">
        <is>
          <t>-</t>
        </is>
      </c>
      <c r="H28" s="8" t="inlineStr">
        <is>
          <t>judgment_light+void_annihilation</t>
        </is>
      </c>
      <c r="I28" s="8" t="inlineStr">
        <is>
          <t>-</t>
        </is>
      </c>
      <c r="J28" s="8" t="inlineStr">
        <is>
          <t>적HP40%삭감+아군50%힐</t>
        </is>
      </c>
      <c r="K28" s="8" t="inlineStr">
        <is>
          <t>CD 300초</t>
        </is>
      </c>
    </row>
  </sheetData>
  <mergeCells count="1">
    <mergeCell ref="A1:K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14" customWidth="1" min="1" max="1"/>
    <col width="22" customWidth="1" min="2" max="2"/>
    <col width="8" customWidth="1" min="3" max="3"/>
    <col width="12" customWidth="1" min="4" max="4"/>
    <col width="22" customWidth="1" min="5" max="5"/>
    <col width="40" customWidth="1" min="6" max="6"/>
  </cols>
  <sheetData>
    <row r="1">
      <c r="A1" s="6" t="inlineStr">
        <is>
          <t>달빛 성역 (v2.38)</t>
        </is>
      </c>
    </row>
    <row r="3">
      <c r="A3" s="7" t="inlineStr">
        <is>
          <t>항목</t>
        </is>
      </c>
      <c r="B3" s="7" t="inlineStr">
        <is>
          <t>ID/이름</t>
        </is>
      </c>
      <c r="C3" s="7" t="inlineStr">
        <is>
          <t>아이콘</t>
        </is>
      </c>
      <c r="D3" s="7" t="inlineStr">
        <is>
          <t>티어/조건</t>
        </is>
      </c>
      <c r="E3" s="7" t="inlineStr">
        <is>
          <t>수치</t>
        </is>
      </c>
      <c r="F3" s="7" t="inlineStr">
        <is>
          <t>효과/설명</t>
        </is>
      </c>
    </row>
    <row r="4">
      <c r="A4" s="8">
        <f>== 달의 위상 (8단계, 4시간 주기) ===</f>
        <v/>
      </c>
      <c r="B4" s="8" t="inlineStr"/>
      <c r="C4" s="8" t="inlineStr"/>
      <c r="D4" s="8" t="inlineStr"/>
      <c r="E4" s="8" t="inlineStr"/>
      <c r="F4" s="8" t="inlineStr"/>
    </row>
    <row r="5">
      <c r="A5" s="9" t="inlineStr">
        <is>
          <t>위상</t>
        </is>
      </c>
      <c r="B5" s="9" t="inlineStr">
        <is>
          <t>신월 (New Moon)</t>
        </is>
      </c>
      <c r="C5" s="9" t="inlineStr">
        <is>
          <t>🌑</t>
        </is>
      </c>
      <c r="D5" s="9" t="inlineStr">
        <is>
          <t>-</t>
        </is>
      </c>
      <c r="E5" s="9" t="inlineStr">
        <is>
          <t>보상 x0.8</t>
        </is>
      </c>
      <c r="F5" s="9" t="inlineStr">
        <is>
          <t>어둠 속 달빛이 사라진 밤</t>
        </is>
      </c>
    </row>
    <row r="6">
      <c r="A6" s="8" t="inlineStr">
        <is>
          <t>위상</t>
        </is>
      </c>
      <c r="B6" s="8" t="inlineStr">
        <is>
          <t>초승달</t>
        </is>
      </c>
      <c r="C6" s="8" t="inlineStr">
        <is>
          <t>🌒</t>
        </is>
      </c>
      <c r="D6" s="8" t="inlineStr">
        <is>
          <t>-</t>
        </is>
      </c>
      <c r="E6" s="8" t="inlineStr">
        <is>
          <t>보상 x0.9</t>
        </is>
      </c>
      <c r="F6" s="8" t="inlineStr">
        <is>
          <t>특수: 암흑 데미지 +20%</t>
        </is>
      </c>
    </row>
    <row r="7">
      <c r="A7" s="9" t="inlineStr">
        <is>
          <t>위상</t>
        </is>
      </c>
      <c r="B7" s="9" t="inlineStr">
        <is>
          <t>상현달</t>
        </is>
      </c>
      <c r="C7" s="9" t="inlineStr">
        <is>
          <t>🌓</t>
        </is>
      </c>
      <c r="D7" s="9" t="inlineStr">
        <is>
          <t>-</t>
        </is>
      </c>
      <c r="E7" s="9" t="inlineStr">
        <is>
          <t>보상 x1.0</t>
        </is>
      </c>
      <c r="F7" s="9" t="inlineStr">
        <is>
          <t>반쪽 달빛</t>
        </is>
      </c>
    </row>
    <row r="8">
      <c r="A8" s="8" t="inlineStr">
        <is>
          <t>위상</t>
        </is>
      </c>
      <c r="B8" s="8" t="inlineStr">
        <is>
          <t>상현망</t>
        </is>
      </c>
      <c r="C8" s="8" t="inlineStr">
        <is>
          <t>🌔</t>
        </is>
      </c>
      <c r="D8" s="8" t="inlineStr">
        <is>
          <t>-</t>
        </is>
      </c>
      <c r="E8" s="8" t="inlineStr">
        <is>
          <t>보상 x1.1</t>
        </is>
      </c>
      <c r="F8" s="8" t="inlineStr">
        <is>
          <t>특수: EXP +30%</t>
        </is>
      </c>
    </row>
    <row r="9">
      <c r="A9" s="9" t="inlineStr">
        <is>
          <t>위상</t>
        </is>
      </c>
      <c r="B9" s="9" t="inlineStr">
        <is>
          <t>보름달 (Full Moon)</t>
        </is>
      </c>
      <c r="C9" s="9" t="inlineStr">
        <is>
          <t>🌕</t>
        </is>
      </c>
      <c r="D9" s="9" t="inlineStr">
        <is>
          <t>-</t>
        </is>
      </c>
      <c r="E9" s="9" t="inlineStr">
        <is>
          <t>보상 x1.5</t>
        </is>
      </c>
      <c r="F9" s="9" t="inlineStr">
        <is>
          <t>★ 히든 보스 등장!</t>
        </is>
      </c>
    </row>
    <row r="10">
      <c r="A10" s="8" t="inlineStr">
        <is>
          <t>위상</t>
        </is>
      </c>
      <c r="B10" s="8" t="inlineStr">
        <is>
          <t>하현망</t>
        </is>
      </c>
      <c r="C10" s="8" t="inlineStr">
        <is>
          <t>🌖</t>
        </is>
      </c>
      <c r="D10" s="8" t="inlineStr">
        <is>
          <t>-</t>
        </is>
      </c>
      <c r="E10" s="8" t="inlineStr">
        <is>
          <t>보상 x1.2</t>
        </is>
      </c>
      <c r="F10" s="8" t="inlineStr">
        <is>
          <t>특수: 드롭률 +25%</t>
        </is>
      </c>
    </row>
    <row r="11">
      <c r="A11" s="9" t="inlineStr">
        <is>
          <t>위상</t>
        </is>
      </c>
      <c r="B11" s="9" t="inlineStr">
        <is>
          <t>하현달</t>
        </is>
      </c>
      <c r="C11" s="9" t="inlineStr">
        <is>
          <t>🌗</t>
        </is>
      </c>
      <c r="D11" s="9" t="inlineStr">
        <is>
          <t>-</t>
        </is>
      </c>
      <c r="E11" s="9" t="inlineStr">
        <is>
          <t>보상 x1.0</t>
        </is>
      </c>
      <c r="F11" s="9" t="inlineStr">
        <is>
          <t>달이 반으로 갈라진 밤</t>
        </is>
      </c>
    </row>
    <row r="12">
      <c r="A12" s="8" t="inlineStr">
        <is>
          <t>위상</t>
        </is>
      </c>
      <c r="B12" s="8" t="inlineStr">
        <is>
          <t>그믐달</t>
        </is>
      </c>
      <c r="C12" s="8" t="inlineStr">
        <is>
          <t>🌘</t>
        </is>
      </c>
      <c r="D12" s="8" t="inlineStr">
        <is>
          <t>-</t>
        </is>
      </c>
      <c r="E12" s="8" t="inlineStr">
        <is>
          <t>보상 x0.9</t>
        </is>
      </c>
      <c r="F12" s="8" t="inlineStr">
        <is>
          <t>특수: 숨겨진 NPC/보물 발견</t>
        </is>
      </c>
    </row>
    <row r="13">
      <c r="A13" s="9" t="inlineStr"/>
      <c r="B13" s="9" t="inlineStr"/>
      <c r="C13" s="9" t="inlineStr"/>
      <c r="D13" s="9" t="inlineStr"/>
      <c r="E13" s="9" t="inlineStr"/>
      <c r="F13" s="9" t="inlineStr"/>
    </row>
    <row r="14">
      <c r="A14" s="8">
        <f>== 성역 층 ===</f>
        <v/>
      </c>
      <c r="B14" s="8" t="inlineStr"/>
      <c r="C14" s="8" t="inlineStr"/>
      <c r="D14" s="8" t="inlineStr"/>
      <c r="E14" s="8" t="inlineStr"/>
      <c r="F14" s="8" t="inlineStr"/>
    </row>
    <row r="15">
      <c r="A15" s="9" t="inlineStr">
        <is>
          <t>1층</t>
        </is>
      </c>
      <c r="B15" s="9" t="inlineStr">
        <is>
          <t>달빛 정원</t>
        </is>
      </c>
      <c r="C15" s="9" t="inlineStr">
        <is>
          <t>🌿🌙</t>
        </is>
      </c>
      <c r="D15" s="9" t="inlineStr">
        <is>
          <t>Lv.15+</t>
        </is>
      </c>
      <c r="E15" s="9" t="inlineStr">
        <is>
          <t>보스HP 500</t>
        </is>
      </c>
      <c r="F15" s="9" t="inlineStr">
        <is>
          <t>2,000G / 800EXP / 몬스터: 달빛 꽃요정, 은빛 나비, 야광 덩굴</t>
        </is>
      </c>
    </row>
    <row r="16">
      <c r="A16" s="8" t="inlineStr">
        <is>
          <t>2층</t>
        </is>
      </c>
      <c r="B16" s="8" t="inlineStr">
        <is>
          <t>은빛 회랑</t>
        </is>
      </c>
      <c r="C16" s="8" t="inlineStr">
        <is>
          <t>🏛️🌙</t>
        </is>
      </c>
      <c r="D16" s="8" t="inlineStr">
        <is>
          <t>Lv.25+</t>
        </is>
      </c>
      <c r="E16" s="8" t="inlineStr">
        <is>
          <t>보스HP 1,500</t>
        </is>
      </c>
      <c r="F16" s="8" t="inlineStr">
        <is>
          <t>5,000G / 2,000EXP / 몬스터: 달의 기사, 은빛 유령</t>
        </is>
      </c>
    </row>
    <row r="17">
      <c r="A17" s="9" t="inlineStr">
        <is>
          <t>3층</t>
        </is>
      </c>
      <c r="B17" s="9" t="inlineStr">
        <is>
          <t>달의 신전</t>
        </is>
      </c>
      <c r="C17" s="9" t="inlineStr">
        <is>
          <t>⛩️🌙</t>
        </is>
      </c>
      <c r="D17" s="9" t="inlineStr">
        <is>
          <t>Lv.35+</t>
        </is>
      </c>
      <c r="E17" s="9" t="inlineStr">
        <is>
          <t>보스HP 4,000</t>
        </is>
      </c>
      <c r="F17" s="9" t="inlineStr">
        <is>
          <t>12,000G / 5,000EXP / 몬스터: 월광 사제, 은하 정령</t>
        </is>
      </c>
    </row>
    <row r="18">
      <c r="A18" s="8" t="inlineStr">
        <is>
          <t>4층</t>
        </is>
      </c>
      <c r="B18" s="8" t="inlineStr">
        <is>
          <t>일식의 성소</t>
        </is>
      </c>
      <c r="C18" s="8" t="inlineStr">
        <is>
          <t>🌑✨</t>
        </is>
      </c>
      <c r="D18" s="8" t="inlineStr">
        <is>
          <t>Lv.45+</t>
        </is>
      </c>
      <c r="E18" s="8" t="inlineStr">
        <is>
          <t>보스HP 10,000</t>
        </is>
      </c>
      <c r="F18" s="8" t="inlineStr">
        <is>
          <t>30,000G / 12,000EXP / 몬스터: 일식 마도사, 그림자 달</t>
        </is>
      </c>
    </row>
    <row r="19">
      <c r="A19" s="9" t="inlineStr"/>
      <c r="B19" s="9" t="inlineStr"/>
      <c r="C19" s="9" t="inlineStr"/>
      <c r="D19" s="9" t="inlineStr"/>
      <c r="E19" s="9" t="inlineStr"/>
      <c r="F19" s="9" t="inlineStr"/>
    </row>
    <row r="20">
      <c r="A20" s="8">
        <f>== 히든 보스 (보름달 전용) ===</f>
        <v/>
      </c>
      <c r="B20" s="8" t="inlineStr"/>
      <c r="C20" s="8" t="inlineStr"/>
      <c r="D20" s="8" t="inlineStr"/>
      <c r="E20" s="8" t="inlineStr"/>
      <c r="F20" s="8" t="inlineStr"/>
    </row>
    <row r="21">
      <c r="A21" s="9" t="inlineStr">
        <is>
          <t>보스</t>
        </is>
      </c>
      <c r="B21" s="9" t="inlineStr">
        <is>
          <t>달의 용 루나리스</t>
        </is>
      </c>
      <c r="C21" s="9" t="inlineStr">
        <is>
          <t>🐉🌕</t>
        </is>
      </c>
      <c r="D21" s="9" t="inlineStr">
        <is>
          <t>Lv.40+</t>
        </is>
      </c>
      <c r="E21" s="9" t="inlineStr">
        <is>
          <t>HP 50K / ATK 800 / DEF 300</t>
        </is>
      </c>
      <c r="F21" s="9" t="inlineStr">
        <is>
          <t>스킬: 달빛 브레스, 은하 포효, 월식 장벽</t>
        </is>
      </c>
    </row>
    <row r="22">
      <c r="A22" s="8" t="inlineStr">
        <is>
          <t>보스</t>
        </is>
      </c>
      <c r="B22" s="8" t="inlineStr">
        <is>
          <t>달의 여신 셀레네</t>
        </is>
      </c>
      <c r="C22" s="8" t="inlineStr">
        <is>
          <t>👸🌕</t>
        </is>
      </c>
      <c r="D22" s="8" t="inlineStr">
        <is>
          <t>Lv.40+</t>
        </is>
      </c>
      <c r="E22" s="8" t="inlineStr">
        <is>
          <t>HP 80K / ATK 600 / DEF 500</t>
        </is>
      </c>
      <c r="F22" s="8" t="inlineStr">
        <is>
          <t>스킬: 달빛 축복, 만월의 분노, 영원한 밤</t>
        </is>
      </c>
    </row>
    <row r="23">
      <c r="A23" s="9" t="inlineStr">
        <is>
          <t>보스</t>
        </is>
      </c>
      <c r="B23" s="9" t="inlineStr">
        <is>
          <t>일식의 거신 움브라</t>
        </is>
      </c>
      <c r="C23" s="9" t="inlineStr">
        <is>
          <t>🗿🌑</t>
        </is>
      </c>
      <c r="D23" s="9" t="inlineStr">
        <is>
          <t>Lv.40+</t>
        </is>
      </c>
      <c r="E23" s="9" t="inlineStr">
        <is>
          <t>HP 120K / ATK 1200 / DEF 200</t>
        </is>
      </c>
      <c r="F23" s="9" t="inlineStr">
        <is>
          <t>스킬: 일식 파동, 그림자 삼킴, 태양 소멸</t>
        </is>
      </c>
    </row>
    <row r="24">
      <c r="A24" s="8" t="inlineStr"/>
      <c r="B24" s="8" t="inlineStr"/>
      <c r="C24" s="8" t="inlineStr"/>
      <c r="D24" s="8" t="inlineStr"/>
      <c r="E24" s="8" t="inlineStr"/>
      <c r="F24" s="8" t="inlineStr"/>
    </row>
    <row r="25">
      <c r="A25" s="9">
        <f>== 달빛 장비 (Mythic) ===</f>
        <v/>
      </c>
      <c r="B25" s="9" t="inlineStr"/>
      <c r="C25" s="9" t="inlineStr"/>
      <c r="D25" s="9" t="inlineStr"/>
      <c r="E25" s="9" t="inlineStr"/>
      <c r="F25" s="9" t="inlineStr"/>
    </row>
    <row r="26">
      <c r="A26" s="8" t="inlineStr">
        <is>
          <t>장비</t>
        </is>
      </c>
      <c r="B26" s="8" t="inlineStr">
        <is>
          <t>셀레네의 눈물</t>
        </is>
      </c>
      <c r="C26" s="8" t="inlineStr">
        <is>
          <t>💧🌕</t>
        </is>
      </c>
      <c r="D26" s="8" t="inlineStr">
        <is>
          <t>악세서리</t>
        </is>
      </c>
      <c r="E26" s="8" t="inlineStr">
        <is>
          <t>ALL+15</t>
        </is>
      </c>
      <c r="F26" s="8" t="inlineStr">
        <is>
          <t>부활 1회 (Mythic)</t>
        </is>
      </c>
    </row>
    <row r="27">
      <c r="A27" s="9" t="inlineStr">
        <is>
          <t>장비</t>
        </is>
      </c>
      <c r="B27" s="9" t="inlineStr">
        <is>
          <t>여신의 법의</t>
        </is>
      </c>
      <c r="C27" s="9" t="inlineStr">
        <is>
          <t>👗✨</t>
        </is>
      </c>
      <c r="D27" s="9" t="inlineStr">
        <is>
          <t>방어구</t>
        </is>
      </c>
      <c r="E27" s="9" t="inlineStr">
        <is>
          <t>DEF50/MP300</t>
        </is>
      </c>
      <c r="F27" s="9" t="inlineStr">
        <is>
          <t>마법위력 +25% (Mythic)</t>
        </is>
      </c>
    </row>
    <row r="28">
      <c r="A28" s="8" t="inlineStr">
        <is>
          <t>장비</t>
        </is>
      </c>
      <c r="B28" s="8" t="inlineStr">
        <is>
          <t>영원한 달빛</t>
        </is>
      </c>
      <c r="C28" s="8" t="inlineStr">
        <is>
          <t>🌕✨</t>
        </is>
      </c>
      <c r="D28" s="8" t="inlineStr">
        <is>
          <t>무기</t>
        </is>
      </c>
      <c r="E28" s="8" t="inlineStr">
        <is>
          <t>ATK120/크리15%</t>
        </is>
      </c>
      <c r="F28" s="8" t="inlineStr">
        <is>
          <t>달빛데미지 +30% (Mythic)</t>
        </is>
      </c>
    </row>
    <row r="29">
      <c r="A29" s="9" t="inlineStr">
        <is>
          <t>장비</t>
        </is>
      </c>
      <c r="B29" s="9" t="inlineStr">
        <is>
          <t>일식검</t>
        </is>
      </c>
      <c r="C29" s="9" t="inlineStr">
        <is>
          <t>⚔️🌑</t>
        </is>
      </c>
      <c r="D29" s="9" t="inlineStr">
        <is>
          <t>무기</t>
        </is>
      </c>
      <c r="E29" s="9" t="inlineStr">
        <is>
          <t>ATK150</t>
        </is>
      </c>
      <c r="F29" s="9" t="inlineStr">
        <is>
          <t>방관 20% + 일식 폭발 (Mythic)</t>
        </is>
      </c>
    </row>
    <row r="30">
      <c r="A30" s="8" t="inlineStr">
        <is>
          <t>장비</t>
        </is>
      </c>
      <c r="B30" s="8" t="inlineStr">
        <is>
          <t>움브라 핵</t>
        </is>
      </c>
      <c r="C30" s="8" t="inlineStr">
        <is>
          <t>🔮🌑</t>
        </is>
      </c>
      <c r="D30" s="8" t="inlineStr">
        <is>
          <t>악세서리</t>
        </is>
      </c>
      <c r="E30" s="8" t="inlineStr">
        <is>
          <t>ATK60/암속+20%</t>
        </is>
      </c>
      <c r="F30" s="8" t="inlineStr">
        <is>
          <t>일식 보호막 500 (Mythic)</t>
        </is>
      </c>
    </row>
    <row r="31">
      <c r="A31" s="9" t="inlineStr"/>
      <c r="B31" s="9" t="inlineStr"/>
      <c r="C31" s="9" t="inlineStr"/>
      <c r="D31" s="9" t="inlineStr"/>
      <c r="E31" s="9" t="inlineStr"/>
      <c r="F31" s="9" t="inlineStr"/>
    </row>
    <row r="32">
      <c r="A32" s="8" t="inlineStr">
        <is>
          <t>시스템</t>
        </is>
      </c>
      <c r="B32" s="8" t="inlineStr">
        <is>
          <t>입장 조건</t>
        </is>
      </c>
      <c r="C32" s="8" t="inlineStr">
        <is>
          <t>밤에만 (isNight)</t>
        </is>
      </c>
      <c r="D32" s="8" t="inlineStr">
        <is>
          <t>쿨다운</t>
        </is>
      </c>
      <c r="E32" s="8" t="inlineStr">
        <is>
          <t>10분</t>
        </is>
      </c>
      <c r="F32" s="8" t="inlineStr">
        <is>
          <t>보름달 축복: 1일 1회</t>
        </is>
      </c>
    </row>
  </sheetData>
  <mergeCells count="1">
    <mergeCell ref="A1:F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16" customWidth="1" min="2" max="2"/>
    <col width="8" customWidth="1" min="3" max="3"/>
    <col width="10" customWidth="1" min="4" max="4"/>
    <col width="18" customWidth="1" min="5" max="5"/>
    <col width="40" customWidth="1" min="6" max="6"/>
  </cols>
  <sheetData>
    <row r="1">
      <c r="A1" s="6" t="inlineStr">
        <is>
          <t>무기 영혼 각성 (v2.39)</t>
        </is>
      </c>
    </row>
    <row r="3">
      <c r="A3" s="7" t="inlineStr">
        <is>
          <t>항목</t>
        </is>
      </c>
      <c r="B3" s="7" t="inlineStr">
        <is>
          <t>ID/이름</t>
        </is>
      </c>
      <c r="C3" s="7" t="inlineStr">
        <is>
          <t>아이콘</t>
        </is>
      </c>
      <c r="D3" s="7" t="inlineStr">
        <is>
          <t>성격</t>
        </is>
      </c>
      <c r="E3" s="7" t="inlineStr">
        <is>
          <t>기본보너스</t>
        </is>
      </c>
      <c r="F3" s="7" t="inlineStr">
        <is>
          <t>인사말/설명</t>
        </is>
      </c>
    </row>
    <row r="4">
      <c r="A4" s="8">
        <f>== 영혼 유형 (6종) ===</f>
        <v/>
      </c>
      <c r="B4" s="8" t="inlineStr"/>
      <c r="C4" s="8" t="inlineStr"/>
      <c r="D4" s="8" t="inlineStr"/>
      <c r="E4" s="8" t="inlineStr"/>
      <c r="F4" s="8" t="inlineStr"/>
    </row>
    <row r="5">
      <c r="A5" s="9" t="inlineStr">
        <is>
          <t>영혼</t>
        </is>
      </c>
      <c r="B5" s="9" t="inlineStr">
        <is>
          <t>전사의 영혼</t>
        </is>
      </c>
      <c r="C5" s="9" t="inlineStr">
        <is>
          <t>⚔️👻</t>
        </is>
      </c>
      <c r="D5" s="9" t="inlineStr">
        <is>
          <t>용감</t>
        </is>
      </c>
      <c r="E5" s="9" t="inlineStr">
        <is>
          <t>ATK+5%, 크리+2%</t>
        </is>
      </c>
      <c r="F5" s="9" t="inlineStr">
        <is>
          <t>나는 전장의 영혼... 함께 적을 베자!</t>
        </is>
      </c>
    </row>
    <row r="6">
      <c r="A6" s="8" t="inlineStr">
        <is>
          <t>영혼</t>
        </is>
      </c>
      <c r="B6" s="8" t="inlineStr">
        <is>
          <t>현자의 영혼</t>
        </is>
      </c>
      <c r="C6" s="8" t="inlineStr">
        <is>
          <t>📖👻</t>
        </is>
      </c>
      <c r="D6" s="8" t="inlineStr">
        <is>
          <t>현명</t>
        </is>
      </c>
      <c r="E6" s="8" t="inlineStr">
        <is>
          <t>마법+5%, MP+30</t>
        </is>
      </c>
      <c r="F6" s="8" t="inlineStr">
        <is>
          <t>지식을 갈망하는가... 내 지혜를 나누겠다.</t>
        </is>
      </c>
    </row>
    <row r="7">
      <c r="A7" s="9" t="inlineStr">
        <is>
          <t>영혼</t>
        </is>
      </c>
      <c r="B7" s="9" t="inlineStr">
        <is>
          <t>암살자의 영혼</t>
        </is>
      </c>
      <c r="C7" s="9" t="inlineStr">
        <is>
          <t>🗡️👻</t>
        </is>
      </c>
      <c r="D7" s="9" t="inlineStr">
        <is>
          <t>교활</t>
        </is>
      </c>
      <c r="E7" s="9" t="inlineStr">
        <is>
          <t>크뎀+10%, 회피+3%</t>
        </is>
      </c>
      <c r="F7" s="9" t="inlineStr">
        <is>
          <t>그림자 속에서 기다렸다...</t>
        </is>
      </c>
    </row>
    <row r="8">
      <c r="A8" s="8" t="inlineStr">
        <is>
          <t>영혼</t>
        </is>
      </c>
      <c r="B8" s="8" t="inlineStr">
        <is>
          <t>수호자의 영혼</t>
        </is>
      </c>
      <c r="C8" s="8" t="inlineStr">
        <is>
          <t>🛡️👻</t>
        </is>
      </c>
      <c r="D8" s="8" t="inlineStr">
        <is>
          <t>과묵</t>
        </is>
      </c>
      <c r="E8" s="8" t="inlineStr">
        <is>
          <t>DEF+8%, HP+50</t>
        </is>
      </c>
      <c r="F8" s="8" t="inlineStr">
        <is>
          <t>지키고자 하는 것이 있는가...</t>
        </is>
      </c>
    </row>
    <row r="9">
      <c r="A9" s="9" t="inlineStr">
        <is>
          <t>영혼</t>
        </is>
      </c>
      <c r="B9" s="9" t="inlineStr">
        <is>
          <t>용의 영혼</t>
        </is>
      </c>
      <c r="C9" s="9" t="inlineStr">
        <is>
          <t>🐉👻</t>
        </is>
      </c>
      <c r="D9" s="9" t="inlineStr">
        <is>
          <t>거만</t>
        </is>
      </c>
      <c r="E9" s="9" t="inlineStr">
        <is>
          <t>ALL+3, 화속+10%</t>
        </is>
      </c>
      <c r="F9" s="9" t="inlineStr">
        <is>
          <t>하찮은 인간이여... 내 불꽃을 감당할 수 있겠느냐!</t>
        </is>
      </c>
    </row>
    <row r="10">
      <c r="A10" s="8" t="inlineStr">
        <is>
          <t>영혼</t>
        </is>
      </c>
      <c r="B10" s="8" t="inlineStr">
        <is>
          <t>정령의 영혼</t>
        </is>
      </c>
      <c r="C10" s="8" t="inlineStr">
        <is>
          <t>🧚👻</t>
        </is>
      </c>
      <c r="D10" s="8" t="inlineStr">
        <is>
          <t>쾌활</t>
        </is>
      </c>
      <c r="E10" s="8" t="inlineStr">
        <is>
          <t>힐+8%, EXP+5%</t>
        </is>
      </c>
      <c r="F10" s="8" t="inlineStr">
        <is>
          <t>안녕~ 재미있는 여행을 하자!</t>
        </is>
      </c>
    </row>
    <row r="11">
      <c r="A11" s="9" t="inlineStr"/>
      <c r="B11" s="9" t="inlineStr"/>
      <c r="C11" s="9" t="inlineStr"/>
      <c r="D11" s="9" t="inlineStr"/>
      <c r="E11" s="9" t="inlineStr"/>
      <c r="F11" s="9" t="inlineStr"/>
    </row>
    <row r="12">
      <c r="A12" s="8">
        <f>== 영혼 스킬트리 ===</f>
        <v/>
      </c>
      <c r="B12" s="8" t="inlineStr"/>
      <c r="C12" s="8" t="inlineStr"/>
      <c r="D12" s="8" t="inlineStr"/>
      <c r="E12" s="8" t="inlineStr"/>
      <c r="F12" s="8" t="inlineStr"/>
    </row>
    <row r="13">
      <c r="A13" s="9" t="inlineStr">
        <is>
          <t>Tier1</t>
        </is>
      </c>
      <c r="B13" s="9" t="inlineStr">
        <is>
          <t>영혼 결합</t>
        </is>
      </c>
      <c r="C13" s="9" t="inlineStr">
        <is>
          <t>🔗</t>
        </is>
      </c>
      <c r="D13" s="9" t="inlineStr">
        <is>
          <t>공통</t>
        </is>
      </c>
      <c r="E13" s="9" t="inlineStr">
        <is>
          <t>포인트1</t>
        </is>
      </c>
      <c r="F13" s="9" t="inlineStr">
        <is>
          <t>무기 유대 +5% 스탯</t>
        </is>
      </c>
    </row>
    <row r="14">
      <c r="A14" s="8" t="inlineStr">
        <is>
          <t>Tier1</t>
        </is>
      </c>
      <c r="B14" s="8" t="inlineStr">
        <is>
          <t>영혼 대화</t>
        </is>
      </c>
      <c r="C14" s="8" t="inlineStr">
        <is>
          <t>💬</t>
        </is>
      </c>
      <c r="D14" s="8" t="inlineStr">
        <is>
          <t>공통</t>
        </is>
      </c>
      <c r="E14" s="8" t="inlineStr">
        <is>
          <t>포인트1</t>
        </is>
      </c>
      <c r="F14" s="8" t="inlineStr">
        <is>
          <t>무기 영혼과 대화 가능</t>
        </is>
      </c>
    </row>
    <row r="15">
      <c r="A15" s="9" t="inlineStr">
        <is>
          <t>Tier2</t>
        </is>
      </c>
      <c r="B15" s="9" t="inlineStr">
        <is>
          <t>영혼 타격</t>
        </is>
      </c>
      <c r="C15" s="9" t="inlineStr">
        <is>
          <t>💥</t>
        </is>
      </c>
      <c r="D15" s="9" t="inlineStr">
        <is>
          <t>공격</t>
        </is>
      </c>
      <c r="E15" s="9" t="inlineStr">
        <is>
          <t>포인트3</t>
        </is>
      </c>
      <c r="F15" s="9" t="inlineStr">
        <is>
          <t>10% 확률 추가 영혼 데미지 +15%</t>
        </is>
      </c>
    </row>
    <row r="16">
      <c r="A16" s="8" t="inlineStr">
        <is>
          <t>Tier2</t>
        </is>
      </c>
      <c r="B16" s="8" t="inlineStr">
        <is>
          <t>영혼의 날</t>
        </is>
      </c>
      <c r="C16" s="8" t="inlineStr">
        <is>
          <t>🗡️✨</t>
        </is>
      </c>
      <c r="D16" s="8" t="inlineStr">
        <is>
          <t>공격</t>
        </is>
      </c>
      <c r="E16" s="8" t="inlineStr">
        <is>
          <t>포인트3</t>
        </is>
      </c>
      <c r="F16" s="8" t="inlineStr">
        <is>
          <t>방어 관통 +5%</t>
        </is>
      </c>
    </row>
    <row r="17">
      <c r="A17" s="9" t="inlineStr">
        <is>
          <t>Tier2</t>
        </is>
      </c>
      <c r="B17" s="9" t="inlineStr">
        <is>
          <t>영혼 방벽</t>
        </is>
      </c>
      <c r="C17" s="9" t="inlineStr">
        <is>
          <t>🛡️✨</t>
        </is>
      </c>
      <c r="D17" s="9" t="inlineStr">
        <is>
          <t>방어</t>
        </is>
      </c>
      <c r="E17" s="9" t="inlineStr">
        <is>
          <t>포인트3</t>
        </is>
      </c>
      <c r="F17" s="9" t="inlineStr">
        <is>
          <t>영혼 보호막 100 HP</t>
        </is>
      </c>
    </row>
    <row r="18">
      <c r="A18" s="8" t="inlineStr">
        <is>
          <t>Tier2</t>
        </is>
      </c>
      <c r="B18" s="8" t="inlineStr">
        <is>
          <t>영혼 재생</t>
        </is>
      </c>
      <c r="C18" s="8" t="inlineStr">
        <is>
          <t>💚</t>
        </is>
      </c>
      <c r="D18" s="8" t="inlineStr">
        <is>
          <t>방어</t>
        </is>
      </c>
      <c r="E18" s="8" t="inlineStr">
        <is>
          <t>포인트3</t>
        </is>
      </c>
      <c r="F18" s="8" t="inlineStr">
        <is>
          <t>초당 HP 재생 +2</t>
        </is>
      </c>
    </row>
    <row r="19">
      <c r="A19" s="9" t="inlineStr">
        <is>
          <t>Tier3</t>
        </is>
      </c>
      <c r="B19" s="9" t="inlineStr">
        <is>
          <t>영혼 폭발</t>
        </is>
      </c>
      <c r="C19" s="9" t="inlineStr">
        <is>
          <t>💥💥</t>
        </is>
      </c>
      <c r="D19" s="9" t="inlineStr">
        <is>
          <t>공격</t>
        </is>
      </c>
      <c r="E19" s="9" t="inlineStr">
        <is>
          <t>포인트5</t>
        </is>
      </c>
      <c r="F19" s="9" t="inlineStr">
        <is>
          <t>액티브: ATK 30% 폭발 (CD 60초)</t>
        </is>
      </c>
    </row>
    <row r="20">
      <c r="A20" s="8" t="inlineStr">
        <is>
          <t>Tier3</t>
        </is>
      </c>
      <c r="B20" s="8" t="inlineStr">
        <is>
          <t>영혼 흡수</t>
        </is>
      </c>
      <c r="C20" s="8" t="inlineStr">
        <is>
          <t>🩸</t>
        </is>
      </c>
      <c r="D20" s="8" t="inlineStr">
        <is>
          <t>공격</t>
        </is>
      </c>
      <c r="E20" s="8" t="inlineStr">
        <is>
          <t>포인트5</t>
        </is>
      </c>
      <c r="F20" s="8" t="inlineStr">
        <is>
          <t>흡혈 +8%</t>
        </is>
      </c>
    </row>
    <row r="21">
      <c r="A21" s="9" t="inlineStr">
        <is>
          <t>Tier3</t>
        </is>
      </c>
      <c r="B21" s="9" t="inlineStr">
        <is>
          <t>영혼 요새</t>
        </is>
      </c>
      <c r="C21" s="9" t="inlineStr">
        <is>
          <t>🏰</t>
        </is>
      </c>
      <c r="D21" s="9" t="inlineStr">
        <is>
          <t>방어</t>
        </is>
      </c>
      <c r="E21" s="9" t="inlineStr">
        <is>
          <t>포인트5</t>
        </is>
      </c>
      <c r="F21" s="9" t="inlineStr">
        <is>
          <t>보호막 300 + 반사 5%</t>
        </is>
      </c>
    </row>
    <row r="22">
      <c r="A22" s="8" t="inlineStr">
        <is>
          <t>Tier3</t>
        </is>
      </c>
      <c r="B22" s="8" t="inlineStr">
        <is>
          <t>영혼 조화</t>
        </is>
      </c>
      <c r="C22" s="8" t="inlineStr">
        <is>
          <t>🎵</t>
        </is>
      </c>
      <c r="D22" s="8" t="inlineStr">
        <is>
          <t>방어</t>
        </is>
      </c>
      <c r="E22" s="8" t="inlineStr">
        <is>
          <t>포인트5</t>
        </is>
      </c>
      <c r="F22" s="8" t="inlineStr">
        <is>
          <t>ALL+5, EXP+10%</t>
        </is>
      </c>
    </row>
    <row r="23">
      <c r="A23" s="9" t="inlineStr">
        <is>
          <t>Tier4</t>
        </is>
      </c>
      <c r="B23" s="9" t="inlineStr">
        <is>
          <t>완전 각성</t>
        </is>
      </c>
      <c r="C23" s="9" t="inlineStr">
        <is>
          <t>🌟</t>
        </is>
      </c>
      <c r="D23" s="9" t="inlineStr">
        <is>
          <t>궁극</t>
        </is>
      </c>
      <c r="E23" s="9" t="inlineStr">
        <is>
          <t>포인트10</t>
        </is>
      </c>
      <c r="F23" s="9" t="inlineStr">
        <is>
          <t>ALL+15% + 궁극기 해금</t>
        </is>
      </c>
    </row>
    <row r="24">
      <c r="A24" s="8" t="inlineStr">
        <is>
          <t>Tier4</t>
        </is>
      </c>
      <c r="B24" s="8" t="inlineStr">
        <is>
          <t>영혼 합일</t>
        </is>
      </c>
      <c r="C24" s="8" t="inlineStr">
        <is>
          <t>👤🔮</t>
        </is>
      </c>
      <c r="D24" s="8" t="inlineStr">
        <is>
          <t>궁극</t>
        </is>
      </c>
      <c r="E24" s="8" t="inlineStr">
        <is>
          <t>포인트10</t>
        </is>
      </c>
      <c r="F24" s="8" t="inlineStr">
        <is>
          <t>30초간 무기와 합체! ALL+25%</t>
        </is>
      </c>
    </row>
    <row r="25">
      <c r="A25" s="9" t="inlineStr"/>
      <c r="B25" s="9" t="inlineStr"/>
      <c r="C25" s="9" t="inlineStr"/>
      <c r="D25" s="9" t="inlineStr"/>
      <c r="E25" s="9" t="inlineStr"/>
      <c r="F25" s="9" t="inlineStr"/>
    </row>
    <row r="26">
      <c r="A26" s="8" t="inlineStr">
        <is>
          <t>시스템</t>
        </is>
      </c>
      <c r="B26" s="8" t="inlineStr">
        <is>
          <t>각성 조건</t>
        </is>
      </c>
      <c r="C26" s="8" t="inlineStr">
        <is>
          <t>Lv.20+</t>
        </is>
      </c>
      <c r="D26" s="8" t="inlineStr">
        <is>
          <t>비용</t>
        </is>
      </c>
      <c r="E26" s="8" t="inlineStr">
        <is>
          <t>50,000G</t>
        </is>
      </c>
      <c r="F26" s="8" t="inlineStr">
        <is>
          <t>영혼 최대 Lv.10 / 친밀도 0~100</t>
        </is>
      </c>
    </row>
    <row r="27">
      <c r="A27" s="9" t="inlineStr">
        <is>
          <t>시스템</t>
        </is>
      </c>
      <c r="B27" s="9" t="inlineStr">
        <is>
          <t>합일 쿨다운</t>
        </is>
      </c>
      <c r="C27" s="9" t="inlineStr">
        <is>
          <t>5분</t>
        </is>
      </c>
      <c r="D27" s="9" t="inlineStr">
        <is>
          <t>경험치 보너스</t>
        </is>
      </c>
      <c r="E27" s="9" t="inlineStr">
        <is>
          <t>친밀도 x0.5%</t>
        </is>
      </c>
      <c r="F27" s="9" t="inlineStr">
        <is>
          <t>대화 시 친밀도 +1</t>
        </is>
      </c>
    </row>
  </sheetData>
  <mergeCells count="1">
    <mergeCell ref="A1:F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0" customWidth="1" min="1" max="1"/>
    <col width="18" customWidth="1" min="2" max="2"/>
    <col width="8" customWidth="1" min="3" max="3"/>
    <col width="10" customWidth="1" min="4" max="4"/>
    <col width="12" customWidth="1" min="5" max="5"/>
    <col width="40" customWidth="1" min="6" max="6"/>
  </cols>
  <sheetData>
    <row r="1">
      <c r="A1" s="6" t="inlineStr">
        <is>
          <t>부유 요새 (v2.40)</t>
        </is>
      </c>
    </row>
    <row r="3">
      <c r="A3" s="7" t="inlineStr">
        <is>
          <t>항목</t>
        </is>
      </c>
      <c r="B3" s="7" t="inlineStr">
        <is>
          <t>이름</t>
        </is>
      </c>
      <c r="C3" s="7" t="inlineStr">
        <is>
          <t>아이콘</t>
        </is>
      </c>
      <c r="D3" s="7" t="inlineStr">
        <is>
          <t>최대레벨</t>
        </is>
      </c>
      <c r="E3" s="7" t="inlineStr">
        <is>
          <t>기본비용</t>
        </is>
      </c>
      <c r="F3" s="7" t="inlineStr">
        <is>
          <t>효과/설명</t>
        </is>
      </c>
    </row>
    <row r="4">
      <c r="A4" s="8">
        <f>== 요새 시설 (9종) ===</f>
        <v/>
      </c>
      <c r="B4" s="8" t="inlineStr"/>
      <c r="C4" s="8" t="inlineStr"/>
      <c r="D4" s="8" t="inlineStr"/>
      <c r="E4" s="8" t="inlineStr"/>
      <c r="F4" s="8" t="inlineStr"/>
    </row>
    <row r="5">
      <c r="A5" s="9" t="inlineStr">
        <is>
          <t>핵심</t>
        </is>
      </c>
      <c r="B5" s="9" t="inlineStr">
        <is>
          <t>왕좌의 간</t>
        </is>
      </c>
      <c r="C5" s="9" t="inlineStr">
        <is>
          <t>🏰</t>
        </is>
      </c>
      <c r="D5" s="9" t="n">
        <v>5</v>
      </c>
      <c r="E5" s="9" t="n">
        <v>10000</v>
      </c>
      <c r="F5" s="9" t="inlineStr">
        <is>
          <t>요새 핵심. 레벨에 따라 시설 해금</t>
        </is>
      </c>
    </row>
    <row r="6">
      <c r="A6" s="8" t="inlineStr">
        <is>
          <t>방어</t>
        </is>
      </c>
      <c r="B6" s="8" t="inlineStr">
        <is>
          <t>하늘 성벽</t>
        </is>
      </c>
      <c r="C6" s="8" t="inlineStr">
        <is>
          <t>🧱</t>
        </is>
      </c>
      <c r="D6" s="8" t="n">
        <v>10</v>
      </c>
      <c r="E6" s="8" t="n">
        <v>5000</v>
      </c>
      <c r="F6" s="8" t="inlineStr">
        <is>
          <t>성벽 HP +500/레벨</t>
        </is>
      </c>
    </row>
    <row r="7">
      <c r="A7" s="9" t="inlineStr">
        <is>
          <t>공격</t>
        </is>
      </c>
      <c r="B7" s="9" t="inlineStr">
        <is>
          <t>마나 포탑</t>
        </is>
      </c>
      <c r="C7" s="9" t="inlineStr">
        <is>
          <t>🗼</t>
        </is>
      </c>
      <c r="D7" s="9" t="n">
        <v>8</v>
      </c>
      <c r="E7" s="9" t="n">
        <v>8000</v>
      </c>
      <c r="F7" s="9" t="inlineStr">
        <is>
          <t>자동 공격 포탑 데미지 +100/레벨</t>
        </is>
      </c>
    </row>
    <row r="8">
      <c r="A8" s="8" t="inlineStr">
        <is>
          <t>경제</t>
        </is>
      </c>
      <c r="B8" s="8" t="inlineStr">
        <is>
          <t>구름 정원</t>
        </is>
      </c>
      <c r="C8" s="8" t="inlineStr">
        <is>
          <t>🌿☁️</t>
        </is>
      </c>
      <c r="D8" s="8" t="n">
        <v>5</v>
      </c>
      <c r="E8" s="8" t="n">
        <v>6000</v>
      </c>
      <c r="F8" s="8" t="inlineStr">
        <is>
          <t>시간당 골드/재료 생성 (500G/Lv, 2수정/Lv)</t>
        </is>
      </c>
    </row>
    <row r="9">
      <c r="A9" s="9" t="inlineStr">
        <is>
          <t>제작</t>
        </is>
      </c>
      <c r="B9" s="9" t="inlineStr">
        <is>
          <t>별빛 대장간</t>
        </is>
      </c>
      <c r="C9" s="9" t="inlineStr">
        <is>
          <t>⚒️✨</t>
        </is>
      </c>
      <c r="D9" s="9" t="n">
        <v>5</v>
      </c>
      <c r="E9" s="9" t="n">
        <v>12000</v>
      </c>
      <c r="F9" s="9" t="inlineStr">
        <is>
          <t>제작 보너스 +5%/레벨 (왕좌 Lv.2 필요)</t>
        </is>
      </c>
    </row>
    <row r="10">
      <c r="A10" s="8" t="inlineStr">
        <is>
          <t>방어</t>
        </is>
      </c>
      <c r="B10" s="8" t="inlineStr">
        <is>
          <t>바람의 격납고</t>
        </is>
      </c>
      <c r="C10" s="8" t="inlineStr">
        <is>
          <t>🌬️</t>
        </is>
      </c>
      <c r="D10" s="8" t="n">
        <v>3</v>
      </c>
      <c r="E10" s="8" t="n">
        <v>15000</v>
      </c>
      <c r="F10" s="8" t="inlineStr">
        <is>
          <t>공중 유닛 배치 (왕좌 Lv.3 필요)</t>
        </is>
      </c>
    </row>
    <row r="11">
      <c r="A11" s="9" t="inlineStr">
        <is>
          <t>저장</t>
        </is>
      </c>
      <c r="B11" s="9" t="inlineStr">
        <is>
          <t>수정 금고</t>
        </is>
      </c>
      <c r="C11" s="9" t="inlineStr">
        <is>
          <t>💎</t>
        </is>
      </c>
      <c r="D11" s="9" t="n">
        <v>5</v>
      </c>
      <c r="E11" s="9" t="n">
        <v>8000</v>
      </c>
      <c r="F11" s="9" t="inlineStr">
        <is>
          <t>추가 저장 공간 +100/레벨 (왕좌 Lv.2 필요)</t>
        </is>
      </c>
    </row>
    <row r="12">
      <c r="A12" s="8" t="inlineStr">
        <is>
          <t>정보</t>
        </is>
      </c>
      <c r="B12" s="8" t="inlineStr">
        <is>
          <t>신탁의 첨탑</t>
        </is>
      </c>
      <c r="C12" s="8" t="inlineStr">
        <is>
          <t>🔮</t>
        </is>
      </c>
      <c r="D12" s="8" t="n">
        <v>3</v>
      </c>
      <c r="E12" s="8" t="n">
        <v>20000</v>
      </c>
      <c r="F12" s="8" t="inlineStr">
        <is>
          <t>침공 사전 경고 + 정찰 (왕좌 Lv.4 필요)</t>
        </is>
      </c>
    </row>
    <row r="13">
      <c r="A13" s="9" t="inlineStr">
        <is>
          <t>궁극</t>
        </is>
      </c>
      <c r="B13" s="9" t="inlineStr">
        <is>
          <t>용의 둥지</t>
        </is>
      </c>
      <c r="C13" s="9" t="inlineStr">
        <is>
          <t>🐉</t>
        </is>
      </c>
      <c r="D13" s="9" t="n">
        <v>1</v>
      </c>
      <c r="E13" s="9" t="n">
        <v>100000</v>
      </c>
      <c r="F13" s="9" t="inlineStr">
        <is>
          <t>수호룡 배치 — 최강 방어 (왕좌 Lv.5 필요)</t>
        </is>
      </c>
    </row>
    <row r="14">
      <c r="A14" s="8" t="inlineStr"/>
      <c r="B14" s="8" t="inlineStr"/>
      <c r="C14" s="8" t="inlineStr"/>
      <c r="D14" s="8" t="inlineStr"/>
      <c r="E14" s="8" t="inlineStr"/>
      <c r="F14" s="8" t="inlineStr"/>
    </row>
    <row r="15">
      <c r="A15" s="9">
        <f>== 방어전 웨이브 (5단계) ===</f>
        <v/>
      </c>
      <c r="B15" s="9" t="inlineStr"/>
      <c r="C15" s="9" t="inlineStr"/>
      <c r="D15" s="9" t="inlineStr"/>
      <c r="E15" s="9" t="inlineStr"/>
      <c r="F15" s="9" t="inlineStr"/>
    </row>
    <row r="16">
      <c r="A16" s="8" t="inlineStr">
        <is>
          <t>Wave1</t>
        </is>
      </c>
      <c r="B16" s="8" t="inlineStr">
        <is>
          <t>도적단 습격</t>
        </is>
      </c>
      <c r="C16" s="8" t="inlineStr">
        <is>
          <t>🏴‍☠️</t>
        </is>
      </c>
      <c r="D16" s="8" t="inlineStr">
        <is>
          <t>적 5체</t>
        </is>
      </c>
      <c r="E16" s="8" t="inlineStr">
        <is>
          <t>HP200/ATK30</t>
        </is>
      </c>
      <c r="F16" s="8" t="inlineStr">
        <is>
          <t>3,000G / 1,000EXP</t>
        </is>
      </c>
    </row>
    <row r="17">
      <c r="A17" s="9" t="inlineStr">
        <is>
          <t>Wave2</t>
        </is>
      </c>
      <c r="B17" s="9" t="inlineStr">
        <is>
          <t>암흑 비행단</t>
        </is>
      </c>
      <c r="C17" s="9" t="inlineStr">
        <is>
          <t>🦇</t>
        </is>
      </c>
      <c r="D17" s="9" t="inlineStr">
        <is>
          <t>적 8체</t>
        </is>
      </c>
      <c r="E17" s="9" t="inlineStr">
        <is>
          <t>HP400/ATK50</t>
        </is>
      </c>
      <c r="F17" s="9" t="inlineStr">
        <is>
          <t>6,000G / 2,000EXP</t>
        </is>
      </c>
    </row>
    <row r="18">
      <c r="A18" s="8" t="inlineStr">
        <is>
          <t>Wave3</t>
        </is>
      </c>
      <c r="B18" s="8" t="inlineStr">
        <is>
          <t>스톰 골렘 부대</t>
        </is>
      </c>
      <c r="C18" s="8" t="inlineStr">
        <is>
          <t>🗿⚡</t>
        </is>
      </c>
      <c r="D18" s="8" t="inlineStr">
        <is>
          <t>적 6체</t>
        </is>
      </c>
      <c r="E18" s="8" t="inlineStr">
        <is>
          <t>HP800/ATK80</t>
        </is>
      </c>
      <c r="F18" s="8" t="inlineStr">
        <is>
          <t>10,000G / 4,000EXP</t>
        </is>
      </c>
    </row>
    <row r="19">
      <c r="A19" s="9" t="inlineStr">
        <is>
          <t>Wave4</t>
        </is>
      </c>
      <c r="B19" s="9" t="inlineStr">
        <is>
          <t>마왕군 선봉대</t>
        </is>
      </c>
      <c r="C19" s="9" t="inlineStr">
        <is>
          <t>👹</t>
        </is>
      </c>
      <c r="D19" s="9" t="inlineStr">
        <is>
          <t>적 10체</t>
        </is>
      </c>
      <c r="E19" s="9" t="inlineStr">
        <is>
          <t>HP1200/ATK120</t>
        </is>
      </c>
      <c r="F19" s="9" t="inlineStr">
        <is>
          <t>20,000G / 8,000EXP</t>
        </is>
      </c>
    </row>
    <row r="20">
      <c r="A20" s="8" t="inlineStr">
        <is>
          <t>Wave5</t>
        </is>
      </c>
      <c r="B20" s="8" t="inlineStr">
        <is>
          <t>천공의 폭군</t>
        </is>
      </c>
      <c r="C20" s="8" t="inlineStr">
        <is>
          <t>🐲</t>
        </is>
      </c>
      <c r="D20" s="8" t="inlineStr">
        <is>
          <t>적 1체</t>
        </is>
      </c>
      <c r="E20" s="8" t="inlineStr">
        <is>
          <t>HP15000/ATK300</t>
        </is>
      </c>
      <c r="F20" s="8" t="inlineStr">
        <is>
          <t>50,000G / 20,000EXP</t>
        </is>
      </c>
    </row>
    <row r="21">
      <c r="A21" s="9" t="inlineStr"/>
      <c r="B21" s="9" t="inlineStr"/>
      <c r="C21" s="9" t="inlineStr"/>
      <c r="D21" s="9" t="inlineStr"/>
      <c r="E21" s="9" t="inlineStr"/>
      <c r="F21" s="9" t="inlineStr"/>
    </row>
    <row r="22">
      <c r="A22" s="8">
        <f>== 테마 (6종) ===</f>
        <v/>
      </c>
      <c r="B22" s="8" t="inlineStr"/>
      <c r="C22" s="8" t="inlineStr"/>
      <c r="D22" s="8" t="inlineStr"/>
      <c r="E22" s="8" t="inlineStr"/>
      <c r="F22" s="8" t="inlineStr"/>
    </row>
    <row r="23">
      <c r="A23" s="9" t="inlineStr">
        <is>
          <t>기본</t>
        </is>
      </c>
      <c r="B23" s="9" t="inlineStr">
        <is>
          <t>고전 성채</t>
        </is>
      </c>
      <c r="C23" s="9" t="inlineStr">
        <is>
          <t>🏰</t>
        </is>
      </c>
      <c r="D23" s="9" t="inlineStr">
        <is>
          <t>-</t>
        </is>
      </c>
      <c r="E23" s="9" t="inlineStr">
        <is>
          <t>무료</t>
        </is>
      </c>
      <c r="F23" s="9" t="inlineStr">
        <is>
          <t>기본 테마</t>
        </is>
      </c>
    </row>
    <row r="24">
      <c r="A24" s="8" t="inlineStr"/>
      <c r="B24" s="8" t="inlineStr">
        <is>
          <t>수정 궁전</t>
        </is>
      </c>
      <c r="C24" s="8" t="inlineStr">
        <is>
          <t>💎🏰</t>
        </is>
      </c>
      <c r="D24" s="8" t="inlineStr">
        <is>
          <t>-</t>
        </is>
      </c>
      <c r="E24" s="8" t="inlineStr">
        <is>
          <t>30,000G</t>
        </is>
      </c>
      <c r="F24" s="8" t="inlineStr"/>
    </row>
    <row r="25">
      <c r="A25" s="9" t="inlineStr"/>
      <c r="B25" s="9" t="inlineStr">
        <is>
          <t>암흑 요새</t>
        </is>
      </c>
      <c r="C25" s="9" t="inlineStr">
        <is>
          <t>🌑🏰</t>
        </is>
      </c>
      <c r="D25" s="9" t="inlineStr">
        <is>
          <t>-</t>
        </is>
      </c>
      <c r="E25" s="9" t="inlineStr">
        <is>
          <t>30,000G</t>
        </is>
      </c>
      <c r="F25" s="9" t="inlineStr"/>
    </row>
    <row r="26">
      <c r="A26" s="8" t="inlineStr"/>
      <c r="B26" s="8" t="inlineStr">
        <is>
          <t>구름 천궁</t>
        </is>
      </c>
      <c r="C26" s="8" t="inlineStr">
        <is>
          <t>☁️🏰</t>
        </is>
      </c>
      <c r="D26" s="8" t="inlineStr">
        <is>
          <t>-</t>
        </is>
      </c>
      <c r="E26" s="8" t="inlineStr">
        <is>
          <t>50,000G</t>
        </is>
      </c>
      <c r="F26" s="8" t="inlineStr"/>
    </row>
    <row r="27">
      <c r="A27" s="9" t="inlineStr"/>
      <c r="B27" s="9" t="inlineStr">
        <is>
          <t>용의 보루</t>
        </is>
      </c>
      <c r="C27" s="9" t="inlineStr">
        <is>
          <t>🐉🏰</t>
        </is>
      </c>
      <c r="D27" s="9" t="inlineStr">
        <is>
          <t>-</t>
        </is>
      </c>
      <c r="E27" s="9" t="inlineStr">
        <is>
          <t>80,000G</t>
        </is>
      </c>
      <c r="F27" s="9" t="inlineStr"/>
    </row>
    <row r="28">
      <c r="A28" s="8" t="inlineStr"/>
      <c r="B28" s="8" t="inlineStr">
        <is>
          <t>천상 성역</t>
        </is>
      </c>
      <c r="C28" s="8" t="inlineStr">
        <is>
          <t>✨🏰</t>
        </is>
      </c>
      <c r="D28" s="8" t="inlineStr">
        <is>
          <t>-</t>
        </is>
      </c>
      <c r="E28" s="8" t="inlineStr">
        <is>
          <t>100,000G</t>
        </is>
      </c>
      <c r="F28" s="8" t="inlineStr"/>
    </row>
    <row r="29">
      <c r="A29" s="9" t="inlineStr"/>
      <c r="B29" s="9" t="inlineStr"/>
      <c r="C29" s="9" t="inlineStr"/>
      <c r="D29" s="9" t="inlineStr"/>
      <c r="E29" s="9" t="inlineStr"/>
      <c r="F29" s="9" t="inlineStr"/>
    </row>
    <row r="30">
      <c r="A30" s="8" t="inlineStr">
        <is>
          <t>시스템</t>
        </is>
      </c>
      <c r="B30" s="8" t="inlineStr">
        <is>
          <t>건설 조건</t>
        </is>
      </c>
      <c r="C30" s="8" t="inlineStr">
        <is>
          <t>Lv.25+</t>
        </is>
      </c>
      <c r="D30" s="8" t="inlineStr">
        <is>
          <t>비용</t>
        </is>
      </c>
      <c r="E30" s="8" t="inlineStr">
        <is>
          <t>50,000G</t>
        </is>
      </c>
      <c r="F30" s="8" t="inlineStr">
        <is>
          <t>방문 시스템 / 자원 최대 24시간 축적</t>
        </is>
      </c>
    </row>
  </sheetData>
  <mergeCells count="1">
    <mergeCell ref="A1:F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0" customWidth="1" min="1" max="1"/>
    <col width="22" customWidth="1" min="2" max="2"/>
    <col width="8" customWidth="1" min="3" max="3"/>
    <col width="16" customWidth="1" min="4" max="4"/>
    <col width="22" customWidth="1" min="5" max="5"/>
    <col width="44" customWidth="1" min="6" max="6"/>
  </cols>
  <sheetData>
    <row r="1">
      <c r="A1" s="6" t="inlineStr">
        <is>
          <t>영체 이탈 (v2.41)</t>
        </is>
      </c>
    </row>
    <row r="3">
      <c r="A3" s="7" t="inlineStr">
        <is>
          <t>항목</t>
        </is>
      </c>
      <c r="B3" s="7" t="inlineStr">
        <is>
          <t>ID/이름</t>
        </is>
      </c>
      <c r="C3" s="7" t="inlineStr">
        <is>
          <t>아이콘</t>
        </is>
      </c>
      <c r="D3" s="7" t="inlineStr">
        <is>
          <t>티어/조건</t>
        </is>
      </c>
      <c r="E3" s="7" t="inlineStr">
        <is>
          <t>수치</t>
        </is>
      </c>
      <c r="F3" s="7" t="inlineStr">
        <is>
          <t>효과/설명</t>
        </is>
      </c>
    </row>
    <row r="4">
      <c r="A4" s="8">
        <f>== 숨겨진 차원 (4개) ===</f>
        <v/>
      </c>
      <c r="B4" s="8" t="inlineStr"/>
      <c r="C4" s="8" t="inlineStr"/>
      <c r="D4" s="8" t="inlineStr"/>
      <c r="E4" s="8" t="inlineStr"/>
      <c r="F4" s="8" t="inlineStr"/>
    </row>
    <row r="5">
      <c r="A5" s="9" t="inlineStr">
        <is>
          <t>차원</t>
        </is>
      </c>
      <c r="B5" s="9" t="inlineStr">
        <is>
          <t>황혼의 장막</t>
        </is>
      </c>
      <c r="C5" s="9" t="inlineStr">
        <is>
          <t>🌅👻</t>
        </is>
      </c>
      <c r="D5" s="9" t="inlineStr">
        <is>
          <t>Lv.20+/Tier1</t>
        </is>
      </c>
      <c r="E5" s="9" t="inlineStr">
        <is>
          <t>위험: 잊힌 혼령, 방황하는 그림자</t>
        </is>
      </c>
      <c r="F5" s="9" t="inlineStr">
        <is>
          <t>현실과 영계의 경계 / 보물 3개</t>
        </is>
      </c>
    </row>
    <row r="6">
      <c r="A6" s="8" t="inlineStr">
        <is>
          <t>차원</t>
        </is>
      </c>
      <c r="B6" s="8" t="inlineStr">
        <is>
          <t>영혼의 정원</t>
        </is>
      </c>
      <c r="C6" s="8" t="inlineStr">
        <is>
          <t>🌸👻</t>
        </is>
      </c>
      <c r="D6" s="8" t="inlineStr">
        <is>
          <t>Lv.30+/Tier2</t>
        </is>
      </c>
      <c r="E6" s="8" t="inlineStr">
        <is>
          <t>위험: 정원 수호자, 시든 정령</t>
        </is>
      </c>
      <c r="F6" s="8" t="inlineStr">
        <is>
          <t>죽은 자들이 쉬는 낙원 / 보물 5개</t>
        </is>
      </c>
    </row>
    <row r="7">
      <c r="A7" s="9" t="inlineStr">
        <is>
          <t>차원</t>
        </is>
      </c>
      <c r="B7" s="9" t="inlineStr">
        <is>
          <t>기억의 회랑</t>
        </is>
      </c>
      <c r="C7" s="9" t="inlineStr">
        <is>
          <t>🏛️👻</t>
        </is>
      </c>
      <c r="D7" s="9" t="inlineStr">
        <is>
          <t>Lv.40+/Tier3</t>
        </is>
      </c>
      <c r="E7" s="9" t="inlineStr">
        <is>
          <t>위험: 기억의 파편, 왜곡된 자아</t>
        </is>
      </c>
      <c r="F7" s="9" t="inlineStr">
        <is>
          <t>과거 기억이 재생되는 차원 / 보물 7개</t>
        </is>
      </c>
    </row>
    <row r="8">
      <c r="A8" s="8" t="inlineStr">
        <is>
          <t>차원</t>
        </is>
      </c>
      <c r="B8" s="8" t="inlineStr">
        <is>
          <t>공허의 심연</t>
        </is>
      </c>
      <c r="C8" s="8" t="inlineStr">
        <is>
          <t>🕳️👻</t>
        </is>
      </c>
      <c r="D8" s="8" t="inlineStr">
        <is>
          <t>Lv.50+/Tier4</t>
        </is>
      </c>
      <c r="E8" s="8" t="inlineStr">
        <is>
          <t>위험: 공허 포식자, 차원의 감시자</t>
        </is>
      </c>
      <c r="F8" s="8" t="inlineStr">
        <is>
          <t>존재와 비존재의 경계 / 보물 10개</t>
        </is>
      </c>
    </row>
    <row r="9">
      <c r="A9" s="9" t="inlineStr"/>
      <c r="B9" s="9" t="inlineStr"/>
      <c r="C9" s="9" t="inlineStr"/>
      <c r="D9" s="9" t="inlineStr"/>
      <c r="E9" s="9" t="inlineStr"/>
      <c r="F9" s="9" t="inlineStr"/>
    </row>
    <row r="10">
      <c r="A10" s="8">
        <f>== 영계 NPC (6명) ===</f>
        <v/>
      </c>
      <c r="B10" s="8" t="inlineStr"/>
      <c r="C10" s="8" t="inlineStr"/>
      <c r="D10" s="8" t="inlineStr"/>
      <c r="E10" s="8" t="inlineStr"/>
      <c r="F10" s="8" t="inlineStr"/>
    </row>
    <row r="11">
      <c r="A11" s="9" t="inlineStr">
        <is>
          <t>NPC</t>
        </is>
      </c>
      <c r="B11" s="9" t="inlineStr">
        <is>
          <t>유령 상인 에텔</t>
        </is>
      </c>
      <c r="C11" s="9" t="inlineStr">
        <is>
          <t>👻🏪</t>
        </is>
      </c>
      <c r="D11" s="9" t="inlineStr">
        <is>
          <t>황혼의 장막</t>
        </is>
      </c>
      <c r="E11" s="9" t="inlineStr">
        <is>
          <t>-</t>
        </is>
      </c>
      <c r="F11" s="9" t="inlineStr">
        <is>
          <t>유령 비단 2000G, 영혼물약 1500G, 망령 망토 15000G</t>
        </is>
      </c>
    </row>
    <row r="12">
      <c r="A12" s="8" t="inlineStr">
        <is>
          <t>NPC</t>
        </is>
      </c>
      <c r="B12" s="8" t="inlineStr">
        <is>
          <t>고대 학자 메모리온</t>
        </is>
      </c>
      <c r="C12" s="8" t="inlineStr">
        <is>
          <t>📚👻</t>
        </is>
      </c>
      <c r="D12" s="8" t="inlineStr">
        <is>
          <t>기억의 회랑</t>
        </is>
      </c>
      <c r="E12" s="8" t="inlineStr">
        <is>
          <t>-</t>
        </is>
      </c>
      <c r="F12" s="8" t="inlineStr">
        <is>
          <t>잊혀진 마법 교육: astral_bolt, memory_read, soul_sight</t>
        </is>
      </c>
    </row>
    <row r="13">
      <c r="A13" s="9" t="inlineStr">
        <is>
          <t>NPC</t>
        </is>
      </c>
      <c r="B13" s="9" t="inlineStr">
        <is>
          <t>공허의 신탁 닉스</t>
        </is>
      </c>
      <c r="C13" s="9" t="inlineStr">
        <is>
          <t>🔮👻</t>
        </is>
      </c>
      <c r="D13" s="9" t="inlineStr">
        <is>
          <t>공허의 심연</t>
        </is>
      </c>
      <c r="E13" s="9" t="inlineStr">
        <is>
          <t>-</t>
        </is>
      </c>
      <c r="F13" s="9" t="inlineStr">
        <is>
          <t>랜덤 예언 제공</t>
        </is>
      </c>
    </row>
    <row r="14">
      <c r="A14" s="8" t="inlineStr">
        <is>
          <t>NPC</t>
        </is>
      </c>
      <c r="B14" s="8" t="inlineStr">
        <is>
          <t>꽃의 정령 블로사</t>
        </is>
      </c>
      <c r="C14" s="8" t="inlineStr">
        <is>
          <t>🌸🧚</t>
        </is>
      </c>
      <c r="D14" s="8" t="inlineStr">
        <is>
          <t>영혼의 정원</t>
        </is>
      </c>
      <c r="E14" s="8" t="inlineStr">
        <is>
          <t>-</t>
        </is>
      </c>
      <c r="F14" s="8" t="inlineStr">
        <is>
          <t>1일 1회 랜덤 선물 (영혼의 꽃/치유 꽃잎/정령 넥타르)</t>
        </is>
      </c>
    </row>
    <row r="15">
      <c r="A15" s="9" t="inlineStr">
        <is>
          <t>NPC</t>
        </is>
      </c>
      <c r="B15" s="9" t="inlineStr">
        <is>
          <t>죽음의 기사 모르간</t>
        </is>
      </c>
      <c r="C15" s="9" t="inlineStr">
        <is>
          <t>⚔️💀</t>
        </is>
      </c>
      <c r="D15" s="9" t="inlineStr">
        <is>
          <t>황혼의 장막</t>
        </is>
      </c>
      <c r="E15" s="9" t="inlineStr">
        <is>
          <t>-</t>
        </is>
      </c>
      <c r="F15" s="9" t="inlineStr">
        <is>
          <t>전투 훈련 → 영구 ATK +1 (최대 +20)</t>
        </is>
      </c>
    </row>
    <row r="16">
      <c r="A16" s="8" t="inlineStr">
        <is>
          <t>NPC</t>
        </is>
      </c>
      <c r="B16" s="8" t="inlineStr">
        <is>
          <t>꿈의 직공 소나타</t>
        </is>
      </c>
      <c r="C16" s="8" t="inlineStr">
        <is>
          <t>🕸️✨</t>
        </is>
      </c>
      <c r="D16" s="8" t="inlineStr">
        <is>
          <t>영혼의 정원</t>
        </is>
      </c>
      <c r="E16" s="8" t="inlineStr">
        <is>
          <t>-</t>
        </is>
      </c>
      <c r="F16" s="8" t="inlineStr">
        <is>
          <t>특수 아이템 제작</t>
        </is>
      </c>
    </row>
    <row r="17">
      <c r="A17" s="9" t="inlineStr"/>
      <c r="B17" s="9" t="inlineStr"/>
      <c r="C17" s="9" t="inlineStr"/>
      <c r="D17" s="9" t="inlineStr"/>
      <c r="E17" s="9" t="inlineStr"/>
      <c r="F17" s="9" t="inlineStr"/>
    </row>
    <row r="18">
      <c r="A18" s="8">
        <f>== 영혼 퀘스트 (4종) ===</f>
        <v/>
      </c>
      <c r="B18" s="8" t="inlineStr"/>
      <c r="C18" s="8" t="inlineStr"/>
      <c r="D18" s="8" t="inlineStr"/>
      <c r="E18" s="8" t="inlineStr"/>
      <c r="F18" s="8" t="inlineStr"/>
    </row>
    <row r="19">
      <c r="A19" s="9" t="inlineStr">
        <is>
          <t>퀘스트</t>
        </is>
      </c>
      <c r="B19" s="9" t="inlineStr">
        <is>
          <t>유령 상인의 부탁</t>
        </is>
      </c>
      <c r="C19" s="9" t="inlineStr">
        <is>
          <t>👻📦</t>
        </is>
      </c>
      <c r="D19" s="9" t="inlineStr">
        <is>
          <t>유령 비단 x3</t>
        </is>
      </c>
      <c r="E19" s="9" t="inlineStr">
        <is>
          <t>10,000G</t>
        </is>
      </c>
      <c r="F19" s="9" t="inlineStr">
        <is>
          <t>아이템: 영체 나침반</t>
        </is>
      </c>
    </row>
    <row r="20">
      <c r="A20" s="8" t="inlineStr">
        <is>
          <t>퀘스트</t>
        </is>
      </c>
      <c r="B20" s="8" t="inlineStr">
        <is>
          <t>잃어버린 기억</t>
        </is>
      </c>
      <c r="C20" s="8" t="inlineStr">
        <is>
          <t>🧠✨</t>
        </is>
      </c>
      <c r="D20" s="8" t="inlineStr">
        <is>
          <t>기억의 수정 x5</t>
        </is>
      </c>
      <c r="E20" s="8" t="inlineStr">
        <is>
          <t>20,000G + 10,000EXP</t>
        </is>
      </c>
      <c r="F20" s="8" t="inlineStr">
        <is>
          <t>아이템: 사신의 검 (ATK80, 영혼+20%, 5%즉사)</t>
        </is>
      </c>
    </row>
    <row r="21">
      <c r="A21" s="9" t="inlineStr">
        <is>
          <t>퀘스트</t>
        </is>
      </c>
      <c r="B21" s="9" t="inlineStr">
        <is>
          <t>공허의 계시</t>
        </is>
      </c>
      <c r="C21" s="9" t="inlineStr">
        <is>
          <t>🔮💀</t>
        </is>
      </c>
      <c r="D21" s="9" t="inlineStr">
        <is>
          <t>공허의 파편 x10</t>
        </is>
      </c>
      <c r="E21" s="9" t="inlineStr">
        <is>
          <t>50,000G + 30,000EXP</t>
        </is>
      </c>
      <c r="F21" s="9" t="inlineStr">
        <is>
          <t>아이템: 공허의 눈 (모든 숨겨진 것 시야)</t>
        </is>
      </c>
    </row>
    <row r="22">
      <c r="A22" s="8" t="inlineStr">
        <is>
          <t>퀘스트</t>
        </is>
      </c>
      <c r="B22" s="8" t="inlineStr">
        <is>
          <t>꿈의 태피스트리</t>
        </is>
      </c>
      <c r="C22" s="8" t="inlineStr">
        <is>
          <t>🕸️🌸</t>
        </is>
      </c>
      <c r="D22" s="8" t="inlineStr">
        <is>
          <t>꿈의 실x5 + 영혼꽃x3</t>
        </is>
      </c>
      <c r="E22" s="8" t="inlineStr">
        <is>
          <t>30,000G</t>
        </is>
      </c>
      <c r="F22" s="8" t="inlineStr">
        <is>
          <t>영구 ALL +5</t>
        </is>
      </c>
    </row>
    <row r="23">
      <c r="A23" s="9" t="inlineStr"/>
      <c r="B23" s="9" t="inlineStr"/>
      <c r="C23" s="9" t="inlineStr"/>
      <c r="D23" s="9" t="inlineStr"/>
      <c r="E23" s="9" t="inlineStr"/>
      <c r="F23" s="9" t="inlineStr"/>
    </row>
    <row r="24">
      <c r="A24" s="8" t="inlineStr">
        <is>
          <t>시스템</t>
        </is>
      </c>
      <c r="B24" s="8" t="inlineStr">
        <is>
          <t>지속시간</t>
        </is>
      </c>
      <c r="C24" s="8" t="inlineStr">
        <is>
          <t>3분(180초)</t>
        </is>
      </c>
      <c r="D24" s="8" t="inlineStr">
        <is>
          <t>MP소모</t>
        </is>
      </c>
      <c r="E24" s="8" t="inlineStr">
        <is>
          <t>50</t>
        </is>
      </c>
      <c r="F24" s="8" t="inlineStr">
        <is>
          <t>쿨다운 10분 / 탐험 결과: 보물30% 위험25% 비전15% 고요30%</t>
        </is>
      </c>
    </row>
  </sheetData>
  <mergeCells count="1">
    <mergeCell ref="A1:F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8" customWidth="1" min="1" max="1"/>
    <col width="22" customWidth="1" min="2" max="2"/>
    <col width="8" customWidth="1" min="3" max="3"/>
    <col width="22" customWidth="1" min="4" max="4"/>
    <col width="22" customWidth="1" min="5" max="5"/>
    <col width="36" customWidth="1" min="6" max="6"/>
  </cols>
  <sheetData>
    <row r="1">
      <c r="A1" s="6" t="inlineStr">
        <is>
          <t>저주받은 던전 (v2.42)</t>
        </is>
      </c>
    </row>
    <row r="3">
      <c r="A3" s="7" t="inlineStr">
        <is>
          <t>항목</t>
        </is>
      </c>
      <c r="B3" s="7" t="inlineStr">
        <is>
          <t>ID/이름</t>
        </is>
      </c>
      <c r="C3" s="7" t="inlineStr">
        <is>
          <t>아이콘</t>
        </is>
      </c>
      <c r="D3" s="7" t="inlineStr">
        <is>
          <t>티어</t>
        </is>
      </c>
      <c r="E3" s="7" t="inlineStr">
        <is>
          <t>수치</t>
        </is>
      </c>
      <c r="F3" s="7" t="inlineStr">
        <is>
          <t>효과/역이용</t>
        </is>
      </c>
    </row>
    <row r="4">
      <c r="A4" s="8">
        <f>== 저주 (12종, 5등급) ===</f>
        <v/>
      </c>
      <c r="B4" s="8" t="inlineStr"/>
      <c r="C4" s="8" t="inlineStr"/>
      <c r="D4" s="8" t="inlineStr"/>
      <c r="E4" s="8" t="inlineStr"/>
      <c r="F4" s="8" t="inlineStr"/>
    </row>
    <row r="5">
      <c r="A5" s="9" t="inlineStr">
        <is>
          <t>T1</t>
        </is>
      </c>
      <c r="B5" s="9" t="inlineStr">
        <is>
          <t>유리 몸</t>
        </is>
      </c>
      <c r="C5" s="9" t="inlineStr">
        <is>
          <t>🪟</t>
        </is>
      </c>
      <c r="D5" s="9" t="n">
        <v>1</v>
      </c>
      <c r="E5" s="9" t="inlineStr">
        <is>
          <t>DEF -50%</t>
        </is>
      </c>
      <c r="F5" s="9" t="inlineStr">
        <is>
          <t>역이용: 반사 데미지 활성화</t>
        </is>
      </c>
    </row>
    <row r="6">
      <c r="A6" s="8" t="inlineStr">
        <is>
          <t>T1</t>
        </is>
      </c>
      <c r="B6" s="8" t="inlineStr">
        <is>
          <t>봉인된 팔</t>
        </is>
      </c>
      <c r="C6" s="8" t="inlineStr">
        <is>
          <t>🚫✋</t>
        </is>
      </c>
      <c r="D6" s="8" t="n">
        <v>1</v>
      </c>
      <c r="E6" s="8" t="inlineStr">
        <is>
          <t>ATK -30%</t>
        </is>
      </c>
      <c r="F6" s="8" t="inlineStr">
        <is>
          <t>역이용: 스킬 데미지 +40%</t>
        </is>
      </c>
    </row>
    <row r="7">
      <c r="A7" s="9" t="inlineStr">
        <is>
          <t>T1</t>
        </is>
      </c>
      <c r="B7" s="9" t="inlineStr">
        <is>
          <t>무거운 사슬</t>
        </is>
      </c>
      <c r="C7" s="9" t="inlineStr">
        <is>
          <t>⛓️</t>
        </is>
      </c>
      <c r="D7" s="9" t="n">
        <v>1</v>
      </c>
      <c r="E7" s="9" t="inlineStr">
        <is>
          <t>속도 -40%</t>
        </is>
      </c>
      <c r="F7" s="9" t="inlineStr">
        <is>
          <t>역이용: 방어력 +20%</t>
        </is>
      </c>
    </row>
    <row r="8">
      <c r="A8" s="8" t="inlineStr">
        <is>
          <t>T2</t>
        </is>
      </c>
      <c r="B8" s="8" t="inlineStr">
        <is>
          <t>마나 누출</t>
        </is>
      </c>
      <c r="C8" s="8" t="inlineStr">
        <is>
          <t>💧🔮</t>
        </is>
      </c>
      <c r="D8" s="8" t="n">
        <v>2</v>
      </c>
      <c r="E8" s="8" t="inlineStr">
        <is>
          <t>초당 MP -5</t>
        </is>
      </c>
      <c r="F8" s="8" t="inlineStr">
        <is>
          <t>역이용: MP 0일 때 물리 2배</t>
        </is>
      </c>
    </row>
    <row r="9">
      <c r="A9" s="9" t="inlineStr">
        <is>
          <t>T2</t>
        </is>
      </c>
      <c r="B9" s="9" t="inlineStr">
        <is>
          <t>피의 저주</t>
        </is>
      </c>
      <c r="C9" s="9" t="inlineStr">
        <is>
          <t>🩸</t>
        </is>
      </c>
      <c r="D9" s="9" t="n">
        <v>2</v>
      </c>
      <c r="E9" s="9" t="inlineStr">
        <is>
          <t>초당 HP -3</t>
        </is>
      </c>
      <c r="F9" s="9" t="inlineStr">
        <is>
          <t>역이용: HP 30%↓ 시 크리 +30%</t>
        </is>
      </c>
    </row>
    <row r="10">
      <c r="A10" s="8" t="inlineStr">
        <is>
          <t>T2</t>
        </is>
      </c>
      <c r="B10" s="8" t="inlineStr">
        <is>
          <t>맹목</t>
        </is>
      </c>
      <c r="C10" s="8" t="inlineStr">
        <is>
          <t>🙈</t>
        </is>
      </c>
      <c r="D10" s="8" t="n">
        <v>2</v>
      </c>
      <c r="E10" s="8" t="inlineStr">
        <is>
          <t>명중 -30%</t>
        </is>
      </c>
      <c r="F10" s="8" t="inlineStr">
        <is>
          <t>역이용: 명중 시 데미지 +50%</t>
        </is>
      </c>
    </row>
    <row r="11">
      <c r="A11" s="9" t="inlineStr">
        <is>
          <t>T3</t>
        </is>
      </c>
      <c r="B11" s="9" t="inlineStr">
        <is>
          <t>영혼의 무게</t>
        </is>
      </c>
      <c r="C11" s="9" t="inlineStr">
        <is>
          <t>👻⬇️</t>
        </is>
      </c>
      <c r="D11" s="9" t="n">
        <v>3</v>
      </c>
      <c r="E11" s="9" t="inlineStr">
        <is>
          <t>EXP -50%</t>
        </is>
      </c>
      <c r="F11" s="9" t="inlineStr">
        <is>
          <t>역이용: 골드 드롭 +100%</t>
        </is>
      </c>
    </row>
    <row r="12">
      <c r="A12" s="8" t="inlineStr">
        <is>
          <t>T3</t>
        </is>
      </c>
      <c r="B12" s="8" t="inlineStr">
        <is>
          <t>역전된 치유</t>
        </is>
      </c>
      <c r="C12" s="8" t="inlineStr">
        <is>
          <t>💚➡️💀</t>
        </is>
      </c>
      <c r="D12" s="8" t="n">
        <v>3</v>
      </c>
      <c r="E12" s="8" t="inlineStr">
        <is>
          <t>회복→데미지</t>
        </is>
      </c>
      <c r="F12" s="8" t="inlineStr">
        <is>
          <t>역이용: 적 힐도 데미지 전환</t>
        </is>
      </c>
    </row>
    <row r="13">
      <c r="A13" s="9" t="inlineStr">
        <is>
          <t>T3</t>
        </is>
      </c>
      <c r="B13" s="9" t="inlineStr">
        <is>
          <t>거울의 고통</t>
        </is>
      </c>
      <c r="C13" s="9" t="inlineStr">
        <is>
          <t>🪞💢</t>
        </is>
      </c>
      <c r="D13" s="9" t="n">
        <v>3</v>
      </c>
      <c r="E13" s="9" t="inlineStr">
        <is>
          <t>가한 데미지 20% 자해</t>
        </is>
      </c>
      <c r="F13" s="9" t="inlineStr">
        <is>
          <t>역이용: 흡혈 효과 3배</t>
        </is>
      </c>
    </row>
    <row r="14">
      <c r="A14" s="8" t="inlineStr">
        <is>
          <t>T4</t>
        </is>
      </c>
      <c r="B14" s="8" t="inlineStr">
        <is>
          <t>시간 균열</t>
        </is>
      </c>
      <c r="C14" s="8" t="inlineStr">
        <is>
          <t>⏳💥</t>
        </is>
      </c>
      <c r="D14" s="8" t="n">
        <v>4</v>
      </c>
      <c r="E14" s="8" t="inlineStr">
        <is>
          <t>스킬 쿨다운 2배</t>
        </is>
      </c>
      <c r="F14" s="8" t="inlineStr">
        <is>
          <t>역이용: 스킬 위력 +80%</t>
        </is>
      </c>
    </row>
    <row r="15">
      <c r="A15" s="9" t="inlineStr">
        <is>
          <t>T4</t>
        </is>
      </c>
      <c r="B15" s="9" t="inlineStr">
        <is>
          <t>공허의 굶주림</t>
        </is>
      </c>
      <c r="C15" s="9" t="inlineStr">
        <is>
          <t>🕳️🍽️</t>
        </is>
      </c>
      <c r="D15" s="9" t="n">
        <v>4</v>
      </c>
      <c r="E15" s="9" t="inlineStr">
        <is>
          <t>방마다 골드 -5%</t>
        </is>
      </c>
      <c r="F15" s="9" t="inlineStr">
        <is>
          <t>역이용: 소모 골드→ATK 버프</t>
        </is>
      </c>
    </row>
    <row r="16">
      <c r="A16" s="8" t="inlineStr">
        <is>
          <t>T5</t>
        </is>
      </c>
      <c r="B16" s="8" t="inlineStr">
        <is>
          <t>죽음의 시계</t>
        </is>
      </c>
      <c r="C16" s="8" t="inlineStr">
        <is>
          <t>⏰💀</t>
        </is>
      </c>
      <c r="D16" s="8" t="n">
        <v>5</v>
      </c>
      <c r="E16" s="8" t="inlineStr">
        <is>
          <t>3분 타임리밋</t>
        </is>
      </c>
      <c r="F16" s="8" t="inlineStr">
        <is>
          <t>역이용: 시간 압박 보너스 보상x3</t>
        </is>
      </c>
    </row>
    <row r="17">
      <c r="A17" s="9" t="inlineStr"/>
      <c r="B17" s="9" t="inlineStr"/>
      <c r="C17" s="9" t="inlineStr"/>
      <c r="D17" s="9" t="inlineStr"/>
      <c r="E17" s="9" t="inlineStr"/>
      <c r="F17" s="9" t="inlineStr"/>
    </row>
    <row r="18">
      <c r="A18" s="8">
        <f>== 저주 조합 시너지 (7종) ===</f>
        <v/>
      </c>
      <c r="B18" s="8" t="inlineStr"/>
      <c r="C18" s="8" t="inlineStr"/>
      <c r="D18" s="8" t="inlineStr"/>
      <c r="E18" s="8" t="inlineStr"/>
      <c r="F18" s="8" t="inlineStr"/>
    </row>
    <row r="19">
      <c r="A19" s="9" t="inlineStr">
        <is>
          <t>조합</t>
        </is>
      </c>
      <c r="B19" s="9" t="inlineStr">
        <is>
          <t>광전사의 길</t>
        </is>
      </c>
      <c r="C19" s="9" t="inlineStr">
        <is>
          <t>🔥⚔️</t>
        </is>
      </c>
      <c r="D19" s="9" t="inlineStr">
        <is>
          <t>유리몸+피의저주</t>
        </is>
      </c>
      <c r="E19" s="9" t="inlineStr">
        <is>
          <t>ATK+80%, 흡혈+15%</t>
        </is>
      </c>
      <c r="F19" s="9" t="inlineStr">
        <is>
          <t>DEF 포기 → 극딜+생존</t>
        </is>
      </c>
    </row>
    <row r="20">
      <c r="A20" s="8" t="inlineStr">
        <is>
          <t>조합</t>
        </is>
      </c>
      <c r="B20" s="8" t="inlineStr">
        <is>
          <t>유령 보행</t>
        </is>
      </c>
      <c r="C20" s="8" t="inlineStr">
        <is>
          <t>👻🚶</t>
        </is>
      </c>
      <c r="D20" s="8" t="inlineStr">
        <is>
          <t>사슬+맹목</t>
        </is>
      </c>
      <c r="E20" s="8" t="inlineStr">
        <is>
          <t>벽 통과, 크리+20%</t>
        </is>
      </c>
      <c r="F20" s="8" t="inlineStr">
        <is>
          <t>이동 불이익 → 기습 특화</t>
        </is>
      </c>
    </row>
    <row r="21">
      <c r="A21" s="9" t="inlineStr">
        <is>
          <t>조합</t>
        </is>
      </c>
      <c r="B21" s="9" t="inlineStr">
        <is>
          <t>혈마법사</t>
        </is>
      </c>
      <c r="C21" s="9" t="inlineStr">
        <is>
          <t>🩸🔮</t>
        </is>
      </c>
      <c r="D21" s="9" t="inlineStr">
        <is>
          <t>마나누출+피의저주</t>
        </is>
      </c>
      <c r="E21" s="9" t="inlineStr">
        <is>
          <t>HP로 마법, 위력+50%</t>
        </is>
      </c>
      <c r="F21" s="9" t="inlineStr">
        <is>
          <t>MP 대신 HP 소모</t>
        </is>
      </c>
    </row>
    <row r="22">
      <c r="A22" s="8" t="inlineStr">
        <is>
          <t>조합</t>
        </is>
      </c>
      <c r="B22" s="8" t="inlineStr">
        <is>
          <t>시간의 지배자</t>
        </is>
      </c>
      <c r="C22" s="8" t="inlineStr">
        <is>
          <t>⏳👑</t>
        </is>
      </c>
      <c r="D22" s="8" t="inlineStr">
        <is>
          <t>시간균열+죽음시계</t>
        </is>
      </c>
      <c r="E22" s="8" t="inlineStr">
        <is>
          <t>5초 시간정지</t>
        </is>
      </c>
      <c r="F22" s="8" t="inlineStr">
        <is>
          <t>극한의 쿨다운+시간 압박</t>
        </is>
      </c>
    </row>
    <row r="23">
      <c r="A23" s="9" t="inlineStr">
        <is>
          <t>조합</t>
        </is>
      </c>
      <c r="B23" s="9" t="inlineStr">
        <is>
          <t>공허의 보행자</t>
        </is>
      </c>
      <c r="C23" s="9" t="inlineStr">
        <is>
          <t>🕳️🚶</t>
        </is>
      </c>
      <c r="D23" s="9" t="inlineStr">
        <is>
          <t>공허굶주림+영혼무게</t>
        </is>
      </c>
      <c r="E23" s="9" t="inlineStr">
        <is>
          <t>공허뎀+40%, 공허면역</t>
        </is>
      </c>
      <c r="F23" s="9" t="inlineStr">
        <is>
          <t>경제적 손실 → 전투력</t>
        </is>
      </c>
    </row>
    <row r="24">
      <c r="A24" s="8" t="inlineStr">
        <is>
          <t>조합</t>
        </is>
      </c>
      <c r="B24" s="8" t="inlineStr">
        <is>
          <t>불사의 몸</t>
        </is>
      </c>
      <c r="C24" s="8" t="inlineStr">
        <is>
          <t>💀❌</t>
        </is>
      </c>
      <c r="D24" s="8" t="inlineStr">
        <is>
          <t>역전치유+거울고통</t>
        </is>
      </c>
      <c r="E24" s="8" t="inlineStr">
        <is>
          <t>부활1회, 최대HP+30%</t>
        </is>
      </c>
      <c r="F24" s="8" t="inlineStr">
        <is>
          <t>자해+역힐 → 불사</t>
        </is>
      </c>
    </row>
    <row r="25">
      <c r="A25" s="9" t="inlineStr">
        <is>
          <t>조합</t>
        </is>
      </c>
      <c r="B25" s="9" t="inlineStr">
        <is>
          <t>완전한 저주</t>
        </is>
      </c>
      <c r="C25" s="9" t="inlineStr">
        <is>
          <t>💀💀💀</t>
        </is>
      </c>
      <c r="D25" s="9" t="inlineStr">
        <is>
          <t>죽음시계+피저주+유리몸</t>
        </is>
      </c>
      <c r="E25" s="9" t="inlineStr">
        <is>
          <t>보상x5, 전설드롭50%</t>
        </is>
      </c>
      <c r="F25" s="9" t="inlineStr">
        <is>
          <t>최대 위험 = 최대 보상</t>
        </is>
      </c>
    </row>
    <row r="26">
      <c r="A26" s="8" t="inlineStr"/>
      <c r="B26" s="8" t="inlineStr"/>
      <c r="C26" s="8" t="inlineStr"/>
      <c r="D26" s="8" t="inlineStr"/>
      <c r="E26" s="8" t="inlineStr"/>
      <c r="F26" s="8" t="inlineStr"/>
    </row>
    <row r="27">
      <c r="A27" s="9">
        <f>== 던전 층 (7층) ===</f>
        <v/>
      </c>
      <c r="B27" s="9" t="inlineStr"/>
      <c r="C27" s="9" t="inlineStr"/>
      <c r="D27" s="9" t="inlineStr"/>
      <c r="E27" s="9" t="inlineStr"/>
      <c r="F27" s="9" t="inlineStr"/>
    </row>
    <row r="28">
      <c r="A28" s="8" t="inlineStr">
        <is>
          <t>1층</t>
        </is>
      </c>
      <c r="B28" s="8" t="inlineStr">
        <is>
          <t>잊힌 예배당</t>
        </is>
      </c>
      <c r="C28" s="8" t="inlineStr">
        <is>
          <t>⛪💀</t>
        </is>
      </c>
      <c r="D28" s="8" t="inlineStr">
        <is>
          <t>HP200/ATK30</t>
        </is>
      </c>
      <c r="E28" s="8" t="inlineStr">
        <is>
          <t>-</t>
        </is>
      </c>
      <c r="F28" s="8" t="inlineStr">
        <is>
          <t>2,000G / 800EXP</t>
        </is>
      </c>
    </row>
    <row r="29">
      <c r="A29" s="9" t="inlineStr">
        <is>
          <t>2층</t>
        </is>
      </c>
      <c r="B29" s="9" t="inlineStr">
        <is>
          <t>썩은 도서관</t>
        </is>
      </c>
      <c r="C29" s="9" t="inlineStr">
        <is>
          <t>📚🕸️</t>
        </is>
      </c>
      <c r="D29" s="9" t="inlineStr">
        <is>
          <t>HP500/ATK50</t>
        </is>
      </c>
      <c r="E29" s="9" t="inlineStr">
        <is>
          <t>-</t>
        </is>
      </c>
      <c r="F29" s="9" t="inlineStr">
        <is>
          <t>3,500G / 1,500EXP</t>
        </is>
      </c>
    </row>
    <row r="30">
      <c r="A30" s="8" t="inlineStr">
        <is>
          <t>3층</t>
        </is>
      </c>
      <c r="B30" s="8" t="inlineStr">
        <is>
          <t>거꾸로 된 정원</t>
        </is>
      </c>
      <c r="C30" s="8" t="inlineStr">
        <is>
          <t>🌿🔄</t>
        </is>
      </c>
      <c r="D30" s="8" t="inlineStr">
        <is>
          <t>HP800/ATK75</t>
        </is>
      </c>
      <c r="E30" s="8" t="inlineStr">
        <is>
          <t>-</t>
        </is>
      </c>
      <c r="F30" s="8" t="inlineStr">
        <is>
          <t>5,000G / 2,500EXP</t>
        </is>
      </c>
    </row>
    <row r="31">
      <c r="A31" s="9" t="inlineStr">
        <is>
          <t>4층</t>
        </is>
      </c>
      <c r="B31" s="9" t="inlineStr">
        <is>
          <t>피의 분수대</t>
        </is>
      </c>
      <c r="C31" s="9" t="inlineStr">
        <is>
          <t>⛲🩸</t>
        </is>
      </c>
      <c r="D31" s="9" t="inlineStr">
        <is>
          <t>HP1200/ATK100</t>
        </is>
      </c>
      <c r="E31" s="9" t="inlineStr">
        <is>
          <t>-</t>
        </is>
      </c>
      <c r="F31" s="9" t="inlineStr">
        <is>
          <t>8,000G / 4,000EXP</t>
        </is>
      </c>
    </row>
    <row r="32">
      <c r="A32" s="8" t="inlineStr">
        <is>
          <t>5층</t>
        </is>
      </c>
      <c r="B32" s="8" t="inlineStr">
        <is>
          <t>뒤틀린 거울의 방</t>
        </is>
      </c>
      <c r="C32" s="8" t="inlineStr">
        <is>
          <t>🪞👹</t>
        </is>
      </c>
      <c r="D32" s="8" t="inlineStr">
        <is>
          <t>HP1800/ATK130</t>
        </is>
      </c>
      <c r="E32" s="8" t="inlineStr">
        <is>
          <t>-</t>
        </is>
      </c>
      <c r="F32" s="8" t="inlineStr">
        <is>
          <t>12,000G / 6,000EXP</t>
        </is>
      </c>
    </row>
    <row r="33">
      <c r="A33" s="9" t="inlineStr">
        <is>
          <t>6층</t>
        </is>
      </c>
      <c r="B33" s="9" t="inlineStr">
        <is>
          <t>고문실</t>
        </is>
      </c>
      <c r="C33" s="9" t="inlineStr">
        <is>
          <t>⛏️💀</t>
        </is>
      </c>
      <c r="D33" s="9" t="inlineStr">
        <is>
          <t>HP2500/ATK160</t>
        </is>
      </c>
      <c r="E33" s="9" t="inlineStr">
        <is>
          <t>-</t>
        </is>
      </c>
      <c r="F33" s="9" t="inlineStr">
        <is>
          <t>18,000G / 9,000EXP</t>
        </is>
      </c>
    </row>
    <row r="34">
      <c r="A34" s="8" t="inlineStr">
        <is>
          <t>7층</t>
        </is>
      </c>
      <c r="B34" s="8" t="inlineStr">
        <is>
          <t>역전된 왕좌</t>
        </is>
      </c>
      <c r="C34" s="8" t="inlineStr">
        <is>
          <t>👑🔄</t>
        </is>
      </c>
      <c r="D34" s="8" t="inlineStr">
        <is>
          <t>HP3500/ATK200</t>
        </is>
      </c>
      <c r="E34" s="8" t="inlineStr">
        <is>
          <t>-</t>
        </is>
      </c>
      <c r="F34" s="8" t="inlineStr">
        <is>
          <t>25,000G / 13,000EXP</t>
        </is>
      </c>
    </row>
    <row r="35">
      <c r="A35" s="9" t="inlineStr"/>
      <c r="B35" s="9" t="inlineStr"/>
      <c r="C35" s="9" t="inlineStr"/>
      <c r="D35" s="9" t="inlineStr"/>
      <c r="E35" s="9" t="inlineStr"/>
      <c r="F35" s="9" t="inlineStr"/>
    </row>
    <row r="36">
      <c r="A36" s="8">
        <f>== 보스 (3종) ===</f>
        <v/>
      </c>
      <c r="B36" s="8" t="inlineStr"/>
      <c r="C36" s="8" t="inlineStr"/>
      <c r="D36" s="8" t="inlineStr"/>
      <c r="E36" s="8" t="inlineStr"/>
      <c r="F36" s="8" t="inlineStr"/>
    </row>
    <row r="37">
      <c r="A37" s="9" t="inlineStr">
        <is>
          <t>보스</t>
        </is>
      </c>
      <c r="B37" s="9" t="inlineStr">
        <is>
          <t>저주 직공 말레딕투스</t>
        </is>
      </c>
      <c r="C37" s="9" t="inlineStr">
        <is>
          <t>🕷️💀</t>
        </is>
      </c>
      <c r="D37" s="9" t="inlineStr">
        <is>
          <t>HP20K/ATK350/DEF150</t>
        </is>
      </c>
      <c r="E37" s="9" t="inlineStr">
        <is>
          <t>페이즈2(40%): ATKx1.5</t>
        </is>
      </c>
      <c r="F37" s="9" t="inlineStr">
        <is>
          <t>저주거미줄, 고통바늘, 절망고치</t>
        </is>
      </c>
    </row>
    <row r="38">
      <c r="A38" s="8" t="inlineStr">
        <is>
          <t>보스</t>
        </is>
      </c>
      <c r="B38" s="8" t="inlineStr">
        <is>
          <t>거울 악마 리플렉스</t>
        </is>
      </c>
      <c r="C38" s="8" t="inlineStr">
        <is>
          <t>🪞😈</t>
        </is>
      </c>
      <c r="D38" s="8" t="inlineStr">
        <is>
          <t>HP30K/ATK250/DEF250</t>
        </is>
      </c>
      <c r="E38" s="8" t="inlineStr">
        <is>
          <t>페이즈2(30%): 분신3체</t>
        </is>
      </c>
      <c r="F38" s="8" t="inlineStr">
        <is>
          <t>완벽복제, 거울파편, 자아침식</t>
        </is>
      </c>
    </row>
    <row r="39">
      <c r="A39" s="9" t="inlineStr">
        <is>
          <t>보스</t>
        </is>
      </c>
      <c r="B39" s="9" t="inlineStr">
        <is>
          <t>피의 신 헤마토스</t>
        </is>
      </c>
      <c r="C39" s="9" t="inlineStr">
        <is>
          <t>🩸👹</t>
        </is>
      </c>
      <c r="D39" s="9" t="inlineStr">
        <is>
          <t>HP50K/ATK500/DEF100</t>
        </is>
      </c>
      <c r="E39" s="9" t="inlineStr">
        <is>
          <t>페이즈2(50%): 흡혈30%+재생</t>
        </is>
      </c>
      <c r="F39" s="9" t="inlineStr">
        <is>
          <t>혈류조종, 핏빛폭우, 생명흡수</t>
        </is>
      </c>
    </row>
    <row r="40">
      <c r="A40" s="8" t="inlineStr"/>
      <c r="B40" s="8" t="inlineStr"/>
      <c r="C40" s="8" t="inlineStr"/>
      <c r="D40" s="8" t="inlineStr"/>
      <c r="E40" s="8" t="inlineStr"/>
      <c r="F40" s="8" t="inlineStr"/>
    </row>
    <row r="41">
      <c r="A41" s="9">
        <f>== 제단 (5종, 층 사이 선택) ===</f>
        <v/>
      </c>
      <c r="B41" s="9" t="inlineStr"/>
      <c r="C41" s="9" t="inlineStr"/>
      <c r="D41" s="9" t="inlineStr"/>
      <c r="E41" s="9" t="inlineStr"/>
      <c r="F41" s="9" t="inlineStr"/>
    </row>
    <row r="42">
      <c r="A42" s="8" t="inlineStr">
        <is>
          <t>제단</t>
        </is>
      </c>
      <c r="B42" s="8" t="inlineStr">
        <is>
          <t>정화 제단</t>
        </is>
      </c>
      <c r="C42" s="8" t="inlineStr">
        <is>
          <t>✨⛪</t>
        </is>
      </c>
      <c r="D42" s="8" t="inlineStr">
        <is>
          <t>-</t>
        </is>
      </c>
      <c r="E42" s="8" t="inlineStr">
        <is>
          <t>저주1개 제거</t>
        </is>
      </c>
      <c r="F42" s="8" t="inlineStr">
        <is>
          <t>보상 -20%</t>
        </is>
      </c>
    </row>
    <row r="43">
      <c r="A43" s="9" t="inlineStr">
        <is>
          <t>제단</t>
        </is>
      </c>
      <c r="B43" s="9" t="inlineStr">
        <is>
          <t>강화 제단</t>
        </is>
      </c>
      <c r="C43" s="9" t="inlineStr">
        <is>
          <t>💪⛪</t>
        </is>
      </c>
      <c r="D43" s="9" t="inlineStr">
        <is>
          <t>-</t>
        </is>
      </c>
      <c r="E43" s="9" t="inlineStr">
        <is>
          <t>저주 효과 2배</t>
        </is>
      </c>
      <c r="F43" s="9" t="inlineStr">
        <is>
          <t>보상도 2배!</t>
        </is>
      </c>
    </row>
    <row r="44">
      <c r="A44" s="8" t="inlineStr">
        <is>
          <t>제단</t>
        </is>
      </c>
      <c r="B44" s="8" t="inlineStr">
        <is>
          <t>교환 제단</t>
        </is>
      </c>
      <c r="C44" s="8" t="inlineStr">
        <is>
          <t>🔄⛪</t>
        </is>
      </c>
      <c r="D44" s="8" t="inlineStr">
        <is>
          <t>-</t>
        </is>
      </c>
      <c r="E44" s="8" t="inlineStr">
        <is>
          <t>현재 저주 교체</t>
        </is>
      </c>
      <c r="F44" s="8" t="inlineStr">
        <is>
          <t>랜덤 다른 저주로</t>
        </is>
      </c>
    </row>
    <row r="45">
      <c r="A45" s="9" t="inlineStr">
        <is>
          <t>제단</t>
        </is>
      </c>
      <c r="B45" s="9" t="inlineStr">
        <is>
          <t>수용 제단</t>
        </is>
      </c>
      <c r="C45" s="9" t="inlineStr">
        <is>
          <t>🖤⛪</t>
        </is>
      </c>
      <c r="D45" s="9" t="inlineStr">
        <is>
          <t>-</t>
        </is>
      </c>
      <c r="E45" s="9" t="inlineStr">
        <is>
          <t>저주 1개 추가</t>
        </is>
      </c>
      <c r="F45" s="9" t="inlineStr">
        <is>
          <t>보상 +50%</t>
        </is>
      </c>
    </row>
    <row r="46">
      <c r="A46" s="8" t="inlineStr">
        <is>
          <t>제단</t>
        </is>
      </c>
      <c r="B46" s="8" t="inlineStr">
        <is>
          <t>희생 제단</t>
        </is>
      </c>
      <c r="C46" s="8" t="inlineStr">
        <is>
          <t>🩸⛪</t>
        </is>
      </c>
      <c r="D46" s="8" t="inlineStr">
        <is>
          <t>-</t>
        </is>
      </c>
      <c r="E46" s="8" t="inlineStr">
        <is>
          <t>HP 30% 희생</t>
        </is>
      </c>
      <c r="F46" s="8" t="inlineStr">
        <is>
          <t>다음 층 데미지 +50%</t>
        </is>
      </c>
    </row>
    <row r="47">
      <c r="A47" s="9" t="inlineStr"/>
      <c r="B47" s="9" t="inlineStr"/>
      <c r="C47" s="9" t="inlineStr"/>
      <c r="D47" s="9" t="inlineStr"/>
      <c r="E47" s="9" t="inlineStr"/>
      <c r="F47" s="9" t="inlineStr"/>
    </row>
    <row r="48">
      <c r="A48" s="8" t="inlineStr">
        <is>
          <t>시스템</t>
        </is>
      </c>
      <c r="B48" s="8" t="inlineStr">
        <is>
          <t>입장조건</t>
        </is>
      </c>
      <c r="C48" s="8" t="inlineStr">
        <is>
          <t>Lv.20+</t>
        </is>
      </c>
      <c r="D48" s="8" t="inlineStr">
        <is>
          <t>입장료</t>
        </is>
      </c>
      <c r="E48" s="8" t="inlineStr">
        <is>
          <t>5,000G</t>
        </is>
      </c>
      <c r="F48" s="8" t="inlineStr">
        <is>
          <t>쿨다운 15분 / 저주 1~3개 랜덤 / 보상배율 = 1.0 + 저주수x0.3</t>
        </is>
      </c>
    </row>
  </sheetData>
  <mergeCells count="1">
    <mergeCell ref="A1:F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18" customWidth="1" min="1" max="1"/>
    <col width="16" customWidth="1" min="2" max="2"/>
    <col width="8" customWidth="1" min="3" max="3"/>
    <col width="8" customWidth="1" min="4" max="4"/>
    <col width="5" customWidth="1" min="5" max="5"/>
    <col width="5" customWidth="1" min="6" max="6"/>
    <col width="5" customWidth="1" min="7" max="7"/>
    <col width="36" customWidth="1" min="8" max="8"/>
  </cols>
  <sheetData>
    <row r="1">
      <c r="A1" s="6" t="inlineStr">
        <is>
          <t>운명의 결투 (v2.43)</t>
        </is>
      </c>
    </row>
    <row r="3">
      <c r="A3" s="7" t="inlineStr">
        <is>
          <t>카드ID</t>
        </is>
      </c>
      <c r="B3" s="7" t="inlineStr">
        <is>
          <t>이름</t>
        </is>
      </c>
      <c r="C3" s="7" t="inlineStr">
        <is>
          <t>아이콘</t>
        </is>
      </c>
      <c r="D3" s="7" t="inlineStr">
        <is>
          <t>원소</t>
        </is>
      </c>
      <c r="E3" s="7" t="inlineStr">
        <is>
          <t>티어</t>
        </is>
      </c>
      <c r="F3" s="7" t="inlineStr">
        <is>
          <t>ATK</t>
        </is>
      </c>
      <c r="G3" s="7" t="inlineStr">
        <is>
          <t>DEF</t>
        </is>
      </c>
      <c r="H3" s="7" t="inlineStr">
        <is>
          <t>능력</t>
        </is>
      </c>
    </row>
    <row r="4">
      <c r="A4" s="8" t="inlineStr">
        <is>
          <t>fire_spark</t>
        </is>
      </c>
      <c r="B4" s="8" t="inlineStr">
        <is>
          <t>불꽃</t>
        </is>
      </c>
      <c r="C4" s="8" t="inlineStr">
        <is>
          <t>🔥</t>
        </is>
      </c>
      <c r="D4" s="8" t="inlineStr">
        <is>
          <t>화염</t>
        </is>
      </c>
      <c r="E4" s="8" t="n">
        <v>1</v>
      </c>
      <c r="F4" s="8" t="n">
        <v>3</v>
      </c>
      <c r="G4" s="8" t="n">
        <v>1</v>
      </c>
      <c r="H4" s="8" t="inlineStr">
        <is>
          <t>-</t>
        </is>
      </c>
    </row>
    <row r="5">
      <c r="A5" s="9" t="inlineStr">
        <is>
          <t>fire_blaze</t>
        </is>
      </c>
      <c r="B5" s="9" t="inlineStr">
        <is>
          <t>맹화</t>
        </is>
      </c>
      <c r="C5" s="9" t="inlineStr">
        <is>
          <t>🔥🔥</t>
        </is>
      </c>
      <c r="D5" s="9" t="inlineStr">
        <is>
          <t>화염</t>
        </is>
      </c>
      <c r="E5" s="9" t="n">
        <v>2</v>
      </c>
      <c r="F5" s="9" t="n">
        <v>6</v>
      </c>
      <c r="G5" s="9" t="n">
        <v>2</v>
      </c>
      <c r="H5" s="9" t="inlineStr">
        <is>
          <t>화상: 상대 DEF-1</t>
        </is>
      </c>
    </row>
    <row r="6">
      <c r="A6" s="8" t="inlineStr">
        <is>
          <t>fire_inferno</t>
        </is>
      </c>
      <c r="B6" s="8" t="inlineStr">
        <is>
          <t>업화</t>
        </is>
      </c>
      <c r="C6" s="8" t="inlineStr">
        <is>
          <t>🌋</t>
        </is>
      </c>
      <c r="D6" s="8" t="inlineStr">
        <is>
          <t>화염</t>
        </is>
      </c>
      <c r="E6" s="8" t="n">
        <v>3</v>
      </c>
      <c r="F6" s="8" t="n">
        <v>10</v>
      </c>
      <c r="G6" s="8" t="n">
        <v>3</v>
      </c>
      <c r="H6" s="8" t="inlineStr">
        <is>
          <t>상대 낮은카드 파괴</t>
        </is>
      </c>
    </row>
    <row r="7">
      <c r="A7" s="9" t="inlineStr">
        <is>
          <t>fire_apocalypse</t>
        </is>
      </c>
      <c r="B7" s="9" t="inlineStr">
        <is>
          <t>종말의 불꽃</t>
        </is>
      </c>
      <c r="C7" s="9" t="inlineStr">
        <is>
          <t>☄️</t>
        </is>
      </c>
      <c r="D7" s="9" t="inlineStr">
        <is>
          <t>화염</t>
        </is>
      </c>
      <c r="E7" s="9" t="n">
        <v>4</v>
      </c>
      <c r="F7" s="9" t="n">
        <v>15</v>
      </c>
      <c r="G7" s="9" t="n">
        <v>5</v>
      </c>
      <c r="H7" s="9" t="inlineStr">
        <is>
          <t>상대 전체 DEF 무시</t>
        </is>
      </c>
    </row>
    <row r="8">
      <c r="A8" s="8" t="inlineStr">
        <is>
          <t>ice_frost</t>
        </is>
      </c>
      <c r="B8" s="8" t="inlineStr">
        <is>
          <t>서리</t>
        </is>
      </c>
      <c r="C8" s="8" t="inlineStr">
        <is>
          <t>❄️</t>
        </is>
      </c>
      <c r="D8" s="8" t="inlineStr">
        <is>
          <t>빙결</t>
        </is>
      </c>
      <c r="E8" s="8" t="n">
        <v>1</v>
      </c>
      <c r="F8" s="8" t="n">
        <v>2</v>
      </c>
      <c r="G8" s="8" t="n">
        <v>3</v>
      </c>
      <c r="H8" s="8" t="inlineStr">
        <is>
          <t>-</t>
        </is>
      </c>
    </row>
    <row r="9">
      <c r="A9" s="9" t="inlineStr">
        <is>
          <t>ice_glacier</t>
        </is>
      </c>
      <c r="B9" s="9" t="inlineStr">
        <is>
          <t>빙하</t>
        </is>
      </c>
      <c r="C9" s="9" t="inlineStr">
        <is>
          <t>🧊</t>
        </is>
      </c>
      <c r="D9" s="9" t="inlineStr">
        <is>
          <t>빙결</t>
        </is>
      </c>
      <c r="E9" s="9" t="n">
        <v>2</v>
      </c>
      <c r="F9" s="9" t="n">
        <v>4</v>
      </c>
      <c r="G9" s="9" t="n">
        <v>5</v>
      </c>
      <c r="H9" s="9" t="inlineStr">
        <is>
          <t>상대 ATK-2</t>
        </is>
      </c>
    </row>
    <row r="10">
      <c r="A10" s="8" t="inlineStr">
        <is>
          <t>ice_blizzard</t>
        </is>
      </c>
      <c r="B10" s="8" t="inlineStr">
        <is>
          <t>눈보라</t>
        </is>
      </c>
      <c r="C10" s="8" t="inlineStr">
        <is>
          <t>🌨️</t>
        </is>
      </c>
      <c r="D10" s="8" t="inlineStr">
        <is>
          <t>빙결</t>
        </is>
      </c>
      <c r="E10" s="8" t="n">
        <v>3</v>
      </c>
      <c r="F10" s="8" t="n">
        <v>7</v>
      </c>
      <c r="G10" s="8" t="n">
        <v>8</v>
      </c>
      <c r="H10" s="8" t="inlineStr">
        <is>
          <t>상대 손패 1장 동결</t>
        </is>
      </c>
    </row>
    <row r="11">
      <c r="A11" s="9" t="inlineStr">
        <is>
          <t>ice_absolute</t>
        </is>
      </c>
      <c r="B11" s="9" t="inlineStr">
        <is>
          <t>절대 영도</t>
        </is>
      </c>
      <c r="C11" s="9" t="inlineStr">
        <is>
          <t>💠</t>
        </is>
      </c>
      <c r="D11" s="9" t="inlineStr">
        <is>
          <t>빙결</t>
        </is>
      </c>
      <c r="E11" s="9" t="n">
        <v>4</v>
      </c>
      <c r="F11" s="9" t="n">
        <v>10</v>
      </c>
      <c r="G11" s="9" t="n">
        <v>14</v>
      </c>
      <c r="H11" s="9" t="inlineStr">
        <is>
          <t>이번 턴 데미지 무효</t>
        </is>
      </c>
    </row>
    <row r="12">
      <c r="A12" s="8" t="inlineStr">
        <is>
          <t>thunder_spark</t>
        </is>
      </c>
      <c r="B12" s="8" t="inlineStr">
        <is>
          <t>정전기</t>
        </is>
      </c>
      <c r="C12" s="8" t="inlineStr">
        <is>
          <t>⚡</t>
        </is>
      </c>
      <c r="D12" s="8" t="inlineStr">
        <is>
          <t>번개</t>
        </is>
      </c>
      <c r="E12" s="8" t="n">
        <v>1</v>
      </c>
      <c r="F12" s="8" t="n">
        <v>4</v>
      </c>
      <c r="G12" s="8" t="n">
        <v>0</v>
      </c>
      <c r="H12" s="8" t="inlineStr">
        <is>
          <t>-</t>
        </is>
      </c>
    </row>
    <row r="13">
      <c r="A13" s="9" t="inlineStr">
        <is>
          <t>thunder_bolt</t>
        </is>
      </c>
      <c r="B13" s="9" t="inlineStr">
        <is>
          <t>낙뢰</t>
        </is>
      </c>
      <c r="C13" s="9" t="inlineStr">
        <is>
          <t>🌩️</t>
        </is>
      </c>
      <c r="D13" s="9" t="inlineStr">
        <is>
          <t>번개</t>
        </is>
      </c>
      <c r="E13" s="9" t="n">
        <v>2</v>
      </c>
      <c r="F13" s="9" t="n">
        <v>7</v>
      </c>
      <c r="G13" s="9" t="n">
        <v>1</v>
      </c>
      <c r="H13" s="9" t="inlineStr">
        <is>
          <t>연쇄 +2 데미지</t>
        </is>
      </c>
    </row>
    <row r="14">
      <c r="A14" s="8" t="inlineStr">
        <is>
          <t>thunder_storm</t>
        </is>
      </c>
      <c r="B14" s="8" t="inlineStr">
        <is>
          <t>뇌우</t>
        </is>
      </c>
      <c r="C14" s="8" t="inlineStr">
        <is>
          <t>⛈️</t>
        </is>
      </c>
      <c r="D14" s="8" t="inlineStr">
        <is>
          <t>번개</t>
        </is>
      </c>
      <c r="E14" s="8" t="n">
        <v>3</v>
      </c>
      <c r="F14" s="8" t="n">
        <v>11</v>
      </c>
      <c r="G14" s="8" t="n">
        <v>2</v>
      </c>
      <c r="H14" s="8" t="inlineStr">
        <is>
          <t>상대 다음카드 효과 무력화</t>
        </is>
      </c>
    </row>
    <row r="15">
      <c r="A15" s="9" t="inlineStr">
        <is>
          <t>thunder_god</t>
        </is>
      </c>
      <c r="B15" s="9" t="inlineStr">
        <is>
          <t>뇌신의 심판</t>
        </is>
      </c>
      <c r="C15" s="9" t="inlineStr">
        <is>
          <t>⚡👑</t>
        </is>
      </c>
      <c r="D15" s="9" t="inlineStr">
        <is>
          <t>번개</t>
        </is>
      </c>
      <c r="E15" s="9" t="n">
        <v>4</v>
      </c>
      <c r="F15" s="9" t="n">
        <v>18</v>
      </c>
      <c r="G15" s="9" t="n">
        <v>0</v>
      </c>
      <c r="H15" s="9" t="inlineStr">
        <is>
          <t>2턴 연속 공격 (2회 적용)</t>
        </is>
      </c>
    </row>
    <row r="16">
      <c r="A16" s="8" t="inlineStr">
        <is>
          <t>earth_pebble</t>
        </is>
      </c>
      <c r="B16" s="8" t="inlineStr">
        <is>
          <t>자갈</t>
        </is>
      </c>
      <c r="C16" s="8" t="inlineStr">
        <is>
          <t>🪨</t>
        </is>
      </c>
      <c r="D16" s="8" t="inlineStr">
        <is>
          <t>대지</t>
        </is>
      </c>
      <c r="E16" s="8" t="n">
        <v>1</v>
      </c>
      <c r="F16" s="8" t="n">
        <v>1</v>
      </c>
      <c r="G16" s="8" t="n">
        <v>4</v>
      </c>
      <c r="H16" s="8" t="inlineStr">
        <is>
          <t>-</t>
        </is>
      </c>
    </row>
    <row r="17">
      <c r="A17" s="9" t="inlineStr">
        <is>
          <t>earth_boulder</t>
        </is>
      </c>
      <c r="B17" s="9" t="inlineStr">
        <is>
          <t>바위</t>
        </is>
      </c>
      <c r="C17" s="9" t="inlineStr">
        <is>
          <t>⛰️</t>
        </is>
      </c>
      <c r="D17" s="9" t="inlineStr">
        <is>
          <t>대지</t>
        </is>
      </c>
      <c r="E17" s="9" t="n">
        <v>2</v>
      </c>
      <c r="F17" s="9" t="n">
        <v>3</v>
      </c>
      <c r="G17" s="9" t="n">
        <v>6</v>
      </c>
      <c r="H17" s="9" t="inlineStr">
        <is>
          <t>다음턴 자신 DEF+3</t>
        </is>
      </c>
    </row>
    <row r="18">
      <c r="A18" s="8" t="inlineStr">
        <is>
          <t>earth_quake</t>
        </is>
      </c>
      <c r="B18" s="8" t="inlineStr">
        <is>
          <t>지진</t>
        </is>
      </c>
      <c r="C18" s="8" t="inlineStr">
        <is>
          <t>🌍💥</t>
        </is>
      </c>
      <c r="D18" s="8" t="inlineStr">
        <is>
          <t>대지</t>
        </is>
      </c>
      <c r="E18" s="8" t="n">
        <v>3</v>
      </c>
      <c r="F18" s="8" t="n">
        <v>8</v>
      </c>
      <c r="G18" s="8" t="n">
        <v>7</v>
      </c>
      <c r="H18" s="8" t="inlineStr">
        <is>
          <t>상대 방어카드 -50%</t>
        </is>
      </c>
    </row>
    <row r="19">
      <c r="A19" s="9" t="inlineStr">
        <is>
          <t>earth_titan</t>
        </is>
      </c>
      <c r="B19" s="9" t="inlineStr">
        <is>
          <t>대지의 거신</t>
        </is>
      </c>
      <c r="C19" s="9" t="inlineStr">
        <is>
          <t>🗿</t>
        </is>
      </c>
      <c r="D19" s="9" t="inlineStr">
        <is>
          <t>대지</t>
        </is>
      </c>
      <c r="E19" s="9" t="n">
        <v>4</v>
      </c>
      <c r="F19" s="9" t="n">
        <v>12</v>
      </c>
      <c r="G19" s="9" t="n">
        <v>12</v>
      </c>
      <c r="H19" s="9" t="inlineStr">
        <is>
          <t>받는 데미지 최대 5</t>
        </is>
      </c>
    </row>
    <row r="20">
      <c r="A20" s="8" t="inlineStr">
        <is>
          <t>dark_shadow</t>
        </is>
      </c>
      <c r="B20" s="8" t="inlineStr">
        <is>
          <t>그림자</t>
        </is>
      </c>
      <c r="C20" s="8" t="inlineStr">
        <is>
          <t>🌑</t>
        </is>
      </c>
      <c r="D20" s="8" t="inlineStr">
        <is>
          <t>암흑</t>
        </is>
      </c>
      <c r="E20" s="8" t="n">
        <v>1</v>
      </c>
      <c r="F20" s="8" t="n">
        <v>3</v>
      </c>
      <c r="G20" s="8" t="n">
        <v>2</v>
      </c>
      <c r="H20" s="8" t="inlineStr">
        <is>
          <t>-</t>
        </is>
      </c>
    </row>
    <row r="21">
      <c r="A21" s="9" t="inlineStr">
        <is>
          <t>dark_curse</t>
        </is>
      </c>
      <c r="B21" s="9" t="inlineStr">
        <is>
          <t>저주</t>
        </is>
      </c>
      <c r="C21" s="9" t="inlineStr">
        <is>
          <t>💀</t>
        </is>
      </c>
      <c r="D21" s="9" t="inlineStr">
        <is>
          <t>암흑</t>
        </is>
      </c>
      <c r="E21" s="9" t="n">
        <v>2</v>
      </c>
      <c r="F21" s="9" t="n">
        <v>5</v>
      </c>
      <c r="G21" s="9" t="n">
        <v>3</v>
      </c>
      <c r="H21" s="9" t="inlineStr">
        <is>
          <t>상대 ATK/DEF -1</t>
        </is>
      </c>
    </row>
    <row r="22">
      <c r="A22" s="8" t="inlineStr">
        <is>
          <t>dark_abyss</t>
        </is>
      </c>
      <c r="B22" s="8" t="inlineStr">
        <is>
          <t>심연</t>
        </is>
      </c>
      <c r="C22" s="8" t="inlineStr">
        <is>
          <t>🕳️</t>
        </is>
      </c>
      <c r="D22" s="8" t="inlineStr">
        <is>
          <t>암흑</t>
        </is>
      </c>
      <c r="E22" s="8" t="n">
        <v>3</v>
      </c>
      <c r="F22" s="8" t="n">
        <v>9</v>
      </c>
      <c r="G22" s="8" t="n">
        <v>5</v>
      </c>
      <c r="H22" s="8" t="inlineStr">
        <is>
          <t>데미지 50% HP 회복</t>
        </is>
      </c>
    </row>
    <row r="23">
      <c r="A23" s="9" t="inlineStr">
        <is>
          <t>dark_oblivion</t>
        </is>
      </c>
      <c r="B23" s="9" t="inlineStr">
        <is>
          <t>망각</t>
        </is>
      </c>
      <c r="C23" s="9" t="inlineStr">
        <is>
          <t>💀🕳️</t>
        </is>
      </c>
      <c r="D23" s="9" t="inlineStr">
        <is>
          <t>암흑</t>
        </is>
      </c>
      <c r="E23" s="9" t="n">
        <v>4</v>
      </c>
      <c r="F23" s="9" t="n">
        <v>14</v>
      </c>
      <c r="G23" s="9" t="n">
        <v>7</v>
      </c>
      <c r="H23" s="9" t="inlineStr">
        <is>
          <t>상대 손패 확인+1장 제거</t>
        </is>
      </c>
    </row>
    <row r="24">
      <c r="A24" s="8" t="inlineStr">
        <is>
          <t>light_glow</t>
        </is>
      </c>
      <c r="B24" s="8" t="inlineStr">
        <is>
          <t>빛줄기</t>
        </is>
      </c>
      <c r="C24" s="8" t="inlineStr">
        <is>
          <t>✨</t>
        </is>
      </c>
      <c r="D24" s="8" t="inlineStr">
        <is>
          <t>성광</t>
        </is>
      </c>
      <c r="E24" s="8" t="n">
        <v>1</v>
      </c>
      <c r="F24" s="8" t="n">
        <v>2</v>
      </c>
      <c r="G24" s="8" t="n">
        <v>2</v>
      </c>
      <c r="H24" s="8" t="inlineStr">
        <is>
          <t>-</t>
        </is>
      </c>
    </row>
    <row r="25">
      <c r="A25" s="9" t="inlineStr">
        <is>
          <t>light_radiance</t>
        </is>
      </c>
      <c r="B25" s="9" t="inlineStr">
        <is>
          <t>광휘</t>
        </is>
      </c>
      <c r="C25" s="9" t="inlineStr">
        <is>
          <t>🌟</t>
        </is>
      </c>
      <c r="D25" s="9" t="inlineStr">
        <is>
          <t>성광</t>
        </is>
      </c>
      <c r="E25" s="9" t="n">
        <v>2</v>
      </c>
      <c r="F25" s="9" t="n">
        <v>4</v>
      </c>
      <c r="G25" s="9" t="n">
        <v>4</v>
      </c>
      <c r="H25" s="9" t="inlineStr">
        <is>
          <t>HP +3 회복</t>
        </is>
      </c>
    </row>
    <row r="26">
      <c r="A26" s="8" t="inlineStr">
        <is>
          <t>light_judgment</t>
        </is>
      </c>
      <c r="B26" s="8" t="inlineStr">
        <is>
          <t>심판</t>
        </is>
      </c>
      <c r="C26" s="8" t="inlineStr">
        <is>
          <t>⚖️</t>
        </is>
      </c>
      <c r="D26" s="8" t="inlineStr">
        <is>
          <t>성광</t>
        </is>
      </c>
      <c r="E26" s="8" t="n">
        <v>3</v>
      </c>
      <c r="F26" s="8" t="n">
        <v>8</v>
      </c>
      <c r="G26" s="8" t="n">
        <v>6</v>
      </c>
      <c r="H26" s="8" t="inlineStr">
        <is>
          <t>자신 디버프 전부 해제</t>
        </is>
      </c>
    </row>
    <row r="27">
      <c r="A27" s="9" t="inlineStr">
        <is>
          <t>light_miracle</t>
        </is>
      </c>
      <c r="B27" s="9" t="inlineStr">
        <is>
          <t>기적</t>
        </is>
      </c>
      <c r="C27" s="9" t="inlineStr">
        <is>
          <t>🌈</t>
        </is>
      </c>
      <c r="D27" s="9" t="inlineStr">
        <is>
          <t>성광</t>
        </is>
      </c>
      <c r="E27" s="9" t="n">
        <v>4</v>
      </c>
      <c r="F27" s="9" t="n">
        <v>11</v>
      </c>
      <c r="G27" s="9" t="n">
        <v>10</v>
      </c>
      <c r="H27" s="9" t="inlineStr">
        <is>
          <t>HP1↓시 HP15 회복 (1회)</t>
        </is>
      </c>
    </row>
    <row r="28">
      <c r="A28" s="8" t="inlineStr">
        <is>
          <t>fate_reverse</t>
        </is>
      </c>
      <c r="B28" s="8" t="inlineStr">
        <is>
          <t>운명 반전</t>
        </is>
      </c>
      <c r="C28" s="8" t="inlineStr">
        <is>
          <t>🔄✨</t>
        </is>
      </c>
      <c r="D28" s="8" t="inlineStr">
        <is>
          <t>운명</t>
        </is>
      </c>
      <c r="E28" s="8" t="n">
        <v>5</v>
      </c>
      <c r="F28" s="8" t="n">
        <v>0</v>
      </c>
      <c r="G28" s="8" t="n">
        <v>0</v>
      </c>
      <c r="H28" s="8" t="inlineStr">
        <is>
          <t>양측 ATK↔DEF 교환</t>
        </is>
      </c>
    </row>
    <row r="29">
      <c r="A29" s="9" t="inlineStr">
        <is>
          <t>fate_mirror</t>
        </is>
      </c>
      <c r="B29" s="9" t="inlineStr">
        <is>
          <t>운명의 거울</t>
        </is>
      </c>
      <c r="C29" s="9" t="inlineStr">
        <is>
          <t>🪞✨</t>
        </is>
      </c>
      <c r="D29" s="9" t="inlineStr">
        <is>
          <t>운명</t>
        </is>
      </c>
      <c r="E29" s="9" t="n">
        <v>5</v>
      </c>
      <c r="F29" s="9" t="n">
        <v>0</v>
      </c>
      <c r="G29" s="9" t="n">
        <v>0</v>
      </c>
      <c r="H29" s="9" t="inlineStr">
        <is>
          <t>상대 카드 복제</t>
        </is>
      </c>
    </row>
    <row r="30">
      <c r="A30" s="8" t="inlineStr">
        <is>
          <t>fate_gamble</t>
        </is>
      </c>
      <c r="B30" s="8" t="inlineStr">
        <is>
          <t>운명의 도박</t>
        </is>
      </c>
      <c r="C30" s="8" t="inlineStr">
        <is>
          <t>🎲✨</t>
        </is>
      </c>
      <c r="D30" s="8" t="inlineStr">
        <is>
          <t>운명</t>
        </is>
      </c>
      <c r="E30" s="8" t="n">
        <v>5</v>
      </c>
      <c r="F30" s="8" t="n">
        <v>0</v>
      </c>
      <c r="G30" s="8" t="n">
        <v>0</v>
      </c>
      <c r="H30" s="8" t="inlineStr">
        <is>
          <t>50%: ATK20 / 50%: 자해10</t>
        </is>
      </c>
    </row>
    <row r="31">
      <c r="A31" s="9" t="inlineStr">
        <is>
          <t>fate_steal</t>
        </is>
      </c>
      <c r="B31" s="9" t="inlineStr">
        <is>
          <t>운명 강탈</t>
        </is>
      </c>
      <c r="C31" s="9" t="inlineStr">
        <is>
          <t>🖐️✨</t>
        </is>
      </c>
      <c r="D31" s="9" t="inlineStr">
        <is>
          <t>운명</t>
        </is>
      </c>
      <c r="E31" s="9" t="n">
        <v>5</v>
      </c>
      <c r="F31" s="9" t="n">
        <v>5</v>
      </c>
      <c r="G31" s="9" t="n">
        <v>5</v>
      </c>
      <c r="H31" s="9" t="inlineStr">
        <is>
          <t>승리 시 상대카드 영구획득</t>
        </is>
      </c>
    </row>
    <row r="32">
      <c r="A32" s="8" t="inlineStr"/>
      <c r="B32" s="8" t="inlineStr"/>
      <c r="C32" s="8" t="inlineStr"/>
      <c r="D32" s="8" t="inlineStr"/>
      <c r="E32" s="8" t="inlineStr"/>
      <c r="F32" s="8" t="inlineStr"/>
      <c r="G32" s="8" t="inlineStr"/>
      <c r="H32" s="8" t="inlineStr"/>
    </row>
    <row r="33">
      <c r="A33" s="9" t="inlineStr">
        <is>
          <t>--- 원소 상성 ---</t>
        </is>
      </c>
      <c r="B33" s="9" t="inlineStr">
        <is>
          <t>화→빙→뇌→지→암→광→화</t>
        </is>
      </c>
      <c r="C33" s="9" t="inlineStr"/>
      <c r="D33" s="9" t="inlineStr">
        <is>
          <t>상성 시 ATK 1.5배</t>
        </is>
      </c>
      <c r="E33" s="9" t="inlineStr"/>
      <c r="F33" s="9" t="inlineStr"/>
      <c r="G33" s="9" t="inlineStr"/>
      <c r="H33" s="9" t="inlineStr"/>
    </row>
    <row r="34">
      <c r="A34" s="8" t="inlineStr">
        <is>
          <t>--- 카드 팩 ---</t>
        </is>
      </c>
      <c r="B34" s="8" t="inlineStr">
        <is>
          <t>기본(3000G/3장)</t>
        </is>
      </c>
      <c r="C34" s="8" t="inlineStr">
        <is>
          <t>프리미엄(10000G/5장)</t>
        </is>
      </c>
      <c r="D34" s="8" t="inlineStr">
        <is>
          <t>운명의팩(30000G/5장)</t>
        </is>
      </c>
      <c r="E34" s="8" t="inlineStr"/>
      <c r="F34" s="8" t="inlineStr">
        <is>
          <t>HP</t>
        </is>
      </c>
      <c r="G34" s="8" t="inlineStr">
        <is>
          <t>30</t>
        </is>
      </c>
      <c r="H34" s="8" t="inlineStr">
        <is>
          <t>덱 10~20장, 손패 5장, 최대 10턴</t>
        </is>
      </c>
    </row>
  </sheetData>
  <mergeCells count="1">
    <mergeCell ref="A1:H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24" customWidth="1" min="1" max="1"/>
    <col width="18" customWidth="1" min="2" max="2"/>
    <col width="8" customWidth="1" min="3" max="3"/>
    <col width="12" customWidth="1" min="4" max="4"/>
    <col width="16" customWidth="1" min="5" max="5"/>
    <col width="30" customWidth="1" min="6" max="6"/>
    <col width="8" customWidth="1" min="7" max="7"/>
  </cols>
  <sheetData>
    <row r="1">
      <c r="A1" s="6" t="inlineStr">
        <is>
          <t>영혼 대장간 (v2.44)</t>
        </is>
      </c>
    </row>
    <row r="3">
      <c r="A3" s="7" t="inlineStr">
        <is>
          <t>영혼ID</t>
        </is>
      </c>
      <c r="B3" s="7" t="inlineStr">
        <is>
          <t>이름</t>
        </is>
      </c>
      <c r="C3" s="7" t="inlineStr">
        <is>
          <t>아이콘</t>
        </is>
      </c>
      <c r="D3" s="7" t="inlineStr">
        <is>
          <t>티어</t>
        </is>
      </c>
      <c r="E3" s="7" t="inlineStr">
        <is>
          <t>스킬</t>
        </is>
      </c>
      <c r="F3" s="7" t="inlineStr">
        <is>
          <t>효과</t>
        </is>
      </c>
      <c r="G3" s="7" t="inlineStr">
        <is>
          <t>CD(초)</t>
        </is>
      </c>
    </row>
    <row r="4">
      <c r="A4" s="8">
        <f>== 몬스터 영혼 (18종) ===</f>
        <v/>
      </c>
      <c r="B4" s="8" t="inlineStr"/>
      <c r="C4" s="8" t="inlineStr"/>
      <c r="D4" s="8" t="inlineStr"/>
      <c r="E4" s="8" t="inlineStr"/>
      <c r="F4" s="8" t="inlineStr"/>
      <c r="G4" s="8" t="inlineStr"/>
    </row>
    <row r="5">
      <c r="A5" s="9" t="inlineStr">
        <is>
          <t>soul_goblin</t>
        </is>
      </c>
      <c r="B5" s="9" t="inlineStr">
        <is>
          <t>고블린 영혼</t>
        </is>
      </c>
      <c r="C5" s="9" t="inlineStr">
        <is>
          <t>👺</t>
        </is>
      </c>
      <c r="D5" s="9" t="n">
        <v>1</v>
      </c>
      <c r="E5" s="9" t="inlineStr">
        <is>
          <t>약탈</t>
        </is>
      </c>
      <c r="F5" s="9" t="inlineStr">
        <is>
          <t>골드 +50</t>
        </is>
      </c>
      <c r="G5" s="9" t="n">
        <v>30</v>
      </c>
    </row>
    <row r="6">
      <c r="A6" s="8" t="inlineStr">
        <is>
          <t>soul_wolf</t>
        </is>
      </c>
      <c r="B6" s="8" t="inlineStr">
        <is>
          <t>늑대 영혼</t>
        </is>
      </c>
      <c r="C6" s="8" t="inlineStr">
        <is>
          <t>🐺</t>
        </is>
      </c>
      <c r="D6" s="8" t="n">
        <v>1</v>
      </c>
      <c r="E6" s="8" t="inlineStr">
        <is>
          <t>질주</t>
        </is>
      </c>
      <c r="F6" s="8" t="inlineStr">
        <is>
          <t>5초 속도+30%</t>
        </is>
      </c>
      <c r="G6" s="8" t="n">
        <v>20</v>
      </c>
    </row>
    <row r="7">
      <c r="A7" s="9" t="inlineStr">
        <is>
          <t>soul_skeleton</t>
        </is>
      </c>
      <c r="B7" s="9" t="inlineStr">
        <is>
          <t>해골 영혼</t>
        </is>
      </c>
      <c r="C7" s="9" t="inlineStr">
        <is>
          <t>💀</t>
        </is>
      </c>
      <c r="D7" s="9" t="n">
        <v>1</v>
      </c>
      <c r="E7" s="9" t="inlineStr">
        <is>
          <t>뼈 투척</t>
        </is>
      </c>
      <c r="F7" s="9" t="inlineStr">
        <is>
          <t>ATKx1.5 + 1초 기절</t>
        </is>
      </c>
      <c r="G7" s="9" t="n">
        <v>15</v>
      </c>
    </row>
    <row r="8">
      <c r="A8" s="8" t="inlineStr">
        <is>
          <t>soul_slime</t>
        </is>
      </c>
      <c r="B8" s="8" t="inlineStr">
        <is>
          <t>슬라임 영혼</t>
        </is>
      </c>
      <c r="C8" s="8" t="inlineStr">
        <is>
          <t>🟢</t>
        </is>
      </c>
      <c r="D8" s="8" t="n">
        <v>1</v>
      </c>
      <c r="E8" s="8" t="inlineStr">
        <is>
          <t>분열</t>
        </is>
      </c>
      <c r="F8" s="8" t="inlineStr">
        <is>
          <t>10초 분신 1체</t>
        </is>
      </c>
      <c r="G8" s="8" t="n">
        <v>45</v>
      </c>
    </row>
    <row r="9">
      <c r="A9" s="9" t="inlineStr">
        <is>
          <t>soul_bat</t>
        </is>
      </c>
      <c r="B9" s="9" t="inlineStr">
        <is>
          <t>박쥐 영혼</t>
        </is>
      </c>
      <c r="C9" s="9" t="inlineStr">
        <is>
          <t>🦇</t>
        </is>
      </c>
      <c r="D9" s="9" t="n">
        <v>1</v>
      </c>
      <c r="E9" s="9" t="inlineStr">
        <is>
          <t>흡혈 송곳니</t>
        </is>
      </c>
      <c r="F9" s="9" t="inlineStr">
        <is>
          <t>10초 흡혈+20%</t>
        </is>
      </c>
      <c r="G9" s="9" t="n">
        <v>25</v>
      </c>
    </row>
    <row r="10">
      <c r="A10" s="8" t="inlineStr">
        <is>
          <t>soul_ogre</t>
        </is>
      </c>
      <c r="B10" s="8" t="inlineStr">
        <is>
          <t>오우거 영혼</t>
        </is>
      </c>
      <c r="C10" s="8" t="inlineStr">
        <is>
          <t>👹</t>
        </is>
      </c>
      <c r="D10" s="8" t="n">
        <v>2</v>
      </c>
      <c r="E10" s="8" t="inlineStr">
        <is>
          <t>분쇄</t>
        </is>
      </c>
      <c r="F10" s="8" t="inlineStr">
        <is>
          <t>ATKx2.5 + 방어20%무시</t>
        </is>
      </c>
      <c r="G10" s="8" t="n">
        <v>20</v>
      </c>
    </row>
    <row r="11">
      <c r="A11" s="9" t="inlineStr">
        <is>
          <t>soul_harpy</t>
        </is>
      </c>
      <c r="B11" s="9" t="inlineStr">
        <is>
          <t>하피 영혼</t>
        </is>
      </c>
      <c r="C11" s="9" t="inlineStr">
        <is>
          <t>🦅</t>
        </is>
      </c>
      <c r="D11" s="9" t="n">
        <v>2</v>
      </c>
      <c r="E11" s="9" t="inlineStr">
        <is>
          <t>폭풍 날개</t>
        </is>
      </c>
      <c r="F11" s="9" t="inlineStr">
        <is>
          <t>범위 ATKx1.5 + 밀치기</t>
        </is>
      </c>
      <c r="G11" s="9" t="n">
        <v>25</v>
      </c>
    </row>
    <row r="12">
      <c r="A12" s="8" t="inlineStr">
        <is>
          <t>soul_golem</t>
        </is>
      </c>
      <c r="B12" s="8" t="inlineStr">
        <is>
          <t>골렘 영혼</t>
        </is>
      </c>
      <c r="C12" s="8" t="inlineStr">
        <is>
          <t>🗿</t>
        </is>
      </c>
      <c r="D12" s="8" t="n">
        <v>2</v>
      </c>
      <c r="E12" s="8" t="inlineStr">
        <is>
          <t>암석 갑옷</t>
        </is>
      </c>
      <c r="F12" s="8" t="inlineStr">
        <is>
          <t>15초 DEF+50</t>
        </is>
      </c>
      <c r="G12" s="8" t="n">
        <v>30</v>
      </c>
    </row>
    <row r="13">
      <c r="A13" s="9" t="inlineStr">
        <is>
          <t>soul_wraith</t>
        </is>
      </c>
      <c r="B13" s="9" t="inlineStr">
        <is>
          <t>망령 영혼</t>
        </is>
      </c>
      <c r="C13" s="9" t="inlineStr">
        <is>
          <t>👻</t>
        </is>
      </c>
      <c r="D13" s="9" t="n">
        <v>2</v>
      </c>
      <c r="E13" s="9" t="inlineStr">
        <is>
          <t>공포</t>
        </is>
      </c>
      <c r="F13" s="9" t="inlineStr">
        <is>
          <t>적 ATK-30% 8초</t>
        </is>
      </c>
      <c r="G13" s="9" t="n">
        <v>35</v>
      </c>
    </row>
    <row r="14">
      <c r="A14" s="8" t="inlineStr">
        <is>
          <t>soul_treant</t>
        </is>
      </c>
      <c r="B14" s="8" t="inlineStr">
        <is>
          <t>나무 정령 영혼</t>
        </is>
      </c>
      <c r="C14" s="8" t="inlineStr">
        <is>
          <t>🌳</t>
        </is>
      </c>
      <c r="D14" s="8" t="n">
        <v>2</v>
      </c>
      <c r="E14" s="8" t="inlineStr">
        <is>
          <t>자연의 치유</t>
        </is>
      </c>
      <c r="F14" s="8" t="inlineStr">
        <is>
          <t>HP20% + 15초 재생</t>
        </is>
      </c>
      <c r="G14" s="8" t="n">
        <v>40</v>
      </c>
    </row>
    <row r="15">
      <c r="A15" s="9" t="inlineStr">
        <is>
          <t>soul_dragon</t>
        </is>
      </c>
      <c r="B15" s="9" t="inlineStr">
        <is>
          <t>용 영혼</t>
        </is>
      </c>
      <c r="C15" s="9" t="inlineStr">
        <is>
          <t>🐉</t>
        </is>
      </c>
      <c r="D15" s="9" t="n">
        <v>3</v>
      </c>
      <c r="E15" s="9" t="inlineStr">
        <is>
          <t>드래곤 브레스</t>
        </is>
      </c>
      <c r="F15" s="9" t="inlineStr">
        <is>
          <t>범위 ATKx4 + 화상</t>
        </is>
      </c>
      <c r="G15" s="9" t="n">
        <v>45</v>
      </c>
    </row>
    <row r="16">
      <c r="A16" s="8" t="inlineStr">
        <is>
          <t>soul_demon</t>
        </is>
      </c>
      <c r="B16" s="8" t="inlineStr">
        <is>
          <t>악마 영혼</t>
        </is>
      </c>
      <c r="C16" s="8" t="inlineStr">
        <is>
          <t>😈</t>
        </is>
      </c>
      <c r="D16" s="8" t="n">
        <v>3</v>
      </c>
      <c r="E16" s="8" t="inlineStr">
        <is>
          <t>악마의 계약</t>
        </is>
      </c>
      <c r="F16" s="8" t="inlineStr">
        <is>
          <t>ALL+30%/HP-10% 20초</t>
        </is>
      </c>
      <c r="G16" s="8" t="n">
        <v>60</v>
      </c>
    </row>
    <row r="17">
      <c r="A17" s="9" t="inlineStr">
        <is>
          <t>soul_phoenix</t>
        </is>
      </c>
      <c r="B17" s="9" t="inlineStr">
        <is>
          <t>불사조 영혼</t>
        </is>
      </c>
      <c r="C17" s="9" t="inlineStr">
        <is>
          <t>🔥🐦</t>
        </is>
      </c>
      <c r="D17" s="9" t="n">
        <v>3</v>
      </c>
      <c r="E17" s="9" t="inlineStr">
        <is>
          <t>불사의 불꽃</t>
        </is>
      </c>
      <c r="F17" s="9" t="inlineStr">
        <is>
          <t>사망시 부활 1회</t>
        </is>
      </c>
      <c r="G17" s="9" t="n">
        <v>120</v>
      </c>
    </row>
    <row r="18">
      <c r="A18" s="8" t="inlineStr">
        <is>
          <t>soul_leviathan</t>
        </is>
      </c>
      <c r="B18" s="8" t="inlineStr">
        <is>
          <t>리바이어선 영혼</t>
        </is>
      </c>
      <c r="C18" s="8" t="inlineStr">
        <is>
          <t>🐋</t>
        </is>
      </c>
      <c r="D18" s="8" t="n">
        <v>3</v>
      </c>
      <c r="E18" s="8" t="inlineStr">
        <is>
          <t>심해의 분노</t>
        </is>
      </c>
      <c r="F18" s="8" t="inlineStr">
        <is>
          <t>범위 ATKx5 + 50%둔화</t>
        </is>
      </c>
      <c r="G18" s="8" t="n">
        <v>50</v>
      </c>
    </row>
    <row r="19">
      <c r="A19" s="9" t="inlineStr">
        <is>
          <t>soul_lich</t>
        </is>
      </c>
      <c r="B19" s="9" t="inlineStr">
        <is>
          <t>리치 영혼</t>
        </is>
      </c>
      <c r="C19" s="9" t="inlineStr">
        <is>
          <t>💀👑</t>
        </is>
      </c>
      <c r="D19" s="9" t="n">
        <v>3</v>
      </c>
      <c r="E19" s="9" t="inlineStr">
        <is>
          <t>죽음의 손길</t>
        </is>
      </c>
      <c r="F19" s="9" t="inlineStr">
        <is>
          <t>ATKx3 + MP흡수 + 저주</t>
        </is>
      </c>
      <c r="G19" s="9" t="n">
        <v>40</v>
      </c>
    </row>
    <row r="20">
      <c r="A20" s="8" t="inlineStr">
        <is>
          <t>soul_ancient</t>
        </is>
      </c>
      <c r="B20" s="8" t="inlineStr">
        <is>
          <t>고대용 영혼</t>
        </is>
      </c>
      <c r="C20" s="8" t="inlineStr">
        <is>
          <t>🐲✨</t>
        </is>
      </c>
      <c r="D20" s="8" t="n">
        <v>4</v>
      </c>
      <c r="E20" s="8" t="inlineStr">
        <is>
          <t>시간의 포효</t>
        </is>
      </c>
      <c r="F20" s="8" t="inlineStr">
        <is>
          <t>3초 시간정지 + ATKx8</t>
        </is>
      </c>
      <c r="G20" s="8" t="n">
        <v>90</v>
      </c>
    </row>
    <row r="21">
      <c r="A21" s="9" t="inlineStr">
        <is>
          <t>soul_titan</t>
        </is>
      </c>
      <c r="B21" s="9" t="inlineStr">
        <is>
          <t>타이탄 영혼</t>
        </is>
      </c>
      <c r="C21" s="9" t="inlineStr">
        <is>
          <t>🗿⚡</t>
        </is>
      </c>
      <c r="D21" s="9" t="n">
        <v>4</v>
      </c>
      <c r="E21" s="9" t="inlineStr">
        <is>
          <t>천지개벽</t>
        </is>
      </c>
      <c r="F21" s="9" t="inlineStr">
        <is>
          <t>범위 ATKx10 + 지형파괴</t>
        </is>
      </c>
      <c r="G21" s="9" t="n">
        <v>120</v>
      </c>
    </row>
    <row r="22">
      <c r="A22" s="8" t="inlineStr">
        <is>
          <t>soul_void</t>
        </is>
      </c>
      <c r="B22" s="8" t="inlineStr">
        <is>
          <t>공허 군주 영혼</t>
        </is>
      </c>
      <c r="C22" s="8" t="inlineStr">
        <is>
          <t>🕳️👑</t>
        </is>
      </c>
      <c r="D22" s="8" t="n">
        <v>4</v>
      </c>
      <c r="E22" s="8" t="inlineStr">
        <is>
          <t>차원 붕괴</t>
        </is>
      </c>
      <c r="F22" s="8" t="inlineStr">
        <is>
          <t>적HP 30% 삭감(방무)</t>
        </is>
      </c>
      <c r="G22" s="8" t="n">
        <v>100</v>
      </c>
    </row>
    <row r="23">
      <c r="A23" s="9" t="inlineStr"/>
      <c r="B23" s="9" t="inlineStr"/>
      <c r="C23" s="9" t="inlineStr"/>
      <c r="D23" s="9" t="inlineStr"/>
      <c r="E23" s="9" t="inlineStr"/>
      <c r="F23" s="9" t="inlineStr"/>
      <c r="G23" s="9" t="inlineStr"/>
    </row>
    <row r="24">
      <c r="A24" s="8">
        <f>== 키메라 합성 (6종, 대장간Lv.5+, 영혼가루100) ===</f>
        <v/>
      </c>
      <c r="B24" s="8" t="inlineStr"/>
      <c r="C24" s="8" t="inlineStr"/>
      <c r="D24" s="8" t="inlineStr"/>
      <c r="E24" s="8" t="inlineStr"/>
      <c r="F24" s="8" t="inlineStr"/>
      <c r="G24" s="8" t="inlineStr"/>
    </row>
    <row r="25">
      <c r="A25" s="9" t="inlineStr">
        <is>
          <t>chimera_flame_wolf</t>
        </is>
      </c>
      <c r="B25" s="9" t="inlineStr">
        <is>
          <t>화염 늑대</t>
        </is>
      </c>
      <c r="C25" s="9" t="inlineStr">
        <is>
          <t>🐺🔥</t>
        </is>
      </c>
      <c r="D25" s="9" t="inlineStr">
        <is>
          <t>늑대+용</t>
        </is>
      </c>
      <c r="E25" s="9" t="inlineStr">
        <is>
          <t>화염 질주</t>
        </is>
      </c>
      <c r="F25" s="9" t="inlineStr">
        <is>
          <t>ATKx6+화상+가속</t>
        </is>
      </c>
      <c r="G25" s="9" t="n">
        <v>50</v>
      </c>
    </row>
    <row r="26">
      <c r="A26" s="8" t="inlineStr">
        <is>
          <t>chimera_death_golem</t>
        </is>
      </c>
      <c r="B26" s="8" t="inlineStr">
        <is>
          <t>죽음의 골렘</t>
        </is>
      </c>
      <c r="C26" s="8" t="inlineStr">
        <is>
          <t>🗿💀</t>
        </is>
      </c>
      <c r="D26" s="8" t="inlineStr">
        <is>
          <t>골렘+리치</t>
        </is>
      </c>
      <c r="E26" s="8" t="inlineStr">
        <is>
          <t>죽음의 요새</t>
        </is>
      </c>
      <c r="F26" s="8" t="inlineStr">
        <is>
          <t>DEF+100+죽음오라</t>
        </is>
      </c>
      <c r="G26" s="8" t="n">
        <v>60</v>
      </c>
    </row>
    <row r="27">
      <c r="A27" s="9" t="inlineStr">
        <is>
          <t>chimera_storm_phoenix</t>
        </is>
      </c>
      <c r="B27" s="9" t="inlineStr">
        <is>
          <t>폭풍 불사조</t>
        </is>
      </c>
      <c r="C27" s="9" t="inlineStr">
        <is>
          <t>🔥⚡</t>
        </is>
      </c>
      <c r="D27" s="9" t="inlineStr">
        <is>
          <t>불사조+하피</t>
        </is>
      </c>
      <c r="E27" s="9" t="inlineStr">
        <is>
          <t>폭풍 부활</t>
        </is>
      </c>
      <c r="F27" s="9" t="inlineStr">
        <is>
          <t>부활시 범위ATKx7</t>
        </is>
      </c>
      <c r="G27" s="9" t="n">
        <v>120</v>
      </c>
    </row>
    <row r="28">
      <c r="A28" s="8" t="inlineStr">
        <is>
          <t>chimera_void_demon</t>
        </is>
      </c>
      <c r="B28" s="8" t="inlineStr">
        <is>
          <t>공허 악마</t>
        </is>
      </c>
      <c r="C28" s="8" t="inlineStr">
        <is>
          <t>🕳️😈</t>
        </is>
      </c>
      <c r="D28" s="8" t="inlineStr">
        <is>
          <t>공허+악마</t>
        </is>
      </c>
      <c r="E28" s="8" t="inlineStr">
        <is>
          <t>차원 계약</t>
        </is>
      </c>
      <c r="F28" s="8" t="inlineStr">
        <is>
          <t>HP20%삭감+ALL50%</t>
        </is>
      </c>
      <c r="G28" s="8" t="n">
        <v>90</v>
      </c>
    </row>
    <row r="29">
      <c r="A29" s="9" t="inlineStr">
        <is>
          <t>chimera_ancient_treant</t>
        </is>
      </c>
      <c r="B29" s="9" t="inlineStr">
        <is>
          <t>고대 세계수</t>
        </is>
      </c>
      <c r="C29" s="9" t="inlineStr">
        <is>
          <t>🌳🐲</t>
        </is>
      </c>
      <c r="D29" s="9" t="inlineStr">
        <is>
          <t>나무+고대용</t>
        </is>
      </c>
      <c r="E29" s="9" t="inlineStr">
        <is>
          <t>생명의 시간</t>
        </is>
      </c>
      <c r="F29" s="9" t="inlineStr">
        <is>
          <t>완전회복+2초정지</t>
        </is>
      </c>
      <c r="G29" s="9" t="n">
        <v>150</v>
      </c>
    </row>
    <row r="30">
      <c r="A30" s="8" t="inlineStr">
        <is>
          <t>chimera_titan_leviathan</t>
        </is>
      </c>
      <c r="B30" s="8" t="inlineStr">
        <is>
          <t>심해 거신</t>
        </is>
      </c>
      <c r="C30" s="8" t="inlineStr">
        <is>
          <t>🗿🐋</t>
        </is>
      </c>
      <c r="D30" s="8" t="inlineStr">
        <is>
          <t>타이탄+리바이</t>
        </is>
      </c>
      <c r="E30" s="8" t="inlineStr">
        <is>
          <t>해저 지진</t>
        </is>
      </c>
      <c r="F30" s="8" t="inlineStr">
        <is>
          <t>범위ATKx15+쓰나미</t>
        </is>
      </c>
      <c r="G30" s="8" t="n">
        <v>130</v>
      </c>
    </row>
    <row r="31">
      <c r="A31" s="9" t="inlineStr"/>
      <c r="B31" s="9" t="inlineStr"/>
      <c r="C31" s="9" t="inlineStr"/>
      <c r="D31" s="9" t="inlineStr"/>
      <c r="E31" s="9" t="inlineStr"/>
      <c r="F31" s="9" t="inlineStr"/>
      <c r="G31" s="9" t="inlineStr"/>
    </row>
    <row r="32">
      <c r="A32" s="8" t="inlineStr">
        <is>
          <t>시스템</t>
        </is>
      </c>
      <c r="B32" s="8" t="inlineStr">
        <is>
          <t>각인 슬롯</t>
        </is>
      </c>
      <c r="C32" s="8" t="inlineStr">
        <is>
          <t>최대 3개</t>
        </is>
      </c>
      <c r="D32" s="8" t="inlineStr">
        <is>
          <t>드롭률</t>
        </is>
      </c>
      <c r="E32" s="8" t="inlineStr">
        <is>
          <t>T1:20% T2:10% T3:5% T4:1%</t>
        </is>
      </c>
      <c r="F32" s="8" t="inlineStr">
        <is>
          <t>대장간 Lv.1~9 (3레벨당 슬롯+1)</t>
        </is>
      </c>
      <c r="G32" s="8" t="inlineStr">
        <is>
          <t>분해→영혼가루</t>
        </is>
      </c>
    </row>
  </sheetData>
  <mergeCells count="1">
    <mergeCell ref="A1:G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22" customWidth="1" min="1" max="1"/>
    <col width="22" customWidth="1" min="2" max="2"/>
    <col width="8" customWidth="1" min="3" max="3"/>
    <col width="8" customWidth="1" min="4" max="4"/>
    <col width="18" customWidth="1" min="5" max="5"/>
    <col width="18" customWidth="1" min="6" max="6"/>
    <col width="30" customWidth="1" min="7" max="7"/>
  </cols>
  <sheetData>
    <row r="1">
      <c r="A1" s="6" t="inlineStr">
        <is>
          <t>환영 투기장 (v2.45)</t>
        </is>
      </c>
    </row>
    <row r="3">
      <c r="A3" s="7" t="inlineStr">
        <is>
          <t>환영ID</t>
        </is>
      </c>
      <c r="B3" s="7" t="inlineStr">
        <is>
          <t>이름</t>
        </is>
      </c>
      <c r="C3" s="7" t="inlineStr">
        <is>
          <t>아이콘</t>
        </is>
      </c>
      <c r="D3" s="7" t="inlineStr">
        <is>
          <t>계급</t>
        </is>
      </c>
      <c r="E3" s="7" t="inlineStr">
        <is>
          <t>HP/ATK/DEF</t>
        </is>
      </c>
      <c r="F3" s="7" t="inlineStr">
        <is>
          <t>습득 스킬</t>
        </is>
      </c>
      <c r="G3" s="7" t="inlineStr">
        <is>
          <t>스킬 효과</t>
        </is>
      </c>
    </row>
    <row r="4">
      <c r="A4" s="8">
        <f>== 영웅 (5종, Lv.15+) ===</f>
        <v/>
      </c>
      <c r="B4" s="8" t="inlineStr"/>
      <c r="C4" s="8" t="inlineStr"/>
      <c r="D4" s="8" t="inlineStr"/>
      <c r="E4" s="8" t="inlineStr"/>
      <c r="F4" s="8" t="inlineStr"/>
      <c r="G4" s="8" t="inlineStr"/>
    </row>
    <row r="5">
      <c r="A5" s="9" t="inlineStr">
        <is>
          <t>phantom_knight</t>
        </is>
      </c>
      <c r="B5" s="9" t="inlineStr">
        <is>
          <t>성기사 아르투스</t>
        </is>
      </c>
      <c r="C5" s="9" t="inlineStr">
        <is>
          <t>🛡️⚔️</t>
        </is>
      </c>
      <c r="D5" s="9" t="inlineStr">
        <is>
          <t>영웅</t>
        </is>
      </c>
      <c r="E5" s="9" t="inlineStr">
        <is>
          <t>2000/150/100</t>
        </is>
      </c>
      <c r="F5" s="9" t="inlineStr">
        <is>
          <t>성스러운 참격</t>
        </is>
      </c>
      <c r="G5" s="9" t="inlineStr">
        <is>
          <t>ATKx3 + 성속성 (CD20)</t>
        </is>
      </c>
    </row>
    <row r="6">
      <c r="A6" s="8" t="inlineStr">
        <is>
          <t>phantom_mage</t>
        </is>
      </c>
      <c r="B6" s="8" t="inlineStr">
        <is>
          <t>대마법사 메를린</t>
        </is>
      </c>
      <c r="C6" s="8" t="inlineStr">
        <is>
          <t>🧙‍♂️</t>
        </is>
      </c>
      <c r="D6" s="8" t="inlineStr">
        <is>
          <t>영웅</t>
        </is>
      </c>
      <c r="E6" s="8" t="inlineStr">
        <is>
          <t>1500/200/60</t>
        </is>
      </c>
      <c r="F6" s="8" t="inlineStr">
        <is>
          <t>차원 마법탄</t>
        </is>
      </c>
      <c r="G6" s="8" t="inlineStr">
        <is>
          <t>ATKx4 + 관통 (CD25)</t>
        </is>
      </c>
    </row>
    <row r="7">
      <c r="A7" s="9" t="inlineStr">
        <is>
          <t>phantom_assassin</t>
        </is>
      </c>
      <c r="B7" s="9" t="inlineStr">
        <is>
          <t>그림자 칼날 실피아</t>
        </is>
      </c>
      <c r="C7" s="9" t="inlineStr">
        <is>
          <t>🗡️🌙</t>
        </is>
      </c>
      <c r="D7" s="9" t="inlineStr">
        <is>
          <t>영웅</t>
        </is>
      </c>
      <c r="E7" s="9" t="inlineStr">
        <is>
          <t>1200/250/40</t>
        </is>
      </c>
      <c r="F7" s="9" t="inlineStr">
        <is>
          <t>그림자 연무</t>
        </is>
      </c>
      <c r="G7" s="9" t="inlineStr">
        <is>
          <t>ATKx2 x5연타 (CD15)</t>
        </is>
      </c>
    </row>
    <row r="8">
      <c r="A8" s="8" t="inlineStr">
        <is>
          <t>phantom_cleric</t>
        </is>
      </c>
      <c r="B8" s="8" t="inlineStr">
        <is>
          <t>대사제 루미나</t>
        </is>
      </c>
      <c r="C8" s="8" t="inlineStr">
        <is>
          <t>✨🙏</t>
        </is>
      </c>
      <c r="D8" s="8" t="inlineStr">
        <is>
          <t>영웅</t>
        </is>
      </c>
      <c r="E8" s="8" t="inlineStr">
        <is>
          <t>2500/100/80</t>
        </is>
      </c>
      <c r="F8" s="8" t="inlineStr">
        <is>
          <t>태양의 축복</t>
        </is>
      </c>
      <c r="G8" s="8" t="inlineStr">
        <is>
          <t>HP40% + 정화 (CD30)</t>
        </is>
      </c>
    </row>
    <row r="9">
      <c r="A9" s="9" t="inlineStr">
        <is>
          <t>phantom_berserker</t>
        </is>
      </c>
      <c r="B9" s="9" t="inlineStr">
        <is>
          <t>광전사 울프가르</t>
        </is>
      </c>
      <c r="C9" s="9" t="inlineStr">
        <is>
          <t>🪓😤</t>
        </is>
      </c>
      <c r="D9" s="9" t="inlineStr">
        <is>
          <t>영웅</t>
        </is>
      </c>
      <c r="E9" s="9" t="inlineStr">
        <is>
          <t>3000/300/30</t>
        </is>
      </c>
      <c r="F9" s="9" t="inlineStr">
        <is>
          <t>분노의 포효</t>
        </is>
      </c>
      <c r="G9" s="9" t="inlineStr">
        <is>
          <t>ATK+50%/자해10% 10초 (CD25)</t>
        </is>
      </c>
    </row>
    <row r="10">
      <c r="A10" s="8" t="inlineStr"/>
      <c r="B10" s="8" t="inlineStr"/>
      <c r="C10" s="8" t="inlineStr"/>
      <c r="D10" s="8" t="inlineStr"/>
      <c r="E10" s="8" t="inlineStr"/>
      <c r="F10" s="8" t="inlineStr"/>
      <c r="G10" s="8" t="inlineStr"/>
    </row>
    <row r="11">
      <c r="A11" s="9">
        <f>== 보스 (4종, Lv.30+) ===</f>
        <v/>
      </c>
      <c r="B11" s="9" t="inlineStr"/>
      <c r="C11" s="9" t="inlineStr"/>
      <c r="D11" s="9" t="inlineStr"/>
      <c r="E11" s="9" t="inlineStr"/>
      <c r="F11" s="9" t="inlineStr"/>
      <c r="G11" s="9" t="inlineStr"/>
    </row>
    <row r="12">
      <c r="A12" s="8" t="inlineStr">
        <is>
          <t>phantom_dragon_king</t>
        </is>
      </c>
      <c r="B12" s="8" t="inlineStr">
        <is>
          <t>용왕 이그니스</t>
        </is>
      </c>
      <c r="C12" s="8" t="inlineStr">
        <is>
          <t>🐉👑</t>
        </is>
      </c>
      <c r="D12" s="8" t="inlineStr">
        <is>
          <t>보스</t>
        </is>
      </c>
      <c r="E12" s="8" t="inlineStr">
        <is>
          <t>5000/400/150</t>
        </is>
      </c>
      <c r="F12" s="8" t="inlineStr">
        <is>
          <t>황제의 브레스</t>
        </is>
      </c>
      <c r="G12" s="8" t="inlineStr">
        <is>
          <t>범위ATKx5+화상 (CD40)</t>
        </is>
      </c>
    </row>
    <row r="13">
      <c r="A13" s="9" t="inlineStr">
        <is>
          <t>phantom_lich_queen</t>
        </is>
      </c>
      <c r="B13" s="9" t="inlineStr">
        <is>
          <t>리치 여왕 모르가나</t>
        </is>
      </c>
      <c r="C13" s="9" t="inlineStr">
        <is>
          <t>💀👸</t>
        </is>
      </c>
      <c r="D13" s="9" t="inlineStr">
        <is>
          <t>보스</t>
        </is>
      </c>
      <c r="E13" s="9" t="inlineStr">
        <is>
          <t>4000/350/100</t>
        </is>
      </c>
      <c r="F13" s="9" t="inlineStr">
        <is>
          <t>영원의 저주</t>
        </is>
      </c>
      <c r="G13" s="9" t="inlineStr">
        <is>
          <t>ATKx3+저주+MP흡수 (CD35)</t>
        </is>
      </c>
    </row>
    <row r="14">
      <c r="A14" s="8" t="inlineStr">
        <is>
          <t>phantom_titan</t>
        </is>
      </c>
      <c r="B14" s="8" t="inlineStr">
        <is>
          <t>대지의 타이탄</t>
        </is>
      </c>
      <c r="C14" s="8" t="inlineStr">
        <is>
          <t>🗿💪</t>
        </is>
      </c>
      <c r="D14" s="8" t="inlineStr">
        <is>
          <t>보스</t>
        </is>
      </c>
      <c r="E14" s="8" t="inlineStr">
        <is>
          <t>8000/500/250</t>
        </is>
      </c>
      <c r="F14" s="8" t="inlineStr">
        <is>
          <t>대지의 분쇄</t>
        </is>
      </c>
      <c r="G14" s="8" t="inlineStr">
        <is>
          <t>ATKx6+3초기절+방관50% (CD45)</t>
        </is>
      </c>
    </row>
    <row r="15">
      <c r="A15" s="9" t="inlineStr">
        <is>
          <t>phantom_void_emperor</t>
        </is>
      </c>
      <c r="B15" s="9" t="inlineStr">
        <is>
          <t>공허 황제 니힐루스</t>
        </is>
      </c>
      <c r="C15" s="9" t="inlineStr">
        <is>
          <t>🕳️👑</t>
        </is>
      </c>
      <c r="D15" s="9" t="inlineStr">
        <is>
          <t>보스</t>
        </is>
      </c>
      <c r="E15" s="9" t="inlineStr">
        <is>
          <t>10000/600/200</t>
        </is>
      </c>
      <c r="F15" s="9" t="inlineStr">
        <is>
          <t>존재 소멸</t>
        </is>
      </c>
      <c r="G15" s="9" t="inlineStr">
        <is>
          <t>HP25%삭감(방무) (CD50)</t>
        </is>
      </c>
    </row>
    <row r="16">
      <c r="A16" s="8" t="inlineStr"/>
      <c r="B16" s="8" t="inlineStr"/>
      <c r="C16" s="8" t="inlineStr"/>
      <c r="D16" s="8" t="inlineStr"/>
      <c r="E16" s="8" t="inlineStr"/>
      <c r="F16" s="8" t="inlineStr"/>
      <c r="G16" s="8" t="inlineStr"/>
    </row>
    <row r="17">
      <c r="A17" s="9">
        <f>== 신 (3종, Lv.45+, 보스4종 격파 필요) ===</f>
        <v/>
      </c>
      <c r="B17" s="9" t="inlineStr"/>
      <c r="C17" s="9" t="inlineStr"/>
      <c r="D17" s="9" t="inlineStr"/>
      <c r="E17" s="9" t="inlineStr"/>
      <c r="F17" s="9" t="inlineStr"/>
      <c r="G17" s="9" t="inlineStr"/>
    </row>
    <row r="18">
      <c r="A18" s="8" t="inlineStr">
        <is>
          <t>phantom_god_war</t>
        </is>
      </c>
      <c r="B18" s="8" t="inlineStr">
        <is>
          <t>전쟁신 아레스</t>
        </is>
      </c>
      <c r="C18" s="8" t="inlineStr">
        <is>
          <t>⚔️🔥</t>
        </is>
      </c>
      <c r="D18" s="8" t="inlineStr">
        <is>
          <t>신</t>
        </is>
      </c>
      <c r="E18" s="8" t="inlineStr">
        <is>
          <t>15000/800/300</t>
        </is>
      </c>
      <c r="F18" s="8" t="inlineStr">
        <is>
          <t>전쟁의 심판</t>
        </is>
      </c>
      <c r="G18" s="8" t="inlineStr">
        <is>
          <t>범위ATKx8+전체공포 (CD60)</t>
        </is>
      </c>
    </row>
    <row r="19">
      <c r="A19" s="9" t="inlineStr">
        <is>
          <t>phantom_god_death</t>
        </is>
      </c>
      <c r="B19" s="9" t="inlineStr">
        <is>
          <t>사신 타나토스</t>
        </is>
      </c>
      <c r="C19" s="9" t="inlineStr">
        <is>
          <t>💀⚰️</t>
        </is>
      </c>
      <c r="D19" s="9" t="inlineStr">
        <is>
          <t>신</t>
        </is>
      </c>
      <c r="E19" s="9" t="inlineStr">
        <is>
          <t>12000/1000/150</t>
        </is>
      </c>
      <c r="F19" s="9" t="inlineStr">
        <is>
          <t>죽음의 선고</t>
        </is>
      </c>
      <c r="G19" s="9" t="inlineStr">
        <is>
          <t>10%즉사+ATKx10 (CD90)</t>
        </is>
      </c>
    </row>
    <row r="20">
      <c r="A20" s="8" t="inlineStr">
        <is>
          <t>phantom_god_time</t>
        </is>
      </c>
      <c r="B20" s="8" t="inlineStr">
        <is>
          <t>시간신 크로노스</t>
        </is>
      </c>
      <c r="C20" s="8" t="inlineStr">
        <is>
          <t>⏳👑</t>
        </is>
      </c>
      <c r="D20" s="8" t="inlineStr">
        <is>
          <t>신</t>
        </is>
      </c>
      <c r="E20" s="8" t="inlineStr">
        <is>
          <t>20000/700/400</t>
        </is>
      </c>
      <c r="F20" s="8" t="inlineStr">
        <is>
          <t>시간의 역류</t>
        </is>
      </c>
      <c r="G20" s="8" t="inlineStr">
        <is>
          <t>HP완전회복+시간되돌림 (CD120)</t>
        </is>
      </c>
    </row>
    <row r="21">
      <c r="A21" s="9" t="inlineStr"/>
      <c r="B21" s="9" t="inlineStr"/>
      <c r="C21" s="9" t="inlineStr"/>
      <c r="D21" s="9" t="inlineStr"/>
      <c r="E21" s="9" t="inlineStr"/>
      <c r="F21" s="9" t="inlineStr"/>
      <c r="G21" s="9" t="inlineStr"/>
    </row>
    <row r="22">
      <c r="A22" s="8">
        <f>== 난이도 (5단계) ===</f>
        <v/>
      </c>
      <c r="B22" s="8" t="inlineStr"/>
      <c r="C22" s="8" t="inlineStr"/>
      <c r="D22" s="8" t="inlineStr"/>
      <c r="E22" s="8" t="inlineStr"/>
      <c r="F22" s="8" t="inlineStr"/>
      <c r="G22" s="8" t="inlineStr"/>
    </row>
    <row r="23">
      <c r="A23" s="9" t="inlineStr"/>
      <c r="B23" s="9" t="inlineStr">
        <is>
          <t>일반</t>
        </is>
      </c>
      <c r="C23" s="9" t="inlineStr">
        <is>
          <t>⚪</t>
        </is>
      </c>
      <c r="D23" s="9" t="inlineStr">
        <is>
          <t>-</t>
        </is>
      </c>
      <c r="E23" s="9" t="inlineStr">
        <is>
          <t>ATKx1.0/HPx1.0</t>
        </is>
      </c>
      <c r="F23" s="9" t="inlineStr">
        <is>
          <t>보상x1.0</t>
        </is>
      </c>
      <c r="G23" s="9" t="inlineStr">
        <is>
          <t>습득확률 20%</t>
        </is>
      </c>
    </row>
    <row r="24">
      <c r="A24" s="8" t="inlineStr"/>
      <c r="B24" s="8" t="inlineStr">
        <is>
          <t>역전</t>
        </is>
      </c>
      <c r="C24" s="8" t="inlineStr">
        <is>
          <t>🟢</t>
        </is>
      </c>
      <c r="D24" s="8" t="inlineStr">
        <is>
          <t>-</t>
        </is>
      </c>
      <c r="E24" s="8" t="inlineStr">
        <is>
          <t>ATKx1.3/HPx1.5</t>
        </is>
      </c>
      <c r="F24" s="8" t="inlineStr">
        <is>
          <t>보상x1.5</t>
        </is>
      </c>
      <c r="G24" s="8" t="inlineStr">
        <is>
          <t>습득확률 30%</t>
        </is>
      </c>
    </row>
    <row r="25">
      <c r="A25" s="9" t="inlineStr"/>
      <c r="B25" s="9" t="inlineStr">
        <is>
          <t>정예</t>
        </is>
      </c>
      <c r="C25" s="9" t="inlineStr">
        <is>
          <t>🔵</t>
        </is>
      </c>
      <c r="D25" s="9" t="inlineStr">
        <is>
          <t>-</t>
        </is>
      </c>
      <c r="E25" s="9" t="inlineStr">
        <is>
          <t>ATKx1.6/HPx2.0</t>
        </is>
      </c>
      <c r="F25" s="9" t="inlineStr">
        <is>
          <t>보상x2.0</t>
        </is>
      </c>
      <c r="G25" s="9" t="inlineStr">
        <is>
          <t>습득확률 50%</t>
        </is>
      </c>
    </row>
    <row r="26">
      <c r="A26" s="8" t="inlineStr"/>
      <c r="B26" s="8" t="inlineStr">
        <is>
          <t>전설</t>
        </is>
      </c>
      <c r="C26" s="8" t="inlineStr">
        <is>
          <t>🟡</t>
        </is>
      </c>
      <c r="D26" s="8" t="inlineStr">
        <is>
          <t>-</t>
        </is>
      </c>
      <c r="E26" s="8" t="inlineStr">
        <is>
          <t>ATKx2.0/HPx3.0</t>
        </is>
      </c>
      <c r="F26" s="8" t="inlineStr">
        <is>
          <t>보상x3.0</t>
        </is>
      </c>
      <c r="G26" s="8" t="inlineStr">
        <is>
          <t>습득확률 80%</t>
        </is>
      </c>
    </row>
    <row r="27">
      <c r="A27" s="9" t="inlineStr"/>
      <c r="B27" s="9" t="inlineStr">
        <is>
          <t>신화</t>
        </is>
      </c>
      <c r="C27" s="9" t="inlineStr">
        <is>
          <t>🔴</t>
        </is>
      </c>
      <c r="D27" s="9" t="inlineStr">
        <is>
          <t>-</t>
        </is>
      </c>
      <c r="E27" s="9" t="inlineStr">
        <is>
          <t>ATKx3.0/HPx5.0</t>
        </is>
      </c>
      <c r="F27" s="9" t="inlineStr">
        <is>
          <t>보상x5.0</t>
        </is>
      </c>
      <c r="G27" s="9" t="inlineStr">
        <is>
          <t>습득확률 100%</t>
        </is>
      </c>
    </row>
    <row r="28">
      <c r="A28" s="8" t="inlineStr"/>
      <c r="B28" s="8" t="inlineStr"/>
      <c r="C28" s="8" t="inlineStr"/>
      <c r="D28" s="8" t="inlineStr"/>
      <c r="E28" s="8" t="inlineStr"/>
      <c r="F28" s="8" t="inlineStr"/>
      <c r="G28" s="8" t="inlineStr"/>
    </row>
    <row r="29">
      <c r="A29" s="9">
        <f>== 연승 보너스 ===</f>
        <v/>
      </c>
      <c r="B29" s="9" t="inlineStr"/>
      <c r="C29" s="9" t="inlineStr"/>
      <c r="D29" s="9" t="inlineStr"/>
      <c r="E29" s="9" t="inlineStr"/>
      <c r="F29" s="9" t="inlineStr"/>
      <c r="G29" s="9" t="inlineStr"/>
    </row>
    <row r="30">
      <c r="A30" s="8" t="inlineStr">
        <is>
          <t>3연승</t>
        </is>
      </c>
      <c r="B30" s="8" t="inlineStr">
        <is>
          <t>투사</t>
        </is>
      </c>
      <c r="C30" s="8" t="inlineStr">
        <is>
          <t>🥉</t>
        </is>
      </c>
      <c r="D30" s="8" t="inlineStr">
        <is>
          <t>-</t>
        </is>
      </c>
      <c r="E30" s="8" t="inlineStr">
        <is>
          <t>EXP+10%</t>
        </is>
      </c>
      <c r="F30" s="8" t="inlineStr"/>
      <c r="G30" s="8" t="inlineStr"/>
    </row>
    <row r="31">
      <c r="A31" s="9" t="inlineStr">
        <is>
          <t>5연승</t>
        </is>
      </c>
      <c r="B31" s="9" t="inlineStr">
        <is>
          <t>검투사</t>
        </is>
      </c>
      <c r="C31" s="9" t="inlineStr">
        <is>
          <t>🥈</t>
        </is>
      </c>
      <c r="D31" s="9" t="inlineStr">
        <is>
          <t>-</t>
        </is>
      </c>
      <c r="E31" s="9" t="inlineStr">
        <is>
          <t>EXP+15%, 골드+10%</t>
        </is>
      </c>
      <c r="F31" s="9" t="inlineStr"/>
      <c r="G31" s="9" t="inlineStr"/>
    </row>
    <row r="32">
      <c r="A32" s="8" t="inlineStr">
        <is>
          <t>10연승</t>
        </is>
      </c>
      <c r="B32" s="8" t="inlineStr">
        <is>
          <t>챔피언</t>
        </is>
      </c>
      <c r="C32" s="8" t="inlineStr">
        <is>
          <t>🥇</t>
        </is>
      </c>
      <c r="D32" s="8" t="inlineStr">
        <is>
          <t>-</t>
        </is>
      </c>
      <c r="E32" s="8" t="inlineStr">
        <is>
          <t>EXP+20%, 골드+20%, 스킬뎀+5%</t>
        </is>
      </c>
      <c r="F32" s="8" t="inlineStr"/>
      <c r="G32" s="8" t="inlineStr"/>
    </row>
    <row r="33">
      <c r="A33" s="9" t="inlineStr">
        <is>
          <t>15연승</t>
        </is>
      </c>
      <c r="B33" s="9" t="inlineStr">
        <is>
          <t>전설의 검투사</t>
        </is>
      </c>
      <c r="C33" s="9" t="inlineStr">
        <is>
          <t>🏆</t>
        </is>
      </c>
      <c r="D33" s="9" t="inlineStr">
        <is>
          <t>-</t>
        </is>
      </c>
      <c r="E33" s="9" t="inlineStr">
        <is>
          <t>EXP+30%, 골드+30%, 스킬뎀+10%</t>
        </is>
      </c>
      <c r="F33" s="9" t="inlineStr"/>
      <c r="G33" s="9" t="inlineStr"/>
    </row>
    <row r="34">
      <c r="A34" s="8" t="inlineStr">
        <is>
          <t>20연승</t>
        </is>
      </c>
      <c r="B34" s="8" t="inlineStr">
        <is>
          <t>불멸의 투사</t>
        </is>
      </c>
      <c r="C34" s="8" t="inlineStr">
        <is>
          <t>👑</t>
        </is>
      </c>
      <c r="D34" s="8" t="inlineStr">
        <is>
          <t>-</t>
        </is>
      </c>
      <c r="E34" s="8" t="inlineStr">
        <is>
          <t>ALL+5, EXP+50%</t>
        </is>
      </c>
      <c r="F34" s="8" t="inlineStr"/>
      <c r="G34" s="8" t="inlineStr"/>
    </row>
    <row r="35">
      <c r="A35" s="9" t="inlineStr"/>
      <c r="B35" s="9" t="inlineStr"/>
      <c r="C35" s="9" t="inlineStr"/>
      <c r="D35" s="9" t="inlineStr"/>
      <c r="E35" s="9" t="inlineStr"/>
      <c r="F35" s="9" t="inlineStr"/>
      <c r="G35" s="9" t="inlineStr"/>
    </row>
    <row r="36">
      <c r="A36" s="8" t="inlineStr">
        <is>
          <t>명성 랭크</t>
        </is>
      </c>
      <c r="B36" s="8" t="inlineStr">
        <is>
          <t>무명→도전자→투사→검투사→챔피언→전설→신화</t>
        </is>
      </c>
      <c r="C36" s="8" t="inlineStr"/>
      <c r="D36" s="8" t="inlineStr"/>
      <c r="E36" s="8" t="inlineStr">
        <is>
          <t>0/50/150/400/800/1500/3000</t>
        </is>
      </c>
      <c r="F36" s="8" t="inlineStr"/>
      <c r="G36" s="8" t="inlineStr">
        <is>
          <t>턴제 전투 20턴</t>
        </is>
      </c>
    </row>
  </sheetData>
  <mergeCells count="1">
    <mergeCell ref="A1:G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8" customWidth="1" min="1" max="1"/>
    <col width="28" customWidth="1" min="2" max="2"/>
    <col width="12" customWidth="1" min="3" max="3"/>
    <col width="5" customWidth="1" min="4" max="4"/>
    <col width="12" customWidth="1" min="5" max="5"/>
    <col width="44" customWidth="1" min="6" max="6"/>
  </cols>
  <sheetData>
    <row r="1">
      <c r="A1" s="6" t="inlineStr">
        <is>
          <t>꿈의 건축가 (v2.46)</t>
        </is>
      </c>
    </row>
    <row r="3">
      <c r="A3" s="7" t="inlineStr">
        <is>
          <t>항목</t>
        </is>
      </c>
      <c r="B3" s="7" t="inlineStr">
        <is>
          <t>이름</t>
        </is>
      </c>
      <c r="C3" s="7" t="inlineStr">
        <is>
          <t>아이콘</t>
        </is>
      </c>
      <c r="D3" s="7" t="inlineStr">
        <is>
          <t>티어</t>
        </is>
      </c>
      <c r="E3" s="7" t="inlineStr">
        <is>
          <t>비용</t>
        </is>
      </c>
      <c r="F3" s="7" t="inlineStr">
        <is>
          <t>효과/설명</t>
        </is>
      </c>
    </row>
    <row r="4">
      <c r="A4" s="8">
        <f>== 방 테마 (9종) ===</f>
        <v/>
      </c>
      <c r="B4" s="8" t="inlineStr"/>
      <c r="C4" s="8" t="inlineStr"/>
      <c r="D4" s="8" t="inlineStr"/>
      <c r="E4" s="8" t="inlineStr"/>
      <c r="F4" s="8" t="inlineStr"/>
    </row>
    <row r="5">
      <c r="A5" s="9" t="inlineStr">
        <is>
          <t>테마</t>
        </is>
      </c>
      <c r="B5" s="9" t="inlineStr">
        <is>
          <t>공허의 전당</t>
        </is>
      </c>
      <c r="C5" s="9" t="inlineStr">
        <is>
          <t>🕳️🏛️</t>
        </is>
      </c>
      <c r="D5" s="9" t="inlineStr">
        <is>
          <t>-</t>
        </is>
      </c>
      <c r="E5" s="9" t="inlineStr">
        <is>
          <t>기본</t>
        </is>
      </c>
      <c r="F5" s="9" t="inlineStr">
        <is>
          <t>방어보너스 0%</t>
        </is>
      </c>
    </row>
    <row r="6">
      <c r="A6" s="8" t="inlineStr">
        <is>
          <t>테마</t>
        </is>
      </c>
      <c r="B6" s="8" t="inlineStr">
        <is>
          <t>용암 구덩이</t>
        </is>
      </c>
      <c r="C6" s="8" t="inlineStr">
        <is>
          <t>🌋</t>
        </is>
      </c>
      <c r="D6" s="8" t="inlineStr">
        <is>
          <t>-</t>
        </is>
      </c>
      <c r="E6" s="8" t="inlineStr">
        <is>
          <t>5000G×방수</t>
        </is>
      </c>
      <c r="F6" s="8" t="inlineStr">
        <is>
          <t>방어+10%, 진입시 화상</t>
        </is>
      </c>
    </row>
    <row r="7">
      <c r="A7" s="9" t="inlineStr">
        <is>
          <t>테마</t>
        </is>
      </c>
      <c r="B7" s="9" t="inlineStr">
        <is>
          <t>얼어붙은 예배당</t>
        </is>
      </c>
      <c r="C7" s="9" t="inlineStr">
        <is>
          <t>❄️⛪</t>
        </is>
      </c>
      <c r="D7" s="9" t="inlineStr">
        <is>
          <t>-</t>
        </is>
      </c>
      <c r="E7" s="9" t="inlineStr">
        <is>
          <t>〃</t>
        </is>
      </c>
      <c r="F7" s="9" t="inlineStr">
        <is>
          <t>방어+10%, 이동속도-30%</t>
        </is>
      </c>
    </row>
    <row r="8">
      <c r="A8" s="8" t="inlineStr">
        <is>
          <t>테마</t>
        </is>
      </c>
      <c r="B8" s="8" t="inlineStr">
        <is>
          <t>거울 미궁</t>
        </is>
      </c>
      <c r="C8" s="8" t="inlineStr">
        <is>
          <t>🪞🌀</t>
        </is>
      </c>
      <c r="D8" s="8" t="inlineStr">
        <is>
          <t>-</t>
        </is>
      </c>
      <c r="E8" s="8" t="inlineStr">
        <is>
          <t>〃</t>
        </is>
      </c>
      <c r="F8" s="8" t="inlineStr">
        <is>
          <t>방어+15%, 분신 혼란</t>
        </is>
      </c>
    </row>
    <row r="9">
      <c r="A9" s="9" t="inlineStr">
        <is>
          <t>테마</t>
        </is>
      </c>
      <c r="B9" s="9" t="inlineStr">
        <is>
          <t>핏빛 정원</t>
        </is>
      </c>
      <c r="C9" s="9" t="inlineStr">
        <is>
          <t>🌹🩸</t>
        </is>
      </c>
      <c r="D9" s="9" t="inlineStr">
        <is>
          <t>-</t>
        </is>
      </c>
      <c r="E9" s="9" t="inlineStr">
        <is>
          <t>〃</t>
        </is>
      </c>
      <c r="F9" s="9" t="inlineStr">
        <is>
          <t>방어+10%, 지속 데미지</t>
        </is>
      </c>
    </row>
    <row r="10">
      <c r="A10" s="8" t="inlineStr">
        <is>
          <t>테마</t>
        </is>
      </c>
      <c r="B10" s="8" t="inlineStr">
        <is>
          <t>폭풍의 탑</t>
        </is>
      </c>
      <c r="C10" s="8" t="inlineStr">
        <is>
          <t>⛈️🗼</t>
        </is>
      </c>
      <c r="D10" s="8" t="inlineStr">
        <is>
          <t>-</t>
        </is>
      </c>
      <c r="E10" s="8" t="inlineStr">
        <is>
          <t>〃</t>
        </is>
      </c>
      <c r="F10" s="8" t="inlineStr">
        <is>
          <t>방어+15%, 랜덤 번개</t>
        </is>
      </c>
    </row>
    <row r="11">
      <c r="A11" s="9" t="inlineStr">
        <is>
          <t>테마</t>
        </is>
      </c>
      <c r="B11" s="9" t="inlineStr">
        <is>
          <t>악몽의 소굴</t>
        </is>
      </c>
      <c r="C11" s="9" t="inlineStr">
        <is>
          <t>😱🕸️</t>
        </is>
      </c>
      <c r="D11" s="9" t="inlineStr">
        <is>
          <t>-</t>
        </is>
      </c>
      <c r="E11" s="9" t="inlineStr">
        <is>
          <t>〃</t>
        </is>
      </c>
      <c r="F11" s="9" t="inlineStr">
        <is>
          <t>방어+20%, 도전자 ATK-20%</t>
        </is>
      </c>
    </row>
    <row r="12">
      <c r="A12" s="8" t="inlineStr">
        <is>
          <t>테마</t>
        </is>
      </c>
      <c r="B12" s="8" t="inlineStr">
        <is>
          <t>중력의 우물</t>
        </is>
      </c>
      <c r="C12" s="8" t="inlineStr">
        <is>
          <t>🌀⬇️</t>
        </is>
      </c>
      <c r="D12" s="8" t="inlineStr">
        <is>
          <t>-</t>
        </is>
      </c>
      <c r="E12" s="8" t="inlineStr">
        <is>
          <t>〃</t>
        </is>
      </c>
      <c r="F12" s="8" t="inlineStr">
        <is>
          <t>방어+15%, 랜덤 스탯감소</t>
        </is>
      </c>
    </row>
    <row r="13">
      <c r="A13" s="9" t="inlineStr">
        <is>
          <t>테마</t>
        </is>
      </c>
      <c r="B13" s="9" t="inlineStr">
        <is>
          <t>그림자 왕좌</t>
        </is>
      </c>
      <c r="C13" s="9" t="inlineStr">
        <is>
          <t>🪑🌑</t>
        </is>
      </c>
      <c r="D13" s="9" t="inlineStr">
        <is>
          <t>-</t>
        </is>
      </c>
      <c r="E13" s="9" t="inlineStr">
        <is>
          <t>기본(최종)</t>
        </is>
      </c>
      <c r="F13" s="9" t="inlineStr">
        <is>
          <t>방어+25%, 모든 효과 중첩</t>
        </is>
      </c>
    </row>
    <row r="14">
      <c r="A14" s="8" t="inlineStr"/>
      <c r="B14" s="8" t="inlineStr"/>
      <c r="C14" s="8" t="inlineStr"/>
      <c r="D14" s="8" t="inlineStr"/>
      <c r="E14" s="8" t="inlineStr"/>
      <c r="F14" s="8" t="inlineStr"/>
    </row>
    <row r="15">
      <c r="A15" s="9">
        <f>== 함정 (10종) ===</f>
        <v/>
      </c>
      <c r="B15" s="9" t="inlineStr"/>
      <c r="C15" s="9" t="inlineStr"/>
      <c r="D15" s="9" t="inlineStr"/>
      <c r="E15" s="9" t="inlineStr"/>
      <c r="F15" s="9" t="inlineStr"/>
    </row>
    <row r="16">
      <c r="A16" s="8" t="inlineStr">
        <is>
          <t>T1</t>
        </is>
      </c>
      <c r="B16" s="8" t="inlineStr">
        <is>
          <t>가시 바닥 / 독 안개</t>
        </is>
      </c>
      <c r="C16" s="8" t="inlineStr">
        <is>
          <t>⬆️🔪/💨☠️</t>
        </is>
      </c>
      <c r="D16" s="8" t="n">
        <v>1</v>
      </c>
      <c r="E16" s="8" t="inlineStr">
        <is>
          <t>500G/800G</t>
        </is>
      </c>
      <c r="F16" s="8" t="inlineStr">
        <is>
          <t>50뎀 / 10초 DPS10</t>
        </is>
      </c>
    </row>
    <row r="17">
      <c r="A17" s="9" t="inlineStr">
        <is>
          <t>T2</t>
        </is>
      </c>
      <c r="B17" s="9" t="inlineStr">
        <is>
          <t>화염분사 / 얼음감옥 / 번개룬</t>
        </is>
      </c>
      <c r="C17" s="9" t="inlineStr">
        <is>
          <t>🔥💨/🧊🔒/⚡📜</t>
        </is>
      </c>
      <c r="D17" s="9" t="n">
        <v>2</v>
      </c>
      <c r="E17" s="9" t="inlineStr">
        <is>
          <t>1.5K~2K</t>
        </is>
      </c>
      <c r="F17" s="9" t="inlineStr">
        <is>
          <t>100뎀+화상 / 3초동결 / 150뎀+2초기절</t>
        </is>
      </c>
    </row>
    <row r="18">
      <c r="A18" s="8" t="inlineStr">
        <is>
          <t>T3</t>
        </is>
      </c>
      <c r="B18" s="8" t="inlineStr">
        <is>
          <t>중력분쇄 / 영혼흡수진</t>
        </is>
      </c>
      <c r="C18" s="8" t="inlineStr">
        <is>
          <t>🌀💥/👻💜</t>
        </is>
      </c>
      <c r="D18" s="8" t="n">
        <v>3</v>
      </c>
      <c r="E18" s="8" t="inlineStr">
        <is>
          <t>3K/4K</t>
        </is>
      </c>
      <c r="F18" s="8" t="inlineStr">
        <is>
          <t>200뎀+둔화 / MP-50,ATK-15%</t>
        </is>
      </c>
    </row>
    <row r="19">
      <c r="A19" s="9" t="inlineStr">
        <is>
          <t>T4</t>
        </is>
      </c>
      <c r="B19" s="9" t="inlineStr">
        <is>
          <t>공허균열 / 시간루프</t>
        </is>
      </c>
      <c r="C19" s="9" t="inlineStr">
        <is>
          <t>🕳️💀/⏳🔄</t>
        </is>
      </c>
      <c r="D19" s="9" t="n">
        <v>4</v>
      </c>
      <c r="E19" s="9" t="inlineStr">
        <is>
          <t>8K/10K</t>
        </is>
      </c>
      <c r="F19" s="9" t="inlineStr">
        <is>
          <t>300뎀+HP10%삭감 / 방 반복!</t>
        </is>
      </c>
    </row>
    <row r="20">
      <c r="A20" s="8" t="inlineStr">
        <is>
          <t>T5</t>
        </is>
      </c>
      <c r="B20" s="8" t="inlineStr">
        <is>
          <t>악몽의 눈</t>
        </is>
      </c>
      <c r="C20" s="8" t="inlineStr">
        <is>
          <t>👁️😱</t>
        </is>
      </c>
      <c r="D20" s="8" t="n">
        <v>5</v>
      </c>
      <c r="E20" s="8" t="inlineStr">
        <is>
          <t>15K</t>
        </is>
      </c>
      <c r="F20" s="8" t="inlineStr">
        <is>
          <t>500뎀+5초공포+ALL-20%</t>
        </is>
      </c>
    </row>
    <row r="21">
      <c r="A21" s="9" t="inlineStr"/>
      <c r="B21" s="9" t="inlineStr"/>
      <c r="C21" s="9" t="inlineStr"/>
      <c r="D21" s="9" t="inlineStr"/>
      <c r="E21" s="9" t="inlineStr"/>
      <c r="F21" s="9" t="inlineStr"/>
    </row>
    <row r="22">
      <c r="A22" s="8">
        <f>== 수호 몬스터 (9종) ===</f>
        <v/>
      </c>
      <c r="B22" s="8" t="inlineStr"/>
      <c r="C22" s="8" t="inlineStr"/>
      <c r="D22" s="8" t="inlineStr"/>
      <c r="E22" s="8" t="inlineStr"/>
      <c r="F22" s="8" t="inlineStr"/>
    </row>
    <row r="23">
      <c r="A23" s="9" t="inlineStr">
        <is>
          <t>T1</t>
        </is>
      </c>
      <c r="B23" s="9" t="inlineStr">
        <is>
          <t>꿈 고블린/몽유병자</t>
        </is>
      </c>
      <c r="C23" s="9" t="inlineStr">
        <is>
          <t>👺💤/🧟💤</t>
        </is>
      </c>
      <c r="D23" s="9" t="n">
        <v>1</v>
      </c>
      <c r="E23" s="9" t="inlineStr">
        <is>
          <t>1K/1.2K</t>
        </is>
      </c>
      <c r="F23" s="9" t="inlineStr">
        <is>
          <t>HP500/ATK50 / HP700/ATK40</t>
        </is>
      </c>
    </row>
    <row r="24">
      <c r="A24" s="8" t="inlineStr">
        <is>
          <t>T2</t>
        </is>
      </c>
      <c r="B24" s="8" t="inlineStr">
        <is>
          <t>악몽 사냥개/환영 기사</t>
        </is>
      </c>
      <c r="C24" s="8" t="inlineStr">
        <is>
          <t>🐕‍🦺💀/🛡️👻</t>
        </is>
      </c>
      <c r="D24" s="8" t="n">
        <v>2</v>
      </c>
      <c r="E24" s="8" t="inlineStr">
        <is>
          <t>2.5K/3K</t>
        </is>
      </c>
      <c r="F24" s="8" t="inlineStr">
        <is>
          <t>HP1K+추적 / HP1.5K+방패</t>
        </is>
      </c>
    </row>
    <row r="25">
      <c r="A25" s="9" t="inlineStr">
        <is>
          <t>T3</t>
        </is>
      </c>
      <c r="B25" s="9" t="inlineStr">
        <is>
          <t>꿈의 히드라/거울 도플</t>
        </is>
      </c>
      <c r="C25" s="9" t="inlineStr">
        <is>
          <t>🐉💤/🪞👤</t>
        </is>
      </c>
      <c r="D25" s="9" t="n">
        <v>3</v>
      </c>
      <c r="E25" s="9" t="inlineStr">
        <is>
          <t>5K/6K</t>
        </is>
      </c>
      <c r="F25" s="9" t="inlineStr">
        <is>
          <t>HP2.5K+머리재생 / HP2K+스탯복제</t>
        </is>
      </c>
    </row>
    <row r="26">
      <c r="A26" s="8" t="inlineStr">
        <is>
          <t>T4</t>
        </is>
      </c>
      <c r="B26" s="8" t="inlineStr">
        <is>
          <t>공허 파수꾼/꿈의 용</t>
        </is>
      </c>
      <c r="C26" s="8" t="inlineStr">
        <is>
          <t>🕳️🗿/🐲💤</t>
        </is>
      </c>
      <c r="D26" s="8" t="n">
        <v>4</v>
      </c>
      <c r="E26" s="8" t="inlineStr">
        <is>
          <t>10K/15K</t>
        </is>
      </c>
      <c r="F26" s="8" t="inlineStr">
        <is>
          <t>HP4K+침묵 / HP6K+수면브레스</t>
        </is>
      </c>
    </row>
    <row r="27">
      <c r="A27" s="9" t="inlineStr">
        <is>
          <t>T5</t>
        </is>
      </c>
      <c r="B27" s="9" t="inlineStr">
        <is>
          <t>악몽의 군주</t>
        </is>
      </c>
      <c r="C27" s="9" t="inlineStr">
        <is>
          <t>👑😈</t>
        </is>
      </c>
      <c r="D27" s="9" t="n">
        <v>5</v>
      </c>
      <c r="E27" s="9" t="inlineStr">
        <is>
          <t>25K</t>
        </is>
      </c>
      <c r="F27" s="9" t="inlineStr">
        <is>
          <t>HP10K — 모든 함정 재발동!</t>
        </is>
      </c>
    </row>
    <row r="28">
      <c r="A28" s="8" t="inlineStr"/>
      <c r="B28" s="8" t="inlineStr"/>
      <c r="C28" s="8" t="inlineStr"/>
      <c r="D28" s="8" t="inlineStr"/>
      <c r="E28" s="8" t="inlineStr"/>
      <c r="F28" s="8" t="inlineStr"/>
    </row>
    <row r="29">
      <c r="A29" s="9" t="inlineStr">
        <is>
          <t>시스템</t>
        </is>
      </c>
      <c r="B29" s="9" t="inlineStr">
        <is>
          <t>건설비</t>
        </is>
      </c>
      <c r="C29" s="9" t="inlineStr">
        <is>
          <t>10,000G</t>
        </is>
      </c>
      <c r="D29" s="9" t="inlineStr">
        <is>
          <t>Lv.25+</t>
        </is>
      </c>
      <c r="E29" s="9" t="inlineStr">
        <is>
          <t>최대 9방</t>
        </is>
      </c>
      <c r="F29" s="9" t="inlineStr">
        <is>
          <t>입장료=투자금x5% / 평점+좋아요 / 클리어율 통계</t>
        </is>
      </c>
    </row>
  </sheetData>
  <mergeCells count="1">
    <mergeCell ref="A1:F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8" customWidth="1" min="1" max="1"/>
    <col width="18" customWidth="1" min="2" max="2"/>
    <col width="8" customWidth="1" min="3" max="3"/>
    <col width="8" customWidth="1" min="4" max="4"/>
    <col width="8" customWidth="1" min="5" max="5"/>
    <col width="24" customWidth="1" min="6" max="6"/>
    <col width="34" customWidth="1" min="7" max="7"/>
  </cols>
  <sheetData>
    <row r="1">
      <c r="A1" s="6" t="inlineStr">
        <is>
          <t>별자리 전쟁 (v2.47)</t>
        </is>
      </c>
    </row>
    <row r="3">
      <c r="A3" s="7" t="inlineStr">
        <is>
          <t>별자리</t>
        </is>
      </c>
      <c r="B3" s="7" t="inlineStr">
        <is>
          <t>이름</t>
        </is>
      </c>
      <c r="C3" s="7" t="inlineStr">
        <is>
          <t>아이콘</t>
        </is>
      </c>
      <c r="D3" s="7" t="inlineStr">
        <is>
          <t>원소</t>
        </is>
      </c>
      <c r="E3" s="7" t="inlineStr">
        <is>
          <t>계절</t>
        </is>
      </c>
      <c r="F3" s="7" t="inlineStr">
        <is>
          <t>기본보너스</t>
        </is>
      </c>
      <c r="G3" s="7" t="inlineStr">
        <is>
          <t>수호신 스킬</t>
        </is>
      </c>
    </row>
    <row r="4">
      <c r="A4" s="8" t="inlineStr">
        <is>
          <t>♈</t>
        </is>
      </c>
      <c r="B4" s="8" t="inlineStr">
        <is>
          <t>양자리</t>
        </is>
      </c>
      <c r="C4" s="8" t="inlineStr">
        <is>
          <t>♈🐏</t>
        </is>
      </c>
      <c r="D4" s="8" t="inlineStr">
        <is>
          <t>화염</t>
        </is>
      </c>
      <c r="E4" s="8" t="inlineStr">
        <is>
          <t>봄</t>
        </is>
      </c>
      <c r="F4" s="8" t="inlineStr">
        <is>
          <t>ATK+8%</t>
        </is>
      </c>
      <c r="G4" s="8" t="inlineStr">
        <is>
          <t>화염 돌격 (범위 ATKx5)</t>
        </is>
      </c>
    </row>
    <row r="5">
      <c r="A5" s="9" t="inlineStr">
        <is>
          <t>♉</t>
        </is>
      </c>
      <c r="B5" s="9" t="inlineStr">
        <is>
          <t>황소자리</t>
        </is>
      </c>
      <c r="C5" s="9" t="inlineStr">
        <is>
          <t>♉🐂</t>
        </is>
      </c>
      <c r="D5" s="9" t="inlineStr">
        <is>
          <t>대지</t>
        </is>
      </c>
      <c r="E5" s="9" t="inlineStr">
        <is>
          <t>봄</t>
        </is>
      </c>
      <c r="F5" s="9" t="inlineStr">
        <is>
          <t>DEF+10%</t>
        </is>
      </c>
      <c r="G5" s="9" t="inlineStr">
        <is>
          <t>대지의 벽 (방패 5000+DEF30%)</t>
        </is>
      </c>
    </row>
    <row r="6">
      <c r="A6" s="8" t="inlineStr">
        <is>
          <t>♊</t>
        </is>
      </c>
      <c r="B6" s="8" t="inlineStr">
        <is>
          <t>쌍둥이자리</t>
        </is>
      </c>
      <c r="C6" s="8" t="inlineStr">
        <is>
          <t>♊👥</t>
        </is>
      </c>
      <c r="D6" s="8" t="inlineStr">
        <is>
          <t>바람</t>
        </is>
      </c>
      <c r="E6" s="8" t="inlineStr">
        <is>
          <t>봄</t>
        </is>
      </c>
      <c r="F6" s="8" t="inlineStr">
        <is>
          <t>속도+8%</t>
        </is>
      </c>
      <c r="G6" s="8" t="inlineStr">
        <is>
          <t>분신술 (분신 2체 15초)</t>
        </is>
      </c>
    </row>
    <row r="7">
      <c r="A7" s="9" t="inlineStr">
        <is>
          <t>♋</t>
        </is>
      </c>
      <c r="B7" s="9" t="inlineStr">
        <is>
          <t>게자리</t>
        </is>
      </c>
      <c r="C7" s="9" t="inlineStr">
        <is>
          <t>♋🦀</t>
        </is>
      </c>
      <c r="D7" s="9" t="inlineStr">
        <is>
          <t>물</t>
        </is>
      </c>
      <c r="E7" s="9" t="inlineStr">
        <is>
          <t>여름</t>
        </is>
      </c>
      <c r="F7" s="9" t="inlineStr">
        <is>
          <t>힐+10%</t>
        </is>
      </c>
      <c r="G7" s="9" t="inlineStr">
        <is>
          <t>달의 치유 (팀힐 40%+정화)</t>
        </is>
      </c>
    </row>
    <row r="8">
      <c r="A8" s="8" t="inlineStr">
        <is>
          <t>♌</t>
        </is>
      </c>
      <c r="B8" s="8" t="inlineStr">
        <is>
          <t>사자자리</t>
        </is>
      </c>
      <c r="C8" s="8" t="inlineStr">
        <is>
          <t>♌🦁</t>
        </is>
      </c>
      <c r="D8" s="8" t="inlineStr">
        <is>
          <t>화염</t>
        </is>
      </c>
      <c r="E8" s="8" t="inlineStr">
        <is>
          <t>여름</t>
        </is>
      </c>
      <c r="F8" s="8" t="inlineStr">
        <is>
          <t>크리+5%</t>
        </is>
      </c>
      <c r="G8" s="8" t="inlineStr">
        <is>
          <t>태양의 포효 (범위ATKx6+ATK버프)</t>
        </is>
      </c>
    </row>
    <row r="9">
      <c r="A9" s="9" t="inlineStr">
        <is>
          <t>♍</t>
        </is>
      </c>
      <c r="B9" s="9" t="inlineStr">
        <is>
          <t>처녀자리</t>
        </is>
      </c>
      <c r="C9" s="9" t="inlineStr">
        <is>
          <t>♍🌾</t>
        </is>
      </c>
      <c r="D9" s="9" t="inlineStr">
        <is>
          <t>대지</t>
        </is>
      </c>
      <c r="E9" s="9" t="inlineStr">
        <is>
          <t>여름</t>
        </is>
      </c>
      <c r="F9" s="9" t="inlineStr">
        <is>
          <t>EXP+8%</t>
        </is>
      </c>
      <c r="G9" s="9" t="inlineStr">
        <is>
          <t>풍요의 축복 (ALL+10 30초)</t>
        </is>
      </c>
    </row>
    <row r="10">
      <c r="A10" s="8" t="inlineStr">
        <is>
          <t>♎</t>
        </is>
      </c>
      <c r="B10" s="8" t="inlineStr">
        <is>
          <t>천칭자리</t>
        </is>
      </c>
      <c r="C10" s="8" t="inlineStr">
        <is>
          <t>♎⚖️</t>
        </is>
      </c>
      <c r="D10" s="8" t="inlineStr">
        <is>
          <t>바람</t>
        </is>
      </c>
      <c r="E10" s="8" t="inlineStr">
        <is>
          <t>가을</t>
        </is>
      </c>
      <c r="F10" s="8" t="inlineStr">
        <is>
          <t>ALL+2</t>
        </is>
      </c>
      <c r="G10" s="8" t="inlineStr">
        <is>
          <t>심판의 균형 (HP균등화)</t>
        </is>
      </c>
    </row>
    <row r="11">
      <c r="A11" s="9" t="inlineStr">
        <is>
          <t>♏</t>
        </is>
      </c>
      <c r="B11" s="9" t="inlineStr">
        <is>
          <t>전갈자리</t>
        </is>
      </c>
      <c r="C11" s="9" t="inlineStr">
        <is>
          <t>♏🦂</t>
        </is>
      </c>
      <c r="D11" s="9" t="inlineStr">
        <is>
          <t>물</t>
        </is>
      </c>
      <c r="E11" s="9" t="inlineStr">
        <is>
          <t>가을</t>
        </is>
      </c>
      <c r="F11" s="9" t="inlineStr">
        <is>
          <t>크뎀+10%</t>
        </is>
      </c>
      <c r="G11" s="9" t="inlineStr">
        <is>
          <t>맹독 꼬리 (ATKx4+15초독)</t>
        </is>
      </c>
    </row>
    <row r="12">
      <c r="A12" s="8" t="inlineStr">
        <is>
          <t>♐</t>
        </is>
      </c>
      <c r="B12" s="8" t="inlineStr">
        <is>
          <t>궁수자리</t>
        </is>
      </c>
      <c r="C12" s="8" t="inlineStr">
        <is>
          <t>♐🏹</t>
        </is>
      </c>
      <c r="D12" s="8" t="inlineStr">
        <is>
          <t>화염</t>
        </is>
      </c>
      <c r="E12" s="8" t="inlineStr">
        <is>
          <t>가을</t>
        </is>
      </c>
      <c r="F12" s="8" t="inlineStr">
        <is>
          <t>원거리+10%</t>
        </is>
      </c>
      <c r="G12" s="8" t="inlineStr">
        <is>
          <t>유성 화살 (ATKx8+관통)</t>
        </is>
      </c>
    </row>
    <row r="13">
      <c r="A13" s="9" t="inlineStr">
        <is>
          <t>♑</t>
        </is>
      </c>
      <c r="B13" s="9" t="inlineStr">
        <is>
          <t>염소자리</t>
        </is>
      </c>
      <c r="C13" s="9" t="inlineStr">
        <is>
          <t>♑🐐</t>
        </is>
      </c>
      <c r="D13" s="9" t="inlineStr">
        <is>
          <t>대지</t>
        </is>
      </c>
      <c r="E13" s="9" t="inlineStr">
        <is>
          <t>겨울</t>
        </is>
      </c>
      <c r="F13" s="9" t="inlineStr">
        <is>
          <t>골드+8%</t>
        </is>
      </c>
      <c r="G13" s="9" t="inlineStr">
        <is>
          <t>산사태 (범위ATKx4+3초기절)</t>
        </is>
      </c>
    </row>
    <row r="14">
      <c r="A14" s="8" t="inlineStr">
        <is>
          <t>♒</t>
        </is>
      </c>
      <c r="B14" s="8" t="inlineStr">
        <is>
          <t>물병자리</t>
        </is>
      </c>
      <c r="C14" s="8" t="inlineStr">
        <is>
          <t>♒🏺</t>
        </is>
      </c>
      <c r="D14" s="8" t="inlineStr">
        <is>
          <t>바람</t>
        </is>
      </c>
      <c r="E14" s="8" t="inlineStr">
        <is>
          <t>겨울</t>
        </is>
      </c>
      <c r="F14" s="8" t="inlineStr">
        <is>
          <t>MP재생+3</t>
        </is>
      </c>
      <c r="G14" s="8" t="inlineStr">
        <is>
          <t>대홍수 (범위ATKx5+MP흡수)</t>
        </is>
      </c>
    </row>
    <row r="15">
      <c r="A15" s="9" t="inlineStr">
        <is>
          <t>♓</t>
        </is>
      </c>
      <c r="B15" s="9" t="inlineStr">
        <is>
          <t>물고기자리</t>
        </is>
      </c>
      <c r="C15" s="9" t="inlineStr">
        <is>
          <t>♓🐟</t>
        </is>
      </c>
      <c r="D15" s="9" t="inlineStr">
        <is>
          <t>물</t>
        </is>
      </c>
      <c r="E15" s="9" t="inlineStr">
        <is>
          <t>겨울</t>
        </is>
      </c>
      <c r="F15" s="9" t="inlineStr">
        <is>
          <t>회피+5%</t>
        </is>
      </c>
      <c r="G15" s="9" t="inlineStr">
        <is>
          <t>환상의 안개 (혼란+회피30%)</t>
        </is>
      </c>
    </row>
    <row r="16">
      <c r="A16" s="8" t="inlineStr"/>
      <c r="B16" s="8" t="inlineStr"/>
      <c r="C16" s="8" t="inlineStr"/>
      <c r="D16" s="8" t="inlineStr"/>
      <c r="E16" s="8" t="inlineStr"/>
      <c r="F16" s="8" t="inlineStr"/>
      <c r="G16" s="8" t="inlineStr"/>
    </row>
    <row r="17">
      <c r="A17" s="9" t="inlineStr">
        <is>
          <t>--- 원소 상성 ---</t>
        </is>
      </c>
      <c r="B17" s="9" t="inlineStr">
        <is>
          <t>화→풍→지→수→화</t>
        </is>
      </c>
      <c r="C17" s="9" t="inlineStr">
        <is>
          <t>상성시 전투력 1.3배</t>
        </is>
      </c>
      <c r="D17" s="9" t="inlineStr"/>
      <c r="E17" s="9" t="inlineStr"/>
      <c r="F17" s="9" t="inlineStr"/>
      <c r="G17" s="9" t="inlineStr"/>
    </row>
    <row r="18">
      <c r="A18" s="8" t="inlineStr">
        <is>
          <t>--- 계절 ---</t>
        </is>
      </c>
      <c r="B18" s="8" t="inlineStr">
        <is>
          <t>3일 주기 순환</t>
        </is>
      </c>
      <c r="C18" s="8" t="inlineStr">
        <is>
          <t>해당 계절 별자리 전투력 1.5배</t>
        </is>
      </c>
      <c r="D18" s="8" t="inlineStr"/>
      <c r="E18" s="8" t="inlineStr"/>
      <c r="F18" s="8" t="inlineStr"/>
      <c r="G18" s="8" t="inlineStr"/>
    </row>
    <row r="19">
      <c r="A19" s="9" t="inlineStr"/>
      <c r="B19" s="9" t="inlineStr"/>
      <c r="C19" s="9" t="inlineStr"/>
      <c r="D19" s="9" t="inlineStr"/>
      <c r="E19" s="9" t="inlineStr"/>
      <c r="F19" s="9" t="inlineStr"/>
      <c r="G19" s="9" t="inlineStr"/>
    </row>
    <row r="20">
      <c r="A20" s="8">
        <f>== 성좌 영역 (6개) ===</f>
        <v/>
      </c>
      <c r="B20" s="8" t="inlineStr"/>
      <c r="C20" s="8" t="inlineStr"/>
      <c r="D20" s="8" t="inlineStr"/>
      <c r="E20" s="8" t="inlineStr"/>
      <c r="F20" s="8" t="inlineStr"/>
      <c r="G20" s="8" t="inlineStr"/>
    </row>
    <row r="21">
      <c r="A21" s="9" t="inlineStr">
        <is>
          <t>영역</t>
        </is>
      </c>
      <c r="B21" s="9" t="inlineStr">
        <is>
          <t>북십자 성좌</t>
        </is>
      </c>
      <c r="C21" s="9" t="inlineStr">
        <is>
          <t>✝️⭐</t>
        </is>
      </c>
      <c r="D21" s="9" t="inlineStr">
        <is>
          <t>-</t>
        </is>
      </c>
      <c r="E21" s="9" t="inlineStr">
        <is>
          <t>-</t>
        </is>
      </c>
      <c r="F21" s="9" t="inlineStr">
        <is>
          <t>점령시 진영 EXP+10%</t>
        </is>
      </c>
      <c r="G21" s="9" t="inlineStr"/>
    </row>
    <row r="22">
      <c r="A22" s="8" t="inlineStr">
        <is>
          <t>영역</t>
        </is>
      </c>
      <c r="B22" s="8" t="inlineStr">
        <is>
          <t>오리온 벨트</t>
        </is>
      </c>
      <c r="C22" s="8" t="inlineStr">
        <is>
          <t>🌌⭐</t>
        </is>
      </c>
      <c r="D22" s="8" t="inlineStr">
        <is>
          <t>-</t>
        </is>
      </c>
      <c r="E22" s="8" t="inlineStr">
        <is>
          <t>-</t>
        </is>
      </c>
      <c r="F22" s="8" t="inlineStr">
        <is>
          <t>점령시 진영 ATK+8%</t>
        </is>
      </c>
      <c r="G22" s="8" t="inlineStr"/>
    </row>
    <row r="23">
      <c r="A23" s="9" t="inlineStr">
        <is>
          <t>영역</t>
        </is>
      </c>
      <c r="B23" s="9" t="inlineStr">
        <is>
          <t>남관 성좌</t>
        </is>
      </c>
      <c r="C23" s="9" t="inlineStr">
        <is>
          <t>👑⭐</t>
        </is>
      </c>
      <c r="D23" s="9" t="inlineStr">
        <is>
          <t>-</t>
        </is>
      </c>
      <c r="E23" s="9" t="inlineStr">
        <is>
          <t>-</t>
        </is>
      </c>
      <c r="F23" s="9" t="inlineStr">
        <is>
          <t>점령시 진영 골드+10%</t>
        </is>
      </c>
      <c r="G23" s="9" t="inlineStr"/>
    </row>
    <row r="24">
      <c r="A24" s="8" t="inlineStr">
        <is>
          <t>영역</t>
        </is>
      </c>
      <c r="B24" s="8" t="inlineStr">
        <is>
          <t>은하수 영역</t>
        </is>
      </c>
      <c r="C24" s="8" t="inlineStr">
        <is>
          <t>🌊⭐</t>
        </is>
      </c>
      <c r="D24" s="8" t="inlineStr">
        <is>
          <t>-</t>
        </is>
      </c>
      <c r="E24" s="8" t="inlineStr">
        <is>
          <t>-</t>
        </is>
      </c>
      <c r="F24" s="8" t="inlineStr">
        <is>
          <t>점령시 진영 힐+10%</t>
        </is>
      </c>
      <c r="G24" s="8" t="inlineStr"/>
    </row>
    <row r="25">
      <c r="A25" s="9" t="inlineStr">
        <is>
          <t>영역</t>
        </is>
      </c>
      <c r="B25" s="9" t="inlineStr">
        <is>
          <t>공허 성운</t>
        </is>
      </c>
      <c r="C25" s="9" t="inlineStr">
        <is>
          <t>🕳️⭐</t>
        </is>
      </c>
      <c r="D25" s="9" t="inlineStr">
        <is>
          <t>-</t>
        </is>
      </c>
      <c r="E25" s="9" t="inlineStr">
        <is>
          <t>-</t>
        </is>
      </c>
      <c r="F25" s="9" t="inlineStr">
        <is>
          <t>점령시 진영 크뎀+8%</t>
        </is>
      </c>
      <c r="G25" s="9" t="inlineStr"/>
    </row>
    <row r="26">
      <c r="A26" s="8" t="inlineStr">
        <is>
          <t>영역</t>
        </is>
      </c>
      <c r="B26" s="8" t="inlineStr">
        <is>
          <t>새벽별</t>
        </is>
      </c>
      <c r="C26" s="8" t="inlineStr">
        <is>
          <t>🌟⭐</t>
        </is>
      </c>
      <c r="D26" s="8" t="inlineStr">
        <is>
          <t>-</t>
        </is>
      </c>
      <c r="E26" s="8" t="inlineStr">
        <is>
          <t>-</t>
        </is>
      </c>
      <c r="F26" s="8" t="inlineStr">
        <is>
          <t>점령시 진영 ALL+3</t>
        </is>
      </c>
      <c r="G26" s="8" t="inlineStr"/>
    </row>
    <row r="27">
      <c r="A27" s="9" t="inlineStr"/>
      <c r="B27" s="9" t="inlineStr"/>
      <c r="C27" s="9" t="inlineStr"/>
      <c r="D27" s="9" t="inlineStr"/>
      <c r="E27" s="9" t="inlineStr"/>
      <c r="F27" s="9" t="inlineStr"/>
      <c r="G27" s="9" t="inlineStr"/>
    </row>
    <row r="28">
      <c r="A28" s="8">
        <f>== 전쟁 사이클 ===</f>
        <v/>
      </c>
      <c r="B28" s="8" t="inlineStr"/>
      <c r="C28" s="8" t="inlineStr"/>
      <c r="D28" s="8" t="inlineStr"/>
      <c r="E28" s="8" t="inlineStr"/>
      <c r="F28" s="8" t="inlineStr"/>
      <c r="G28" s="8" t="inlineStr"/>
    </row>
    <row r="29">
      <c r="A29" s="9" t="inlineStr">
        <is>
          <t>단계</t>
        </is>
      </c>
      <c r="B29" s="9" t="inlineStr">
        <is>
          <t>평화 (1시간)</t>
        </is>
      </c>
      <c r="C29" s="9" t="inlineStr">
        <is>
          <t>→ 동원 (30분)</t>
        </is>
      </c>
      <c r="D29" s="9" t="inlineStr">
        <is>
          <t>→ 전투 (30분)</t>
        </is>
      </c>
      <c r="E29" s="9" t="inlineStr">
        <is>
          <t>→ 보상 (10분)</t>
        </is>
      </c>
      <c r="F29" s="9" t="inlineStr">
        <is>
          <t>자동 순환</t>
        </is>
      </c>
      <c r="G29" s="9" t="inlineStr">
        <is>
          <t>30초마다 단계 체크</t>
        </is>
      </c>
    </row>
    <row r="30">
      <c r="A30" s="8" t="inlineStr">
        <is>
          <t>등급</t>
        </is>
      </c>
      <c r="B30" s="8" t="inlineStr">
        <is>
          <t>신병→병사→전사→수호자→별의사령관→성좌마스터</t>
        </is>
      </c>
      <c r="C30" s="8" t="inlineStr">
        <is>
          <t>기여도 기반</t>
        </is>
      </c>
      <c r="D30" s="8" t="inlineStr"/>
      <c r="E30" s="8" t="inlineStr"/>
      <c r="F30" s="8" t="inlineStr"/>
      <c r="G30" s="8" t="inlineStr">
        <is>
          <t>헌납(골드→전력)</t>
        </is>
      </c>
    </row>
  </sheetData>
  <mergeCells count="1">
    <mergeCell ref="A1:G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0" customWidth="1" min="1" max="1"/>
    <col width="22" customWidth="1" min="2" max="2"/>
    <col width="10" customWidth="1" min="3" max="3"/>
    <col width="12" customWidth="1" min="4" max="4"/>
    <col width="10" customWidth="1" min="5" max="5"/>
    <col width="34" customWidth="1" min="6" max="6"/>
    <col width="34" customWidth="1" min="7" max="7"/>
  </cols>
  <sheetData>
    <row r="1">
      <c r="A1" s="6" t="inlineStr">
        <is>
          <t>금서의 도서관 (v2.48)</t>
        </is>
      </c>
    </row>
    <row r="3">
      <c r="A3" s="7" t="inlineStr">
        <is>
          <t>항목</t>
        </is>
      </c>
      <c r="B3" s="7" t="inlineStr">
        <is>
          <t>ID/이름</t>
        </is>
      </c>
      <c r="C3" s="7" t="inlineStr">
        <is>
          <t>아이콘</t>
        </is>
      </c>
      <c r="D3" s="7" t="inlineStr">
        <is>
          <t>티어/구역</t>
        </is>
      </c>
      <c r="E3" s="7" t="inlineStr">
        <is>
          <t>오염도</t>
        </is>
      </c>
      <c r="F3" s="7" t="inlineStr">
        <is>
          <t>보상/효과</t>
        </is>
      </c>
      <c r="G3" s="7" t="inlineStr">
        <is>
          <t>습득 마법</t>
        </is>
      </c>
    </row>
    <row r="4">
      <c r="A4" s="8">
        <f>== 구역 (4개) ===</f>
        <v/>
      </c>
      <c r="B4" s="8" t="inlineStr"/>
      <c r="C4" s="8" t="inlineStr"/>
      <c r="D4" s="8" t="inlineStr"/>
      <c r="E4" s="8" t="inlineStr"/>
      <c r="F4" s="8" t="inlineStr"/>
      <c r="G4" s="8" t="inlineStr"/>
    </row>
    <row r="5">
      <c r="A5" s="9" t="inlineStr">
        <is>
          <t>구역</t>
        </is>
      </c>
      <c r="B5" s="9" t="inlineStr">
        <is>
          <t>속삭임의 전당</t>
        </is>
      </c>
      <c r="C5" s="9" t="inlineStr">
        <is>
          <t>🏛️👂</t>
        </is>
      </c>
      <c r="D5" s="9" t="inlineStr">
        <is>
          <t>T1/Lv.20+</t>
        </is>
      </c>
      <c r="E5" s="9" t="inlineStr">
        <is>
          <t>입장+1.5%</t>
        </is>
      </c>
      <c r="F5" s="9" t="inlineStr">
        <is>
          <t>초급 금서</t>
        </is>
      </c>
      <c r="G5" s="9" t="inlineStr"/>
    </row>
    <row r="6">
      <c r="A6" s="8" t="inlineStr">
        <is>
          <t>구역</t>
        </is>
      </c>
      <c r="B6" s="8" t="inlineStr">
        <is>
          <t>눈의 방</t>
        </is>
      </c>
      <c r="C6" s="8" t="inlineStr">
        <is>
          <t>👁️📚</t>
        </is>
      </c>
      <c r="D6" s="8" t="inlineStr">
        <is>
          <t>T2/Lv.30+</t>
        </is>
      </c>
      <c r="E6" s="8" t="inlineStr">
        <is>
          <t>입장+3%</t>
        </is>
      </c>
      <c r="F6" s="8" t="inlineStr">
        <is>
          <t>중급 금서</t>
        </is>
      </c>
      <c r="G6" s="8" t="inlineStr"/>
    </row>
    <row r="7">
      <c r="A7" s="9" t="inlineStr">
        <is>
          <t>구역</t>
        </is>
      </c>
      <c r="B7" s="9" t="inlineStr">
        <is>
          <t>심연 서고</t>
        </is>
      </c>
      <c r="C7" s="9" t="inlineStr">
        <is>
          <t>🕳️📖</t>
        </is>
      </c>
      <c r="D7" s="9" t="inlineStr">
        <is>
          <t>T3/Lv.40+</t>
        </is>
      </c>
      <c r="E7" s="9" t="inlineStr">
        <is>
          <t>입장+4.5%</t>
        </is>
      </c>
      <c r="F7" s="9" t="inlineStr">
        <is>
          <t>상급 금서</t>
        </is>
      </c>
      <c r="G7" s="9" t="inlineStr"/>
    </row>
    <row r="8">
      <c r="A8" s="8" t="inlineStr">
        <is>
          <t>구역</t>
        </is>
      </c>
      <c r="B8" s="8" t="inlineStr">
        <is>
          <t>광기의 옥좌</t>
        </is>
      </c>
      <c r="C8" s="8" t="inlineStr">
        <is>
          <t>👑🌀</t>
        </is>
      </c>
      <c r="D8" s="8" t="inlineStr">
        <is>
          <t>T4/Lv.50+</t>
        </is>
      </c>
      <c r="E8" s="8" t="inlineStr">
        <is>
          <t>입장+7.5%</t>
        </is>
      </c>
      <c r="F8" s="8" t="inlineStr">
        <is>
          <t>궁극 금서</t>
        </is>
      </c>
      <c r="G8" s="8" t="inlineStr"/>
    </row>
    <row r="9">
      <c r="A9" s="9" t="inlineStr"/>
      <c r="B9" s="9" t="inlineStr"/>
      <c r="C9" s="9" t="inlineStr"/>
      <c r="D9" s="9" t="inlineStr"/>
      <c r="E9" s="9" t="inlineStr"/>
      <c r="F9" s="9" t="inlineStr"/>
      <c r="G9" s="9" t="inlineStr"/>
    </row>
    <row r="10">
      <c r="A10" s="8">
        <f>== 금서 (11종) ===</f>
        <v/>
      </c>
      <c r="B10" s="8" t="inlineStr"/>
      <c r="C10" s="8" t="inlineStr"/>
      <c r="D10" s="8" t="inlineStr"/>
      <c r="E10" s="8" t="inlineStr"/>
      <c r="F10" s="8" t="inlineStr"/>
      <c r="G10" s="8" t="inlineStr"/>
    </row>
    <row r="11">
      <c r="A11" s="9" t="inlineStr">
        <is>
          <t>T1</t>
        </is>
      </c>
      <c r="B11" s="9" t="inlineStr">
        <is>
          <t>그림자 언어</t>
        </is>
      </c>
      <c r="C11" s="9" t="inlineStr">
        <is>
          <t>📕🌑</t>
        </is>
      </c>
      <c r="D11" s="9" t="inlineStr">
        <is>
          <t>속삭임</t>
        </is>
      </c>
      <c r="E11" s="9" t="inlineStr">
        <is>
          <t>+5%</t>
        </is>
      </c>
      <c r="F11" s="9" t="inlineStr">
        <is>
          <t>암속+5%</t>
        </is>
      </c>
      <c r="G11" s="9" t="inlineStr">
        <is>
          <t>-</t>
        </is>
      </c>
    </row>
    <row r="12">
      <c r="A12" s="8" t="inlineStr">
        <is>
          <t>T1</t>
        </is>
      </c>
      <c r="B12" s="8" t="inlineStr">
        <is>
          <t>피의 문자</t>
        </is>
      </c>
      <c r="C12" s="8" t="inlineStr">
        <is>
          <t>📕🩸</t>
        </is>
      </c>
      <c r="D12" s="8" t="inlineStr">
        <is>
          <t>속삭임</t>
        </is>
      </c>
      <c r="E12" s="8" t="inlineStr">
        <is>
          <t>+8%</t>
        </is>
      </c>
      <c r="F12" s="8" t="inlineStr">
        <is>
          <t>흡혈+3%</t>
        </is>
      </c>
      <c r="G12" s="8" t="inlineStr">
        <is>
          <t>-</t>
        </is>
      </c>
    </row>
    <row r="13">
      <c r="A13" s="9" t="inlineStr">
        <is>
          <t>T1</t>
        </is>
      </c>
      <c r="B13" s="9" t="inlineStr">
        <is>
          <t>죽은 자의 속삭임</t>
        </is>
      </c>
      <c r="C13" s="9" t="inlineStr">
        <is>
          <t>📕💀</t>
        </is>
      </c>
      <c r="D13" s="9" t="inlineStr">
        <is>
          <t>속삭임</t>
        </is>
      </c>
      <c r="E13" s="9" t="inlineStr">
        <is>
          <t>+6%</t>
        </is>
      </c>
      <c r="F13" s="9" t="inlineStr">
        <is>
          <t>MP재생+2</t>
        </is>
      </c>
      <c r="G13" s="9" t="inlineStr">
        <is>
          <t>죽음의 속삭임 (공포5초+ATK-20%)</t>
        </is>
      </c>
    </row>
    <row r="14">
      <c r="A14" s="8" t="inlineStr">
        <is>
          <t>T2</t>
        </is>
      </c>
      <c r="B14" s="8" t="inlineStr">
        <is>
          <t>정신 균열론</t>
        </is>
      </c>
      <c r="C14" s="8" t="inlineStr">
        <is>
          <t>📗🧠</t>
        </is>
      </c>
      <c r="D14" s="8" t="inlineStr">
        <is>
          <t>눈의방</t>
        </is>
      </c>
      <c r="E14" s="8" t="inlineStr">
        <is>
          <t>+12%</t>
        </is>
      </c>
      <c r="F14" s="8" t="inlineStr">
        <is>
          <t>마법+8%</t>
        </is>
      </c>
      <c r="G14" s="8" t="inlineStr">
        <is>
          <t>정신 분쇄 (ATKx4+혼란3초)</t>
        </is>
      </c>
    </row>
    <row r="15">
      <c r="A15" s="9" t="inlineStr">
        <is>
          <t>T2</t>
        </is>
      </c>
      <c r="B15" s="9" t="inlineStr">
        <is>
          <t>공허 기하학</t>
        </is>
      </c>
      <c r="C15" s="9" t="inlineStr">
        <is>
          <t>📗🔮</t>
        </is>
      </c>
      <c r="D15" s="9" t="inlineStr">
        <is>
          <t>눈의방</t>
        </is>
      </c>
      <c r="E15" s="9" t="inlineStr">
        <is>
          <t>+15%</t>
        </is>
      </c>
      <c r="F15" s="9" t="inlineStr">
        <is>
          <t>회피+5%</t>
        </is>
      </c>
      <c r="G15" s="9" t="inlineStr">
        <is>
          <t>공간 찢기 (ATKx3+텔레포트)</t>
        </is>
      </c>
    </row>
    <row r="16">
      <c r="A16" s="8" t="inlineStr">
        <is>
          <t>T2</t>
        </is>
      </c>
      <c r="B16" s="8" t="inlineStr">
        <is>
          <t>육체 속박술</t>
        </is>
      </c>
      <c r="C16" s="8" t="inlineStr">
        <is>
          <t>📗⛓️</t>
        </is>
      </c>
      <c r="D16" s="8" t="inlineStr">
        <is>
          <t>눈의방</t>
        </is>
      </c>
      <c r="E16" s="8" t="inlineStr">
        <is>
          <t>+10%</t>
        </is>
      </c>
      <c r="F16" s="8" t="inlineStr">
        <is>
          <t>DEF+20</t>
        </is>
      </c>
      <c r="G16" s="8" t="inlineStr">
        <is>
          <t>-</t>
        </is>
      </c>
    </row>
    <row r="17">
      <c r="A17" s="9" t="inlineStr">
        <is>
          <t>T3</t>
        </is>
      </c>
      <c r="B17" s="9" t="inlineStr">
        <is>
          <t>현실 개변서</t>
        </is>
      </c>
      <c r="C17" s="9" t="inlineStr">
        <is>
          <t>📘🌀</t>
        </is>
      </c>
      <c r="D17" s="9" t="inlineStr">
        <is>
          <t>심연</t>
        </is>
      </c>
      <c r="E17" s="9" t="inlineStr">
        <is>
          <t>+20%</t>
        </is>
      </c>
      <c r="F17" s="9" t="inlineStr">
        <is>
          <t>ALL+5</t>
        </is>
      </c>
      <c r="G17" s="9" t="inlineStr">
        <is>
          <t>현실 왜곡 (5초 데미지→회복)</t>
        </is>
      </c>
    </row>
    <row r="18">
      <c r="A18" s="8" t="inlineStr">
        <is>
          <t>T3</t>
        </is>
      </c>
      <c r="B18" s="8" t="inlineStr">
        <is>
          <t>영혼 수확론</t>
        </is>
      </c>
      <c r="C18" s="8" t="inlineStr">
        <is>
          <t>📘👻</t>
        </is>
      </c>
      <c r="D18" s="8" t="inlineStr">
        <is>
          <t>심연</t>
        </is>
      </c>
      <c r="E18" s="8" t="inlineStr">
        <is>
          <t>+18%</t>
        </is>
      </c>
      <c r="F18" s="8" t="inlineStr">
        <is>
          <t>크뎀+12%</t>
        </is>
      </c>
      <c r="G18" s="8" t="inlineStr">
        <is>
          <t>영혼 수확 (ATKx5+영혼수집)</t>
        </is>
      </c>
    </row>
    <row r="19">
      <c r="A19" s="9" t="inlineStr">
        <is>
          <t>T3</t>
        </is>
      </c>
      <c r="B19" s="9" t="inlineStr">
        <is>
          <t>시간 모순론</t>
        </is>
      </c>
      <c r="C19" s="9" t="inlineStr">
        <is>
          <t>📘⏳</t>
        </is>
      </c>
      <c r="D19" s="9" t="inlineStr">
        <is>
          <t>심연</t>
        </is>
      </c>
      <c r="E19" s="9" t="inlineStr">
        <is>
          <t>+22%</t>
        </is>
      </c>
      <c r="F19" s="9" t="inlineStr">
        <is>
          <t>쿨감-10%</t>
        </is>
      </c>
      <c r="G19" s="9" t="inlineStr">
        <is>
          <t>시간 역설 (HP 10초전 복구)</t>
        </is>
      </c>
    </row>
    <row r="20">
      <c r="A20" s="8" t="inlineStr">
        <is>
          <t>T4</t>
        </is>
      </c>
      <c r="B20" s="8" t="inlineStr">
        <is>
          <t>만물의 진명</t>
        </is>
      </c>
      <c r="C20" s="8" t="inlineStr">
        <is>
          <t>📙✨</t>
        </is>
      </c>
      <c r="D20" s="8" t="inlineStr">
        <is>
          <t>광기옥좌</t>
        </is>
      </c>
      <c r="E20" s="8" t="inlineStr">
        <is>
          <t>+30%</t>
        </is>
      </c>
      <c r="F20" s="8" t="inlineStr">
        <is>
          <t>ALL+10</t>
        </is>
      </c>
      <c r="G20" s="8" t="inlineStr">
        <is>
          <t>진명 선언 (방무ATKx8+침묵5초)</t>
        </is>
      </c>
    </row>
    <row r="21">
      <c r="A21" s="9" t="inlineStr">
        <is>
          <t>T4</t>
        </is>
      </c>
      <c r="B21" s="9" t="inlineStr">
        <is>
          <t>우주의 진실</t>
        </is>
      </c>
      <c r="C21" s="9" t="inlineStr">
        <is>
          <t>📙🌌</t>
        </is>
      </c>
      <c r="D21" s="9" t="inlineStr">
        <is>
          <t>광기옥좌</t>
        </is>
      </c>
      <c r="E21" s="9" t="inlineStr">
        <is>
          <t>+35%</t>
        </is>
      </c>
      <c r="F21" s="9" t="inlineStr">
        <is>
          <t>ALL+10%</t>
        </is>
      </c>
      <c r="G21" s="9" t="inlineStr">
        <is>
          <t>우주적 계시 (15초ALL+30%+전맵시야)</t>
        </is>
      </c>
    </row>
    <row r="22">
      <c r="A22" s="8" t="inlineStr"/>
      <c r="B22" s="8" t="inlineStr"/>
      <c r="C22" s="8" t="inlineStr"/>
      <c r="D22" s="8" t="inlineStr"/>
      <c r="E22" s="8" t="inlineStr"/>
      <c r="F22" s="8" t="inlineStr"/>
      <c r="G22" s="8" t="inlineStr"/>
    </row>
    <row r="23">
      <c r="A23" s="9">
        <f>== 오염 단계 (6단계) ===</f>
        <v/>
      </c>
      <c r="B23" s="9" t="inlineStr"/>
      <c r="C23" s="9" t="inlineStr"/>
      <c r="D23" s="9" t="inlineStr"/>
      <c r="E23" s="9" t="inlineStr"/>
      <c r="F23" s="9" t="inlineStr"/>
      <c r="G23" s="9" t="inlineStr"/>
    </row>
    <row r="24">
      <c r="A24" s="8" t="inlineStr">
        <is>
          <t>0~19%</t>
        </is>
      </c>
      <c r="B24" s="8" t="inlineStr">
        <is>
          <t>정상</t>
        </is>
      </c>
      <c r="C24" s="8" t="inlineStr">
        <is>
          <t>😊</t>
        </is>
      </c>
      <c r="D24" s="8" t="inlineStr">
        <is>
          <t>-</t>
        </is>
      </c>
      <c r="E24" s="8" t="inlineStr">
        <is>
          <t>-</t>
        </is>
      </c>
      <c r="F24" s="8" t="inlineStr">
        <is>
          <t>효과 없음</t>
        </is>
      </c>
      <c r="G24" s="8" t="inlineStr"/>
    </row>
    <row r="25">
      <c r="A25" s="9" t="inlineStr">
        <is>
          <t>20~39%</t>
        </is>
      </c>
      <c r="B25" s="9" t="inlineStr">
        <is>
          <t>불안</t>
        </is>
      </c>
      <c r="C25" s="9" t="inlineStr">
        <is>
          <t>😰</t>
        </is>
      </c>
      <c r="D25" s="9" t="inlineStr">
        <is>
          <t>-</t>
        </is>
      </c>
      <c r="E25" s="9" t="inlineStr">
        <is>
          <t>-</t>
        </is>
      </c>
      <c r="F25" s="9" t="inlineStr">
        <is>
          <t>명중-5%, 가끔 환청</t>
        </is>
      </c>
      <c r="G25" s="9" t="inlineStr"/>
    </row>
    <row r="26">
      <c r="A26" s="8" t="inlineStr">
        <is>
          <t>40~59%</t>
        </is>
      </c>
      <c r="B26" s="8" t="inlineStr">
        <is>
          <t>환각</t>
        </is>
      </c>
      <c r="C26" s="8" t="inlineStr">
        <is>
          <t>🌀</t>
        </is>
      </c>
      <c r="D26" s="8" t="inlineStr">
        <is>
          <t>-</t>
        </is>
      </c>
      <c r="E26" s="8" t="inlineStr">
        <is>
          <t>-</t>
        </is>
      </c>
      <c r="F26" s="8" t="inlineStr">
        <is>
          <t>명중-10%, 환각</t>
        </is>
      </c>
      <c r="G26" s="8" t="inlineStr"/>
    </row>
    <row r="27">
      <c r="A27" s="9" t="inlineStr">
        <is>
          <t>60~79%</t>
        </is>
      </c>
      <c r="B27" s="9" t="inlineStr">
        <is>
          <t>침식</t>
        </is>
      </c>
      <c r="C27" s="9" t="inlineStr">
        <is>
          <t>😱</t>
        </is>
      </c>
      <c r="D27" s="9" t="inlineStr">
        <is>
          <t>-</t>
        </is>
      </c>
      <c r="E27" s="9" t="inlineStr">
        <is>
          <t>-</t>
        </is>
      </c>
      <c r="F27" s="9" t="inlineStr">
        <is>
          <t>명중-15%, 초당HP-1</t>
        </is>
      </c>
      <c r="G27" s="9" t="inlineStr"/>
    </row>
    <row r="28">
      <c r="A28" s="8" t="inlineStr">
        <is>
          <t>80~99%</t>
        </is>
      </c>
      <c r="B28" s="8" t="inlineStr">
        <is>
          <t>광기 직전</t>
        </is>
      </c>
      <c r="C28" s="8" t="inlineStr">
        <is>
          <t>🤪</t>
        </is>
      </c>
      <c r="D28" s="8" t="inlineStr">
        <is>
          <t>-</t>
        </is>
      </c>
      <c r="E28" s="8" t="inlineStr">
        <is>
          <t>-</t>
        </is>
      </c>
      <c r="F28" s="8" t="inlineStr">
        <is>
          <t>명중-20%, HP-3, ATK+20%!</t>
        </is>
      </c>
      <c r="G28" s="8" t="inlineStr"/>
    </row>
    <row r="29">
      <c r="A29" s="9" t="inlineStr">
        <is>
          <t>100%</t>
        </is>
      </c>
      <c r="B29" s="9" t="inlineStr">
        <is>
          <t>완전한 광기</t>
        </is>
      </c>
      <c r="C29" s="9" t="inlineStr">
        <is>
          <t>💀🌀</t>
        </is>
      </c>
      <c r="D29" s="9" t="inlineStr">
        <is>
          <t>-</t>
        </is>
      </c>
      <c r="E29" s="9" t="inlineStr">
        <is>
          <t>-</t>
        </is>
      </c>
      <c r="F29" s="9" t="inlineStr">
        <is>
          <t>★ 광기 보스 등장!</t>
        </is>
      </c>
      <c r="G29" s="9" t="inlineStr"/>
    </row>
    <row r="30">
      <c r="A30" s="8" t="inlineStr"/>
      <c r="B30" s="8" t="inlineStr"/>
      <c r="C30" s="8" t="inlineStr"/>
      <c r="D30" s="8" t="inlineStr"/>
      <c r="E30" s="8" t="inlineStr"/>
      <c r="F30" s="8" t="inlineStr"/>
      <c r="G30" s="8" t="inlineStr"/>
    </row>
    <row r="31">
      <c r="A31" s="9">
        <f>== 광기 보스 ===</f>
        <v/>
      </c>
      <c r="B31" s="9" t="inlineStr"/>
      <c r="C31" s="9" t="inlineStr"/>
      <c r="D31" s="9" t="inlineStr"/>
      <c r="E31" s="9" t="inlineStr"/>
      <c r="F31" s="9" t="inlineStr"/>
      <c r="G31" s="9" t="inlineStr"/>
    </row>
    <row r="32">
      <c r="A32" s="8" t="inlineStr">
        <is>
          <t>보스</t>
        </is>
      </c>
      <c r="B32" s="8" t="inlineStr">
        <is>
          <t>광기의 군주 데멘시아</t>
        </is>
      </c>
      <c r="C32" s="8" t="inlineStr">
        <is>
          <t>👁️‍🗨️💀</t>
        </is>
      </c>
      <c r="D32" s="8" t="inlineStr">
        <is>
          <t>-</t>
        </is>
      </c>
      <c r="E32" s="8" t="inlineStr">
        <is>
          <t>HP80K/ATK800/DEF250</t>
        </is>
      </c>
      <c r="F32" s="8" t="inlineStr">
        <is>
          <t>3페이즈: 각성→분노(ATKx1.5)→광란(ATKx2)</t>
        </is>
      </c>
      <c r="G32" s="8" t="inlineStr">
        <is>
          <t>스킬: 현실붕괴, 정신폭풍, 기억소거, 존재부정</t>
        </is>
      </c>
    </row>
    <row r="33">
      <c r="A33" s="9" t="inlineStr">
        <is>
          <t>드롭</t>
        </is>
      </c>
      <c r="B33" s="9" t="inlineStr">
        <is>
          <t>명석의 서 / 광기의 왕관 / 진실의 눈</t>
        </is>
      </c>
      <c r="C33" s="9" t="inlineStr">
        <is>
          <t>📖✨/👑🌀/👁️✨</t>
        </is>
      </c>
      <c r="D33" s="9" t="inlineStr">
        <is>
          <t>-</t>
        </is>
      </c>
      <c r="E33" s="9" t="inlineStr">
        <is>
          <t>-</t>
        </is>
      </c>
      <c r="F33" s="9" t="inlineStr">
        <is>
          <t>ALL+15+오염면역 / 마법+25% / 모든숨긴것시야+ALL+8</t>
        </is>
      </c>
      <c r="G33" s="9" t="inlineStr">
        <is>
          <t>격파시 오염→30%</t>
        </is>
      </c>
    </row>
    <row r="34">
      <c r="A34" s="8" t="inlineStr"/>
      <c r="B34" s="8" t="inlineStr"/>
      <c r="C34" s="8" t="inlineStr"/>
      <c r="D34" s="8" t="inlineStr"/>
      <c r="E34" s="8" t="inlineStr"/>
      <c r="F34" s="8" t="inlineStr"/>
      <c r="G34" s="8" t="inlineStr"/>
    </row>
    <row r="35">
      <c r="A35" s="9" t="inlineStr">
        <is>
          <t>시스템</t>
        </is>
      </c>
      <c r="B35" s="9" t="inlineStr">
        <is>
          <t>정화</t>
        </is>
      </c>
      <c r="C35" s="9" t="inlineStr">
        <is>
          <t>10,000G</t>
        </is>
      </c>
      <c r="D35" s="9" t="inlineStr">
        <is>
          <t>오염-20%</t>
        </is>
      </c>
      <c r="E35" s="9" t="inlineStr">
        <is>
          <t>-</t>
        </is>
      </c>
      <c r="F35" s="9" t="inlineStr">
        <is>
          <t>금서 읽기시 지식조각 획득 (티어x3)</t>
        </is>
      </c>
      <c r="G35" s="9" t="inlineStr">
        <is>
          <t>마법 사용시 오염+2%</t>
        </is>
      </c>
    </row>
  </sheetData>
  <mergeCells count="1">
    <mergeCell ref="A1:G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8" customWidth="1" min="1" max="1"/>
    <col width="22" customWidth="1" min="2" max="2"/>
    <col width="16" customWidth="1" min="3" max="3"/>
    <col width="8" customWidth="1" min="4" max="4"/>
    <col width="5" customWidth="1" min="5" max="5"/>
    <col width="18" customWidth="1" min="6" max="6"/>
    <col width="28" customWidth="1" min="7" max="7"/>
  </cols>
  <sheetData>
    <row r="1">
      <c r="A1" s="6" t="inlineStr">
        <is>
          <t>거수 합체 (v2.49)</t>
        </is>
      </c>
    </row>
    <row r="3">
      <c r="A3" s="7" t="inlineStr">
        <is>
          <t>파츠</t>
        </is>
      </c>
      <c r="B3" s="7" t="inlineStr">
        <is>
          <t>ID</t>
        </is>
      </c>
      <c r="C3" s="7" t="inlineStr">
        <is>
          <t>이름</t>
        </is>
      </c>
      <c r="D3" s="7" t="inlineStr">
        <is>
          <t>아이콘</t>
        </is>
      </c>
      <c r="E3" s="7" t="inlineStr">
        <is>
          <t>티어</t>
        </is>
      </c>
      <c r="F3" s="7" t="inlineStr">
        <is>
          <t>주요 수치</t>
        </is>
      </c>
      <c r="G3" s="7" t="inlineStr">
        <is>
          <t>스킬/특성</t>
        </is>
      </c>
    </row>
    <row r="4">
      <c r="A4" s="8">
        <f>== 머리 (8종) ===</f>
        <v/>
      </c>
      <c r="B4" s="8" t="inlineStr"/>
      <c r="C4" s="8" t="inlineStr"/>
      <c r="D4" s="8" t="inlineStr"/>
      <c r="E4" s="8" t="inlineStr"/>
      <c r="F4" s="8" t="inlineStr"/>
      <c r="G4" s="8" t="inlineStr"/>
    </row>
    <row r="5">
      <c r="A5" s="9" t="inlineStr">
        <is>
          <t>머리</t>
        </is>
      </c>
      <c r="B5" s="9" t="inlineStr">
        <is>
          <t>dragon_head</t>
        </is>
      </c>
      <c r="C5" s="9" t="inlineStr">
        <is>
          <t>용의 머리</t>
        </is>
      </c>
      <c r="D5" s="9" t="inlineStr">
        <is>
          <t>🐉</t>
        </is>
      </c>
      <c r="E5" s="9" t="n">
        <v>4</v>
      </c>
      <c r="F5" s="9" t="inlineStr">
        <is>
          <t>ATK300, x1.5</t>
        </is>
      </c>
      <c r="G5" s="9" t="inlineStr">
        <is>
          <t>화염 브레스</t>
        </is>
      </c>
    </row>
    <row r="6">
      <c r="A6" s="8" t="inlineStr">
        <is>
          <t>머리</t>
        </is>
      </c>
      <c r="B6" s="8" t="inlineStr">
        <is>
          <t>wolf_head</t>
        </is>
      </c>
      <c r="C6" s="8" t="inlineStr">
        <is>
          <t>늑대 머리</t>
        </is>
      </c>
      <c r="D6" s="8" t="inlineStr">
        <is>
          <t>🐺</t>
        </is>
      </c>
      <c r="E6" s="8" t="n">
        <v>2</v>
      </c>
      <c r="F6" s="8" t="inlineStr">
        <is>
          <t>ATK150, x1.2</t>
        </is>
      </c>
      <c r="G6" s="8" t="inlineStr">
        <is>
          <t>맹수의 이빨</t>
        </is>
      </c>
    </row>
    <row r="7">
      <c r="A7" s="9" t="inlineStr">
        <is>
          <t>머리</t>
        </is>
      </c>
      <c r="B7" s="9" t="inlineStr">
        <is>
          <t>snake_head</t>
        </is>
      </c>
      <c r="C7" s="9" t="inlineStr">
        <is>
          <t>뱀의 머리</t>
        </is>
      </c>
      <c r="D7" s="9" t="inlineStr">
        <is>
          <t>🐍</t>
        </is>
      </c>
      <c r="E7" s="9" t="n">
        <v>2</v>
      </c>
      <c r="F7" s="9" t="inlineStr">
        <is>
          <t>ATK120, x1.1</t>
        </is>
      </c>
      <c r="G7" s="9" t="inlineStr">
        <is>
          <t>맹독 송곳니</t>
        </is>
      </c>
    </row>
    <row r="8">
      <c r="A8" s="8" t="inlineStr">
        <is>
          <t>머리</t>
        </is>
      </c>
      <c r="B8" s="8" t="inlineStr">
        <is>
          <t>eagle_head</t>
        </is>
      </c>
      <c r="C8" s="8" t="inlineStr">
        <is>
          <t>독수리 머리</t>
        </is>
      </c>
      <c r="D8" s="8" t="inlineStr">
        <is>
          <t>🦅</t>
        </is>
      </c>
      <c r="E8" s="8" t="n">
        <v>3</v>
      </c>
      <c r="F8" s="8" t="inlineStr">
        <is>
          <t>ATK200, x1.3</t>
        </is>
      </c>
      <c r="G8" s="8" t="inlineStr">
        <is>
          <t>폭풍 부리</t>
        </is>
      </c>
    </row>
    <row r="9">
      <c r="A9" s="9" t="inlineStr">
        <is>
          <t>머리</t>
        </is>
      </c>
      <c r="B9" s="9" t="inlineStr">
        <is>
          <t>demon_head</t>
        </is>
      </c>
      <c r="C9" s="9" t="inlineStr">
        <is>
          <t>악마 머리</t>
        </is>
      </c>
      <c r="D9" s="9" t="inlineStr">
        <is>
          <t>😈</t>
        </is>
      </c>
      <c r="E9" s="9" t="n">
        <v>4</v>
      </c>
      <c r="F9" s="9" t="inlineStr">
        <is>
          <t>ATK350, x1.6</t>
        </is>
      </c>
      <c r="G9" s="9" t="inlineStr">
        <is>
          <t>지옥 포효</t>
        </is>
      </c>
    </row>
    <row r="10">
      <c r="A10" s="8" t="inlineStr">
        <is>
          <t>머리</t>
        </is>
      </c>
      <c r="B10" s="8" t="inlineStr">
        <is>
          <t>lion_head</t>
        </is>
      </c>
      <c r="C10" s="8" t="inlineStr">
        <is>
          <t>사자 머리</t>
        </is>
      </c>
      <c r="D10" s="8" t="inlineStr">
        <is>
          <t>🦁</t>
        </is>
      </c>
      <c r="E10" s="8" t="n">
        <v>3</v>
      </c>
      <c r="F10" s="8" t="inlineStr">
        <is>
          <t>ATK250, x1.4</t>
        </is>
      </c>
      <c r="G10" s="8" t="inlineStr">
        <is>
          <t>왕의 포효</t>
        </is>
      </c>
    </row>
    <row r="11">
      <c r="A11" s="9" t="inlineStr">
        <is>
          <t>머리</t>
        </is>
      </c>
      <c r="B11" s="9" t="inlineStr">
        <is>
          <t>kraken_head</t>
        </is>
      </c>
      <c r="C11" s="9" t="inlineStr">
        <is>
          <t>크라켄 머리</t>
        </is>
      </c>
      <c r="D11" s="9" t="inlineStr">
        <is>
          <t>🐙</t>
        </is>
      </c>
      <c r="E11" s="9" t="n">
        <v>4</v>
      </c>
      <c r="F11" s="9" t="inlineStr">
        <is>
          <t>ATK280, x1.5</t>
        </is>
      </c>
      <c r="G11" s="9" t="inlineStr">
        <is>
          <t>심해 압력</t>
        </is>
      </c>
    </row>
    <row r="12">
      <c r="A12" s="8" t="inlineStr">
        <is>
          <t>머리</t>
        </is>
      </c>
      <c r="B12" s="8" t="inlineStr">
        <is>
          <t>phoenix_head</t>
        </is>
      </c>
      <c r="C12" s="8" t="inlineStr">
        <is>
          <t>불사조 머리</t>
        </is>
      </c>
      <c r="D12" s="8" t="inlineStr">
        <is>
          <t>🔥🐦</t>
        </is>
      </c>
      <c r="E12" s="8" t="n">
        <v>5</v>
      </c>
      <c r="F12" s="8" t="inlineStr">
        <is>
          <t>ATK400, x1.8</t>
        </is>
      </c>
      <c r="G12" s="8" t="inlineStr">
        <is>
          <t>불멸의 불꽃</t>
        </is>
      </c>
    </row>
    <row r="13">
      <c r="A13" s="9" t="inlineStr"/>
      <c r="B13" s="9" t="inlineStr"/>
      <c r="C13" s="9" t="inlineStr"/>
      <c r="D13" s="9" t="inlineStr"/>
      <c r="E13" s="9" t="inlineStr"/>
      <c r="F13" s="9" t="inlineStr"/>
      <c r="G13" s="9" t="inlineStr"/>
    </row>
    <row r="14">
      <c r="A14" s="8">
        <f>== 몸통 (7종) ===</f>
        <v/>
      </c>
      <c r="B14" s="8" t="inlineStr"/>
      <c r="C14" s="8" t="inlineStr"/>
      <c r="D14" s="8" t="inlineStr"/>
      <c r="E14" s="8" t="inlineStr"/>
      <c r="F14" s="8" t="inlineStr"/>
      <c r="G14" s="8" t="inlineStr"/>
    </row>
    <row r="15">
      <c r="A15" s="9" t="inlineStr">
        <is>
          <t>몸</t>
        </is>
      </c>
      <c r="B15" s="9" t="inlineStr">
        <is>
          <t>turtle_body</t>
        </is>
      </c>
      <c r="C15" s="9" t="inlineStr">
        <is>
          <t>거북 몸통</t>
        </is>
      </c>
      <c r="D15" s="9" t="inlineStr">
        <is>
          <t>🐢</t>
        </is>
      </c>
      <c r="E15" s="9" t="n">
        <v>2</v>
      </c>
      <c r="F15" s="9" t="inlineStr">
        <is>
          <t>HP5K, DEF200, x1.5</t>
        </is>
      </c>
      <c r="G15" s="9" t="inlineStr">
        <is>
          <t>철벽 방어</t>
        </is>
      </c>
    </row>
    <row r="16">
      <c r="A16" s="8" t="inlineStr">
        <is>
          <t>몸</t>
        </is>
      </c>
      <c r="B16" s="8" t="inlineStr">
        <is>
          <t>bear_body</t>
        </is>
      </c>
      <c r="C16" s="8" t="inlineStr">
        <is>
          <t>곰 몸통</t>
        </is>
      </c>
      <c r="D16" s="8" t="inlineStr">
        <is>
          <t>🐻</t>
        </is>
      </c>
      <c r="E16" s="8" t="n">
        <v>2</v>
      </c>
      <c r="F16" s="8" t="inlineStr">
        <is>
          <t>HP4K, DEF120, x1.2</t>
        </is>
      </c>
      <c r="G16" s="8" t="inlineStr">
        <is>
          <t>야성의 힘</t>
        </is>
      </c>
    </row>
    <row r="17">
      <c r="A17" s="9" t="inlineStr">
        <is>
          <t>몸</t>
        </is>
      </c>
      <c r="B17" s="9" t="inlineStr">
        <is>
          <t>golem_body</t>
        </is>
      </c>
      <c r="C17" s="9" t="inlineStr">
        <is>
          <t>골렘 몸통</t>
        </is>
      </c>
      <c r="D17" s="9" t="inlineStr">
        <is>
          <t>🗿</t>
        </is>
      </c>
      <c r="E17" s="9" t="n">
        <v>3</v>
      </c>
      <c r="F17" s="9" t="inlineStr">
        <is>
          <t>HP8K, DEF300, x1.6</t>
        </is>
      </c>
      <c r="G17" s="9" t="inlineStr">
        <is>
          <t>바위 껍질</t>
        </is>
      </c>
    </row>
    <row r="18">
      <c r="A18" s="8" t="inlineStr">
        <is>
          <t>몸</t>
        </is>
      </c>
      <c r="B18" s="8" t="inlineStr">
        <is>
          <t>dragon_body</t>
        </is>
      </c>
      <c r="C18" s="8" t="inlineStr">
        <is>
          <t>용 몸통</t>
        </is>
      </c>
      <c r="D18" s="8" t="inlineStr">
        <is>
          <t>🐲</t>
        </is>
      </c>
      <c r="E18" s="8" t="n">
        <v>4</v>
      </c>
      <c r="F18" s="8" t="inlineStr">
        <is>
          <t>HP10K, DEF250, x1.8</t>
        </is>
      </c>
      <c r="G18" s="8" t="inlineStr">
        <is>
          <t>용인 비늘</t>
        </is>
      </c>
    </row>
    <row r="19">
      <c r="A19" s="9" t="inlineStr">
        <is>
          <t>몸</t>
        </is>
      </c>
      <c r="B19" s="9" t="inlineStr">
        <is>
          <t>slime_body</t>
        </is>
      </c>
      <c r="C19" s="9" t="inlineStr">
        <is>
          <t>슬라임 몸통</t>
        </is>
      </c>
      <c r="D19" s="9" t="inlineStr">
        <is>
          <t>🟢</t>
        </is>
      </c>
      <c r="E19" s="9" t="n">
        <v>1</v>
      </c>
      <c r="F19" s="9" t="inlineStr">
        <is>
          <t>HP2K, DEF50, x0.8</t>
        </is>
      </c>
      <c r="G19" s="9" t="inlineStr">
        <is>
          <t>유연체</t>
        </is>
      </c>
    </row>
    <row r="20">
      <c r="A20" s="8" t="inlineStr">
        <is>
          <t>몸</t>
        </is>
      </c>
      <c r="B20" s="8" t="inlineStr">
        <is>
          <t>titan_body</t>
        </is>
      </c>
      <c r="C20" s="8" t="inlineStr">
        <is>
          <t>타이탄 몸통</t>
        </is>
      </c>
      <c r="D20" s="8" t="inlineStr">
        <is>
          <t>🗿⚡</t>
        </is>
      </c>
      <c r="E20" s="8" t="n">
        <v>5</v>
      </c>
      <c r="F20" s="8" t="inlineStr">
        <is>
          <t>HP15K, DEF400, x2.0</t>
        </is>
      </c>
      <c r="G20" s="8" t="inlineStr">
        <is>
          <t>거신의 체구</t>
        </is>
      </c>
    </row>
    <row r="21">
      <c r="A21" s="9" t="inlineStr">
        <is>
          <t>몸</t>
        </is>
      </c>
      <c r="B21" s="9" t="inlineStr">
        <is>
          <t>phantom_body</t>
        </is>
      </c>
      <c r="C21" s="9" t="inlineStr">
        <is>
          <t>환영 몸통</t>
        </is>
      </c>
      <c r="D21" s="9" t="inlineStr">
        <is>
          <t>👻</t>
        </is>
      </c>
      <c r="E21" s="9" t="n">
        <v>3</v>
      </c>
      <c r="F21" s="9" t="inlineStr">
        <is>
          <t>HP3K, DEF100, x1.0</t>
        </is>
      </c>
      <c r="G21" s="9" t="inlineStr">
        <is>
          <t>유체화</t>
        </is>
      </c>
    </row>
    <row r="22">
      <c r="A22" s="8" t="inlineStr"/>
      <c r="B22" s="8" t="inlineStr"/>
      <c r="C22" s="8" t="inlineStr"/>
      <c r="D22" s="8" t="inlineStr"/>
      <c r="E22" s="8" t="inlineStr"/>
      <c r="F22" s="8" t="inlineStr"/>
      <c r="G22" s="8" t="inlineStr"/>
    </row>
    <row r="23">
      <c r="A23" s="9">
        <f>== 꼬리 (7종) ===</f>
        <v/>
      </c>
      <c r="B23" s="9" t="inlineStr"/>
      <c r="C23" s="9" t="inlineStr"/>
      <c r="D23" s="9" t="inlineStr"/>
      <c r="E23" s="9" t="inlineStr"/>
      <c r="F23" s="9" t="inlineStr"/>
      <c r="G23" s="9" t="inlineStr"/>
    </row>
    <row r="24">
      <c r="A24" s="8" t="inlineStr">
        <is>
          <t>꼬리</t>
        </is>
      </c>
      <c r="B24" s="8" t="inlineStr">
        <is>
          <t>scorpion_tail</t>
        </is>
      </c>
      <c r="C24" s="8" t="inlineStr">
        <is>
          <t>전갈 꼬리</t>
        </is>
      </c>
      <c r="D24" s="8" t="inlineStr">
        <is>
          <t>🦂</t>
        </is>
      </c>
      <c r="E24" s="8" t="n">
        <v>2</v>
      </c>
      <c r="F24" s="8" t="inlineStr">
        <is>
          <t>power80</t>
        </is>
      </c>
      <c r="G24" s="8" t="inlineStr">
        <is>
          <t>독침 DPS80</t>
        </is>
      </c>
    </row>
    <row r="25">
      <c r="A25" s="9" t="inlineStr">
        <is>
          <t>꼬리</t>
        </is>
      </c>
      <c r="B25" s="9" t="inlineStr">
        <is>
          <t>dragon_tail</t>
        </is>
      </c>
      <c r="C25" s="9" t="inlineStr">
        <is>
          <t>용 꼬리</t>
        </is>
      </c>
      <c r="D25" s="9" t="inlineStr">
        <is>
          <t>🐉</t>
        </is>
      </c>
      <c r="E25" s="9" t="n">
        <v>4</v>
      </c>
      <c r="F25" s="9" t="inlineStr">
        <is>
          <t>power200</t>
        </is>
      </c>
      <c r="G25" s="9" t="inlineStr">
        <is>
          <t>꼬리 휩쓸기 범위200</t>
        </is>
      </c>
    </row>
    <row r="26">
      <c r="A26" s="8" t="inlineStr">
        <is>
          <t>꼬리</t>
        </is>
      </c>
      <c r="B26" s="8" t="inlineStr">
        <is>
          <t>fox_tail</t>
        </is>
      </c>
      <c r="C26" s="8" t="inlineStr">
        <is>
          <t>여우 꼬리</t>
        </is>
      </c>
      <c r="D26" s="8" t="inlineStr">
        <is>
          <t>🦊</t>
        </is>
      </c>
      <c r="E26" s="8" t="n">
        <v>2</v>
      </c>
      <c r="F26" s="8" t="inlineStr">
        <is>
          <t>power100</t>
        </is>
      </c>
      <c r="G26" s="8" t="inlineStr">
        <is>
          <t>3초 매혹(행동불가)</t>
        </is>
      </c>
    </row>
    <row r="27">
      <c r="A27" s="9" t="inlineStr">
        <is>
          <t>꼬리</t>
        </is>
      </c>
      <c r="B27" s="9" t="inlineStr">
        <is>
          <t>whale_tail</t>
        </is>
      </c>
      <c r="C27" s="9" t="inlineStr">
        <is>
          <t>고래 꼬리</t>
        </is>
      </c>
      <c r="D27" s="9" t="inlineStr">
        <is>
          <t>🐋</t>
        </is>
      </c>
      <c r="E27" s="9" t="n">
        <v>3</v>
      </c>
      <c r="F27" s="9" t="inlineStr">
        <is>
          <t>power180</t>
        </is>
      </c>
      <c r="G27" s="9" t="inlineStr">
        <is>
          <t>쓰나미 범위+넉백</t>
        </is>
      </c>
    </row>
    <row r="28">
      <c r="A28" s="8" t="inlineStr">
        <is>
          <t>꼬리</t>
        </is>
      </c>
      <c r="B28" s="8" t="inlineStr">
        <is>
          <t>serpent_tail</t>
        </is>
      </c>
      <c r="C28" s="8" t="inlineStr">
        <is>
          <t>대뱀 꼬리</t>
        </is>
      </c>
      <c r="D28" s="8" t="inlineStr">
        <is>
          <t>🐍</t>
        </is>
      </c>
      <c r="E28" s="8" t="n">
        <v>3</v>
      </c>
      <c r="F28" s="8" t="inlineStr">
        <is>
          <t>power150</t>
        </is>
      </c>
      <c r="G28" s="8" t="inlineStr">
        <is>
          <t>3초 속박+DPS</t>
        </is>
      </c>
    </row>
    <row r="29">
      <c r="A29" s="9" t="inlineStr">
        <is>
          <t>꼬리</t>
        </is>
      </c>
      <c r="B29" s="9" t="inlineStr">
        <is>
          <t>meteor_tail</t>
        </is>
      </c>
      <c r="C29" s="9" t="inlineStr">
        <is>
          <t>운석 꼬리</t>
        </is>
      </c>
      <c r="D29" s="9" t="inlineStr">
        <is>
          <t>☄️</t>
        </is>
      </c>
      <c r="E29" s="9" t="n">
        <v>5</v>
      </c>
      <c r="F29" s="9" t="inlineStr">
        <is>
          <t>power350</t>
        </is>
      </c>
      <c r="G29" s="9" t="inlineStr">
        <is>
          <t>운석 낙하 범위350</t>
        </is>
      </c>
    </row>
    <row r="30">
      <c r="A30" s="8" t="inlineStr">
        <is>
          <t>꼬리</t>
        </is>
      </c>
      <c r="B30" s="8" t="inlineStr">
        <is>
          <t>crystal_tail</t>
        </is>
      </c>
      <c r="C30" s="8" t="inlineStr">
        <is>
          <t>수정 꼬리</t>
        </is>
      </c>
      <c r="D30" s="8" t="inlineStr">
        <is>
          <t>💎</t>
        </is>
      </c>
      <c r="E30" s="8" t="n">
        <v>3</v>
      </c>
      <c r="F30" s="8" t="inlineStr">
        <is>
          <t>power120</t>
        </is>
      </c>
      <c r="G30" s="8" t="inlineStr">
        <is>
          <t>데미지 20% 반사</t>
        </is>
      </c>
    </row>
    <row r="31">
      <c r="A31" s="9" t="inlineStr"/>
      <c r="B31" s="9" t="inlineStr"/>
      <c r="C31" s="9" t="inlineStr"/>
      <c r="D31" s="9" t="inlineStr"/>
      <c r="E31" s="9" t="inlineStr"/>
      <c r="F31" s="9" t="inlineStr"/>
      <c r="G31" s="9" t="inlineStr"/>
    </row>
    <row r="32">
      <c r="A32" s="8">
        <f>== 시너지 (5종) ===</f>
        <v/>
      </c>
      <c r="B32" s="8" t="inlineStr"/>
      <c r="C32" s="8" t="inlineStr"/>
      <c r="D32" s="8" t="inlineStr"/>
      <c r="E32" s="8" t="inlineStr"/>
      <c r="F32" s="8" t="inlineStr"/>
      <c r="G32" s="8" t="inlineStr"/>
    </row>
    <row r="33">
      <c r="A33" s="9" t="inlineStr">
        <is>
          <t>시너지</t>
        </is>
      </c>
      <c r="B33" s="9" t="inlineStr">
        <is>
          <t>순혈 드래곤</t>
        </is>
      </c>
      <c r="C33" s="9" t="inlineStr">
        <is>
          <t>🐉🐉🐉</t>
        </is>
      </c>
      <c r="D33" s="9" t="inlineStr">
        <is>
          <t>용머리+용몸+용꼬리</t>
        </is>
      </c>
      <c r="E33" s="9" t="inlineStr">
        <is>
          <t>전체 x1.5</t>
        </is>
      </c>
      <c r="F33" s="9" t="inlineStr">
        <is>
          <t>궁극: 용제의 심판</t>
        </is>
      </c>
    </row>
    <row r="34">
      <c r="A34" s="8" t="inlineStr">
        <is>
          <t>시너지</t>
        </is>
      </c>
      <c r="B34" s="8" t="inlineStr">
        <is>
          <t>고전 키메라</t>
        </is>
      </c>
      <c r="C34" s="8" t="inlineStr">
        <is>
          <t>🦁🗿🐍</t>
        </is>
      </c>
      <c r="D34" s="8" t="inlineStr">
        <is>
          <t>사자+골렘+대뱀</t>
        </is>
      </c>
      <c r="E34" s="8" t="inlineStr">
        <is>
          <t>ATK/DEF x1.3</t>
        </is>
      </c>
      <c r="F34" s="8" t="inlineStr">
        <is>
          <t>-</t>
        </is>
      </c>
    </row>
    <row r="35">
      <c r="A35" s="9" t="inlineStr">
        <is>
          <t>시너지</t>
        </is>
      </c>
      <c r="B35" s="9" t="inlineStr">
        <is>
          <t>해왕 리바이어선</t>
        </is>
      </c>
      <c r="C35" s="9" t="inlineStr">
        <is>
          <t>🐙🐲🐋</t>
        </is>
      </c>
      <c r="D35" s="9" t="inlineStr">
        <is>
          <t>크라켄+용몸+고래</t>
        </is>
      </c>
      <c r="E35" s="9" t="inlineStr">
        <is>
          <t>수속+50%+쓰나미</t>
        </is>
      </c>
      <c r="F35" s="9" t="inlineStr">
        <is>
          <t>-</t>
        </is>
      </c>
    </row>
    <row r="36">
      <c r="A36" s="8" t="inlineStr">
        <is>
          <t>시너지</t>
        </is>
      </c>
      <c r="B36" s="8" t="inlineStr">
        <is>
          <t>지옥의 종말수</t>
        </is>
      </c>
      <c r="C36" s="8" t="inlineStr">
        <is>
          <t>😈🗿☄️</t>
        </is>
      </c>
      <c r="D36" s="8" t="inlineStr">
        <is>
          <t>악마+타이탄+운석</t>
        </is>
      </c>
      <c r="E36" s="8" t="inlineStr">
        <is>
          <t>전체 x2.0+화속+30%</t>
        </is>
      </c>
      <c r="F36" s="8" t="inlineStr">
        <is>
          <t>-</t>
        </is>
      </c>
    </row>
    <row r="37">
      <c r="A37" s="9" t="inlineStr">
        <is>
          <t>시너지</t>
        </is>
      </c>
      <c r="B37" s="9" t="inlineStr">
        <is>
          <t>불멸의 봉황</t>
        </is>
      </c>
      <c r="C37" s="9" t="inlineStr">
        <is>
          <t>🔥👻💎</t>
        </is>
      </c>
      <c r="D37" s="9" t="inlineStr">
        <is>
          <t>불사조+환영+수정</t>
        </is>
      </c>
      <c r="E37" s="9" t="inlineStr">
        <is>
          <t>부활1회+반사15%</t>
        </is>
      </c>
      <c r="F37" s="9" t="inlineStr">
        <is>
          <t>-</t>
        </is>
      </c>
    </row>
    <row r="38">
      <c r="A38" s="8" t="inlineStr"/>
      <c r="B38" s="8" t="inlineStr"/>
      <c r="C38" s="8" t="inlineStr"/>
      <c r="D38" s="8" t="inlineStr"/>
      <c r="E38" s="8" t="inlineStr"/>
      <c r="F38" s="8" t="inlineStr"/>
      <c r="G38" s="8" t="inlineStr"/>
    </row>
    <row r="39">
      <c r="A39" s="9">
        <f>== 거수 레이드 (3종) ===</f>
        <v/>
      </c>
      <c r="B39" s="9" t="inlineStr"/>
      <c r="C39" s="9" t="inlineStr"/>
      <c r="D39" s="9" t="inlineStr"/>
      <c r="E39" s="9" t="inlineStr"/>
      <c r="F39" s="9" t="inlineStr"/>
      <c r="G39" s="9" t="inlineStr"/>
    </row>
    <row r="40">
      <c r="A40" s="8" t="inlineStr">
        <is>
          <t>레이드</t>
        </is>
      </c>
      <c r="B40" s="8" t="inlineStr">
        <is>
          <t>원초의 타이탄</t>
        </is>
      </c>
      <c r="C40" s="8" t="inlineStr">
        <is>
          <t>🗿👑</t>
        </is>
      </c>
      <c r="D40" s="8" t="inlineStr">
        <is>
          <t>HP200K, ATK1K</t>
        </is>
      </c>
      <c r="E40" s="8" t="inlineStr">
        <is>
          <t>전투력 3000+</t>
        </is>
      </c>
      <c r="F40" s="8" t="inlineStr">
        <is>
          <t>100KG / 50K EXP</t>
        </is>
      </c>
    </row>
    <row r="41">
      <c r="A41" s="9" t="inlineStr">
        <is>
          <t>레이드</t>
        </is>
      </c>
      <c r="B41" s="9" t="inlineStr">
        <is>
          <t>공허의 리바이어선</t>
        </is>
      </c>
      <c r="C41" s="9" t="inlineStr">
        <is>
          <t>🐋🕳️</t>
        </is>
      </c>
      <c r="D41" s="9" t="inlineStr">
        <is>
          <t>HP300K, ATK800</t>
        </is>
      </c>
      <c r="E41" s="9" t="inlineStr">
        <is>
          <t>전투력 5000+</t>
        </is>
      </c>
      <c r="F41" s="9" t="inlineStr">
        <is>
          <t>150KG / 80K EXP</t>
        </is>
      </c>
    </row>
    <row r="42">
      <c r="A42" s="8" t="inlineStr">
        <is>
          <t>레이드</t>
        </is>
      </c>
      <c r="B42" s="8" t="inlineStr">
        <is>
          <t>우주의 히드라</t>
        </is>
      </c>
      <c r="C42" s="8" t="inlineStr">
        <is>
          <t>🐉🌌</t>
        </is>
      </c>
      <c r="D42" s="8" t="inlineStr">
        <is>
          <t>HP500K, ATK1.2K</t>
        </is>
      </c>
      <c r="E42" s="8" t="inlineStr">
        <is>
          <t>전투력 8000+</t>
        </is>
      </c>
      <c r="F42" s="8" t="inlineStr">
        <is>
          <t>250KG / 120K EXP</t>
        </is>
      </c>
    </row>
  </sheetData>
  <mergeCells count="1">
    <mergeCell ref="A1:G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8" customWidth="1" min="1" max="1"/>
    <col width="18" customWidth="1" min="2" max="2"/>
    <col width="8" customWidth="1" min="3" max="3"/>
    <col width="16" customWidth="1" min="4" max="4"/>
    <col width="16" customWidth="1" min="5" max="5"/>
    <col width="30" customWidth="1" min="6" max="6"/>
  </cols>
  <sheetData>
    <row r="1">
      <c r="A1" s="6" t="inlineStr">
        <is>
          <t>상인 캐러밴 (v2.50)</t>
        </is>
      </c>
    </row>
    <row r="3">
      <c r="A3" s="7" t="inlineStr">
        <is>
          <t>항목</t>
        </is>
      </c>
      <c r="B3" s="7" t="inlineStr">
        <is>
          <t>이름</t>
        </is>
      </c>
      <c r="C3" s="7" t="inlineStr">
        <is>
          <t>아이콘</t>
        </is>
      </c>
      <c r="D3" s="7" t="inlineStr">
        <is>
          <t>특산품</t>
        </is>
      </c>
      <c r="E3" s="7" t="inlineStr">
        <is>
          <t>매입/매각</t>
        </is>
      </c>
      <c r="F3" s="7" t="inlineStr">
        <is>
          <t>위험도/거리</t>
        </is>
      </c>
    </row>
    <row r="4">
      <c r="A4" s="8">
        <f>== 교역 도시 (8개) ===</f>
        <v/>
      </c>
      <c r="B4" s="8" t="inlineStr"/>
      <c r="C4" s="8" t="inlineStr"/>
      <c r="D4" s="8" t="inlineStr"/>
      <c r="E4" s="8" t="inlineStr"/>
      <c r="F4" s="8" t="inlineStr"/>
    </row>
    <row r="5">
      <c r="A5" s="9" t="inlineStr">
        <is>
          <t>도시</t>
        </is>
      </c>
      <c r="B5" s="9" t="inlineStr">
        <is>
          <t>수정 항구</t>
        </is>
      </c>
      <c r="C5" s="9" t="inlineStr">
        <is>
          <t>💎🏘️</t>
        </is>
      </c>
      <c r="D5" s="9" t="inlineStr">
        <is>
          <t>수정 원석</t>
        </is>
      </c>
      <c r="E5" s="9" t="inlineStr">
        <is>
          <t>100/250</t>
        </is>
      </c>
      <c r="F5" s="9" t="inlineStr">
        <is>
          <t>위험1 / 거리1</t>
        </is>
      </c>
    </row>
    <row r="6">
      <c r="A6" s="8" t="inlineStr">
        <is>
          <t>도시</t>
        </is>
      </c>
      <c r="B6" s="8" t="inlineStr">
        <is>
          <t>철의 대장간</t>
        </is>
      </c>
      <c r="C6" s="8" t="inlineStr">
        <is>
          <t>⚒️🏘️</t>
        </is>
      </c>
      <c r="D6" s="8" t="inlineStr">
        <is>
          <t>정련 철광</t>
        </is>
      </c>
      <c r="E6" s="8" t="inlineStr">
        <is>
          <t>80/200</t>
        </is>
      </c>
      <c r="F6" s="8" t="inlineStr">
        <is>
          <t>위험2 / 거리2</t>
        </is>
      </c>
    </row>
    <row r="7">
      <c r="A7" s="9" t="inlineStr">
        <is>
          <t>도시</t>
        </is>
      </c>
      <c r="B7" s="9" t="inlineStr">
        <is>
          <t>비단 정원</t>
        </is>
      </c>
      <c r="C7" s="9" t="inlineStr">
        <is>
          <t>🧵🏘️</t>
        </is>
      </c>
      <c r="D7" s="9" t="inlineStr">
        <is>
          <t>마법 비단</t>
        </is>
      </c>
      <c r="E7" s="9" t="inlineStr">
        <is>
          <t>120/300</t>
        </is>
      </c>
      <c r="F7" s="9" t="inlineStr">
        <is>
          <t>위험1 / 거리1</t>
        </is>
      </c>
    </row>
    <row r="8">
      <c r="A8" s="8" t="inlineStr">
        <is>
          <t>도시</t>
        </is>
      </c>
      <c r="B8" s="8" t="inlineStr">
        <is>
          <t>향신료 시장</t>
        </is>
      </c>
      <c r="C8" s="8" t="inlineStr">
        <is>
          <t>🌶️🏘️</t>
        </is>
      </c>
      <c r="D8" s="8" t="inlineStr">
        <is>
          <t>고대 향신료</t>
        </is>
      </c>
      <c r="E8" s="8" t="inlineStr">
        <is>
          <t>150/350</t>
        </is>
      </c>
      <c r="F8" s="8" t="inlineStr">
        <is>
          <t>위험2 / 거리2</t>
        </is>
      </c>
    </row>
    <row r="9">
      <c r="A9" s="9" t="inlineStr">
        <is>
          <t>도시</t>
        </is>
      </c>
      <c r="B9" s="9" t="inlineStr">
        <is>
          <t>룬 성소</t>
        </is>
      </c>
      <c r="C9" s="9" t="inlineStr">
        <is>
          <t>📜🏘️</t>
        </is>
      </c>
      <c r="D9" s="9" t="inlineStr">
        <is>
          <t>룬 조각</t>
        </is>
      </c>
      <c r="E9" s="9" t="inlineStr">
        <is>
          <t>200/500</t>
        </is>
      </c>
      <c r="F9" s="9" t="inlineStr">
        <is>
          <t>위험3 / 거리3</t>
        </is>
      </c>
    </row>
    <row r="10">
      <c r="A10" s="8" t="inlineStr">
        <is>
          <t>도시</t>
        </is>
      </c>
      <c r="B10" s="8" t="inlineStr">
        <is>
          <t>그림자 바자르</t>
        </is>
      </c>
      <c r="C10" s="8" t="inlineStr">
        <is>
          <t>🌑🏘️</t>
        </is>
      </c>
      <c r="D10" s="8" t="inlineStr">
        <is>
          <t>금지품</t>
        </is>
      </c>
      <c r="E10" s="8" t="inlineStr">
        <is>
          <t>300/800</t>
        </is>
      </c>
      <c r="F10" s="8" t="inlineStr">
        <is>
          <t>위험4 / 거리4</t>
        </is>
      </c>
    </row>
    <row r="11">
      <c r="A11" s="9" t="inlineStr">
        <is>
          <t>도시</t>
        </is>
      </c>
      <c r="B11" s="9" t="inlineStr">
        <is>
          <t>용봉우리</t>
        </is>
      </c>
      <c r="C11" s="9" t="inlineStr">
        <is>
          <t>🐉🏘️</t>
        </is>
      </c>
      <c r="D11" s="9" t="inlineStr">
        <is>
          <t>용의 보석</t>
        </is>
      </c>
      <c r="E11" s="9" t="inlineStr">
        <is>
          <t>500/1500</t>
        </is>
      </c>
      <c r="F11" s="9" t="inlineStr">
        <is>
          <t>위험5 / 거리5</t>
        </is>
      </c>
    </row>
    <row r="12">
      <c r="A12" s="8" t="inlineStr">
        <is>
          <t>도시</t>
        </is>
      </c>
      <c r="B12" s="8" t="inlineStr">
        <is>
          <t>천상 항구</t>
        </is>
      </c>
      <c r="C12" s="8" t="inlineStr">
        <is>
          <t>✨🏘️</t>
        </is>
      </c>
      <c r="D12" s="8" t="inlineStr">
        <is>
          <t>별빛 정수</t>
        </is>
      </c>
      <c r="E12" s="8" t="inlineStr">
        <is>
          <t>400/1200</t>
        </is>
      </c>
      <c r="F12" s="8" t="inlineStr">
        <is>
          <t>위험4 / 거리3</t>
        </is>
      </c>
    </row>
    <row r="13">
      <c r="A13" s="9" t="inlineStr"/>
      <c r="B13" s="9" t="inlineStr"/>
      <c r="C13" s="9" t="inlineStr"/>
      <c r="D13" s="9" t="inlineStr"/>
      <c r="E13" s="9" t="inlineStr"/>
      <c r="F13" s="9" t="inlineStr"/>
    </row>
    <row r="14">
      <c r="A14" s="8">
        <f>== 업그레이드 (5종) ===</f>
        <v/>
      </c>
      <c r="B14" s="8" t="inlineStr"/>
      <c r="C14" s="8" t="inlineStr"/>
      <c r="D14" s="8" t="inlineStr"/>
      <c r="E14" s="8" t="inlineStr"/>
      <c r="F14" s="8" t="inlineStr"/>
    </row>
    <row r="15">
      <c r="A15" s="9" t="inlineStr">
        <is>
          <t>업그</t>
        </is>
      </c>
      <c r="B15" s="9" t="inlineStr">
        <is>
          <t>마차</t>
        </is>
      </c>
      <c r="C15" s="9" t="inlineStr">
        <is>
          <t>🛒</t>
        </is>
      </c>
      <c r="D15" s="9" t="inlineStr">
        <is>
          <t>Lv.1~5</t>
        </is>
      </c>
      <c r="E15" s="9" t="inlineStr">
        <is>
          <t>5000G×Lv</t>
        </is>
      </c>
      <c r="F15" s="9" t="inlineStr">
        <is>
          <t>적재량 +10/Lv</t>
        </is>
      </c>
    </row>
    <row r="16">
      <c r="A16" s="8" t="inlineStr">
        <is>
          <t>업그</t>
        </is>
      </c>
      <c r="B16" s="8" t="inlineStr">
        <is>
          <t>호위대</t>
        </is>
      </c>
      <c r="C16" s="8" t="inlineStr">
        <is>
          <t>⚔️</t>
        </is>
      </c>
      <c r="D16" s="8" t="inlineStr">
        <is>
          <t>Lv.1~5</t>
        </is>
      </c>
      <c r="E16" s="8" t="inlineStr">
        <is>
          <t>8000G×Lv</t>
        </is>
      </c>
      <c r="F16" s="8" t="inlineStr">
        <is>
          <t>방어력 +50/Lv</t>
        </is>
      </c>
    </row>
    <row r="17">
      <c r="A17" s="9" t="inlineStr">
        <is>
          <t>업그</t>
        </is>
      </c>
      <c r="B17" s="9" t="inlineStr">
        <is>
          <t>마법 바퀴</t>
        </is>
      </c>
      <c r="C17" s="9" t="inlineStr">
        <is>
          <t>💨</t>
        </is>
      </c>
      <c r="D17" s="9" t="inlineStr">
        <is>
          <t>Lv.1~5</t>
        </is>
      </c>
      <c r="E17" s="9" t="inlineStr">
        <is>
          <t>6000G×Lv</t>
        </is>
      </c>
      <c r="F17" s="9" t="inlineStr">
        <is>
          <t>이동시간 -1분/Lv</t>
        </is>
      </c>
    </row>
    <row r="18">
      <c r="A18" s="8" t="inlineStr">
        <is>
          <t>업그</t>
        </is>
      </c>
      <c r="B18" s="8" t="inlineStr">
        <is>
          <t>숙련 상인</t>
        </is>
      </c>
      <c r="C18" s="8" t="inlineStr">
        <is>
          <t>🧑‍💼</t>
        </is>
      </c>
      <c r="D18" s="8" t="inlineStr">
        <is>
          <t>Lv.1~3</t>
        </is>
      </c>
      <c r="E18" s="8" t="inlineStr">
        <is>
          <t>15000G×Lv</t>
        </is>
      </c>
      <c r="F18" s="8" t="inlineStr">
        <is>
          <t>판매가격 +10%/Lv</t>
        </is>
      </c>
    </row>
    <row r="19">
      <c r="A19" s="9" t="inlineStr">
        <is>
          <t>업그</t>
        </is>
      </c>
      <c r="B19" s="9" t="inlineStr">
        <is>
          <t>정찰대</t>
        </is>
      </c>
      <c r="C19" s="9" t="inlineStr">
        <is>
          <t>🔭</t>
        </is>
      </c>
      <c r="D19" s="9" t="inlineStr">
        <is>
          <t>Lv.1~3</t>
        </is>
      </c>
      <c r="E19" s="9" t="inlineStr">
        <is>
          <t>10000G×Lv</t>
        </is>
      </c>
      <c r="F19" s="9" t="inlineStr">
        <is>
          <t>도적 회피 +15%/Lv</t>
        </is>
      </c>
    </row>
    <row r="20">
      <c r="A20" s="8" t="inlineStr"/>
      <c r="B20" s="8" t="inlineStr"/>
      <c r="C20" s="8" t="inlineStr"/>
      <c r="D20" s="8" t="inlineStr"/>
      <c r="E20" s="8" t="inlineStr"/>
      <c r="F20" s="8" t="inlineStr"/>
    </row>
    <row r="21">
      <c r="A21" s="9">
        <f>== 도적 (5종) ===</f>
        <v/>
      </c>
      <c r="B21" s="9" t="inlineStr"/>
      <c r="C21" s="9" t="inlineStr"/>
      <c r="D21" s="9" t="inlineStr"/>
      <c r="E21" s="9" t="inlineStr"/>
      <c r="F21" s="9" t="inlineStr"/>
    </row>
    <row r="22">
      <c r="A22" s="8" t="inlineStr">
        <is>
          <t>도적</t>
        </is>
      </c>
      <c r="B22" s="8" t="inlineStr">
        <is>
          <t>좀도둑</t>
        </is>
      </c>
      <c r="C22" s="8" t="inlineStr">
        <is>
          <t>🏴‍☠️</t>
        </is>
      </c>
      <c r="D22" s="8" t="inlineStr">
        <is>
          <t>전투력50</t>
        </is>
      </c>
      <c r="E22" s="8" t="inlineStr">
        <is>
          <t>물건10% 약탈</t>
        </is>
      </c>
      <c r="F22" s="8" t="inlineStr">
        <is>
          <t>방어력50 이상 격퇴</t>
        </is>
      </c>
    </row>
    <row r="23">
      <c r="A23" s="9" t="inlineStr">
        <is>
          <t>도적</t>
        </is>
      </c>
      <c r="B23" s="9" t="inlineStr">
        <is>
          <t>도적단</t>
        </is>
      </c>
      <c r="C23" s="9" t="inlineStr">
        <is>
          <t>⚔️🏴</t>
        </is>
      </c>
      <c r="D23" s="9" t="inlineStr">
        <is>
          <t>전투력150</t>
        </is>
      </c>
      <c r="E23" s="9" t="inlineStr">
        <is>
          <t>물건20% 약탈</t>
        </is>
      </c>
      <c r="F23" s="9" t="inlineStr">
        <is>
          <t>방어력150 이상 격퇴</t>
        </is>
      </c>
    </row>
    <row r="24">
      <c r="A24" s="8" t="inlineStr">
        <is>
          <t>도적</t>
        </is>
      </c>
      <c r="B24" s="8" t="inlineStr">
        <is>
          <t>암흑 습격대</t>
        </is>
      </c>
      <c r="C24" s="8" t="inlineStr">
        <is>
          <t>🌑⚔️</t>
        </is>
      </c>
      <c r="D24" s="8" t="inlineStr">
        <is>
          <t>전투력300</t>
        </is>
      </c>
      <c r="E24" s="8" t="inlineStr">
        <is>
          <t>물건30% 약탈</t>
        </is>
      </c>
      <c r="F24" s="8" t="inlineStr">
        <is>
          <t>방어력300 이상 격퇴</t>
        </is>
      </c>
    </row>
    <row r="25">
      <c r="A25" s="9" t="inlineStr">
        <is>
          <t>도적</t>
        </is>
      </c>
      <c r="B25" s="9" t="inlineStr">
        <is>
          <t>용기사 도적단</t>
        </is>
      </c>
      <c r="C25" s="9" t="inlineStr">
        <is>
          <t>🐉🏴</t>
        </is>
      </c>
      <c r="D25" s="9" t="inlineStr">
        <is>
          <t>전투력500</t>
        </is>
      </c>
      <c r="E25" s="9" t="inlineStr">
        <is>
          <t>물건50% 약탈</t>
        </is>
      </c>
      <c r="F25" s="9" t="inlineStr">
        <is>
          <t>방어력500 이상 격퇴</t>
        </is>
      </c>
    </row>
    <row r="26">
      <c r="A26" s="8" t="inlineStr">
        <is>
          <t>도적</t>
        </is>
      </c>
      <c r="B26" s="8" t="inlineStr">
        <is>
          <t>공허 해적단</t>
        </is>
      </c>
      <c r="C26" s="8" t="inlineStr">
        <is>
          <t>🕳️🏴</t>
        </is>
      </c>
      <c r="D26" s="8" t="inlineStr">
        <is>
          <t>전투력800</t>
        </is>
      </c>
      <c r="E26" s="8" t="inlineStr">
        <is>
          <t>물건70% 약탈</t>
        </is>
      </c>
      <c r="F26" s="8" t="inlineStr">
        <is>
          <t>방어력800 이상 격퇴</t>
        </is>
      </c>
    </row>
    <row r="27">
      <c r="A27" s="9" t="inlineStr"/>
      <c r="B27" s="9" t="inlineStr"/>
      <c r="C27" s="9" t="inlineStr"/>
      <c r="D27" s="9" t="inlineStr"/>
      <c r="E27" s="9" t="inlineStr"/>
      <c r="F27" s="9" t="inlineStr"/>
    </row>
    <row r="28">
      <c r="A28" s="8" t="inlineStr">
        <is>
          <t>시스템</t>
        </is>
      </c>
      <c r="B28" s="8" t="inlineStr">
        <is>
          <t>설립비</t>
        </is>
      </c>
      <c r="C28" s="8" t="inlineStr">
        <is>
          <t>20,000G</t>
        </is>
      </c>
      <c r="D28" s="8" t="inlineStr">
        <is>
          <t>Lv.20+</t>
        </is>
      </c>
      <c r="E28" s="8" t="inlineStr">
        <is>
          <t>기본 적재량 20</t>
        </is>
      </c>
      <c r="F28" s="8" t="inlineStr">
        <is>
          <t>상인등급: 견습→행상인→무역상→대상인→무역왕→전설의상인</t>
        </is>
      </c>
    </row>
    <row r="29">
      <c r="A29" s="9" t="inlineStr">
        <is>
          <t>시스템</t>
        </is>
      </c>
      <c r="B29" s="9" t="inlineStr">
        <is>
          <t>여행 이벤트</t>
        </is>
      </c>
      <c r="C29" s="9" t="inlineStr">
        <is>
          <t>8종 랜덤</t>
        </is>
      </c>
      <c r="D29" s="9" t="inlineStr">
        <is>
          <t>거리 기반</t>
        </is>
      </c>
      <c r="E29" s="9" t="inlineStr">
        <is>
          <t>최대24시간축적</t>
        </is>
      </c>
      <c r="F29" s="9" t="inlineStr">
        <is>
          <t>오아시스/유랑상인/보물/지름길/폭풍우/파손/밀수/축제</t>
        </is>
      </c>
    </row>
  </sheetData>
  <mergeCells count="1">
    <mergeCell ref="A1:F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0" customWidth="1" min="1" max="1"/>
    <col width="18" customWidth="1" min="2" max="2"/>
    <col width="8" customWidth="1" min="3" max="3"/>
    <col width="18" customWidth="1" min="4" max="4"/>
    <col width="22" customWidth="1" min="5" max="5"/>
    <col width="30" customWidth="1" min="6" max="6"/>
  </cols>
  <sheetData>
    <row r="1">
      <c r="A1" s="6" t="inlineStr">
        <is>
          <t>기억 궁전 (v2.51)</t>
        </is>
      </c>
    </row>
    <row r="3">
      <c r="A3" s="7" t="inlineStr">
        <is>
          <t>항목</t>
        </is>
      </c>
      <c r="B3" s="7" t="inlineStr">
        <is>
          <t>이름</t>
        </is>
      </c>
      <c r="C3" s="7" t="inlineStr">
        <is>
          <t>아이콘</t>
        </is>
      </c>
      <c r="D3" s="7" t="inlineStr">
        <is>
          <t>추적 스탯</t>
        </is>
      </c>
      <c r="E3" s="7" t="inlineStr">
        <is>
          <t>해금 조건</t>
        </is>
      </c>
      <c r="F3" s="7" t="inlineStr">
        <is>
          <t>각인 보상</t>
        </is>
      </c>
    </row>
    <row r="4">
      <c r="A4" s="8">
        <f>== 기억 유형 (6종) ===</f>
        <v/>
      </c>
      <c r="B4" s="8" t="inlineStr"/>
      <c r="C4" s="8" t="inlineStr"/>
      <c r="D4" s="8" t="inlineStr"/>
      <c r="E4" s="8" t="inlineStr"/>
      <c r="F4" s="8" t="inlineStr"/>
    </row>
    <row r="5">
      <c r="A5" s="9" t="inlineStr">
        <is>
          <t>기억</t>
        </is>
      </c>
      <c r="B5" s="9" t="inlineStr">
        <is>
          <t>전투의 기억</t>
        </is>
      </c>
      <c r="C5" s="9" t="inlineStr">
        <is>
          <t>⚔️🧠</t>
        </is>
      </c>
      <c r="D5" s="9" t="inlineStr">
        <is>
          <t>monstersKilled</t>
        </is>
      </c>
      <c r="E5" s="9" t="inlineStr">
        <is>
          <t>처치 50+</t>
        </is>
      </c>
      <c r="F5" s="9" t="inlineStr">
        <is>
          <t>전사의 메아리: ATK+10</t>
        </is>
      </c>
    </row>
    <row r="6">
      <c r="A6" s="8" t="inlineStr">
        <is>
          <t>기억</t>
        </is>
      </c>
      <c r="B6" s="8" t="inlineStr">
        <is>
          <t>죽음의 기억</t>
        </is>
      </c>
      <c r="C6" s="8" t="inlineStr">
        <is>
          <t>💀🧠</t>
        </is>
      </c>
      <c r="D6" s="8" t="inlineStr">
        <is>
          <t>deaths</t>
        </is>
      </c>
      <c r="E6" s="8" t="inlineStr">
        <is>
          <t>사망 5+</t>
        </is>
      </c>
      <c r="F6" s="8" t="inlineStr">
        <is>
          <t>생존자의 각인: HP+50, DEF+5</t>
        </is>
      </c>
    </row>
    <row r="7">
      <c r="A7" s="9" t="inlineStr">
        <is>
          <t>기억</t>
        </is>
      </c>
      <c r="B7" s="9" t="inlineStr">
        <is>
          <t>보물의 기억</t>
        </is>
      </c>
      <c r="C7" s="9" t="inlineStr">
        <is>
          <t>💎🧠</t>
        </is>
      </c>
      <c r="D7" s="9" t="inlineStr">
        <is>
          <t>goldEarned</t>
        </is>
      </c>
      <c r="E7" s="9" t="inlineStr">
        <is>
          <t>골드 100K+</t>
        </is>
      </c>
      <c r="F7" s="9" t="inlineStr">
        <is>
          <t>행운의 봉인: 골드+5%, 드롭+3%</t>
        </is>
      </c>
    </row>
    <row r="8">
      <c r="A8" s="8" t="inlineStr">
        <is>
          <t>기억</t>
        </is>
      </c>
      <c r="B8" s="8" t="inlineStr">
        <is>
          <t>여정의 기억</t>
        </is>
      </c>
      <c r="C8" s="8" t="inlineStr">
        <is>
          <t>🗺️🧠</t>
        </is>
      </c>
      <c r="D8" s="8" t="inlineStr">
        <is>
          <t>zonesVisited</t>
        </is>
      </c>
      <c r="E8" s="8" t="inlineStr">
        <is>
          <t>존 10+</t>
        </is>
      </c>
      <c r="F8" s="8" t="inlineStr">
        <is>
          <t>방랑자의 낙인: 속도+5%, EXP+5%</t>
        </is>
      </c>
    </row>
    <row r="9">
      <c r="A9" s="9" t="inlineStr">
        <is>
          <t>기억</t>
        </is>
      </c>
      <c r="B9" s="9" t="inlineStr">
        <is>
          <t>인연의 기억</t>
        </is>
      </c>
      <c r="C9" s="9" t="inlineStr">
        <is>
          <t>🤝🧠</t>
        </is>
      </c>
      <c r="D9" s="9" t="inlineStr">
        <is>
          <t>interactions</t>
        </is>
      </c>
      <c r="E9" s="9" t="inlineStr">
        <is>
          <t>상호작용 20+</t>
        </is>
      </c>
      <c r="F9" s="9" t="inlineStr">
        <is>
          <t>인연의 문장: 힐+8%, ALL+3</t>
        </is>
      </c>
    </row>
    <row r="10">
      <c r="A10" s="8" t="inlineStr">
        <is>
          <t>기억</t>
        </is>
      </c>
      <c r="B10" s="8" t="inlineStr">
        <is>
          <t>힘의 기억</t>
        </is>
      </c>
      <c r="C10" s="8" t="inlineStr">
        <is>
          <t>💪🧠</t>
        </is>
      </c>
      <c r="D10" s="8" t="inlineStr">
        <is>
          <t>maxDamage</t>
        </is>
      </c>
      <c r="E10" s="8" t="inlineStr">
        <is>
          <t>최대뎀 1000+</t>
        </is>
      </c>
      <c r="F10" s="8" t="inlineStr">
        <is>
          <t>힘의 상형문자: 크뎀+10%, ATK+15</t>
        </is>
      </c>
    </row>
    <row r="11">
      <c r="A11" s="9" t="inlineStr">
        <is>
          <t>마스터</t>
        </is>
      </c>
      <c r="B11" s="9" t="inlineStr">
        <is>
          <t>기억의 주인</t>
        </is>
      </c>
      <c r="C11" s="9" t="inlineStr">
        <is>
          <t>🧠👑</t>
        </is>
      </c>
      <c r="D11" s="9" t="inlineStr">
        <is>
          <t>전체 클리어</t>
        </is>
      </c>
      <c r="E11" s="9" t="inlineStr">
        <is>
          <t>18회+</t>
        </is>
      </c>
      <c r="F11" s="9" t="inlineStr">
        <is>
          <t>ALL+10 + 기억의 힘 해금</t>
        </is>
      </c>
    </row>
    <row r="12">
      <c r="A12" s="8" t="inlineStr"/>
      <c r="B12" s="8" t="inlineStr"/>
      <c r="C12" s="8" t="inlineStr"/>
      <c r="D12" s="8" t="inlineStr"/>
      <c r="E12" s="8" t="inlineStr"/>
      <c r="F12" s="8" t="inlineStr"/>
    </row>
    <row r="13">
      <c r="A13" s="9">
        <f>== 난이도 (5단계) ===</f>
        <v/>
      </c>
      <c r="B13" s="9" t="inlineStr"/>
      <c r="C13" s="9" t="inlineStr"/>
      <c r="D13" s="9" t="inlineStr"/>
      <c r="E13" s="9" t="inlineStr"/>
      <c r="F13" s="9" t="inlineStr"/>
    </row>
    <row r="14">
      <c r="A14" s="8" t="inlineStr">
        <is>
          <t>난이도</t>
        </is>
      </c>
      <c r="B14" s="8" t="inlineStr">
        <is>
          <t>희미한 기억</t>
        </is>
      </c>
      <c r="C14" s="8" t="inlineStr">
        <is>
          <t>🌫️</t>
        </is>
      </c>
      <c r="D14" s="8" t="inlineStr">
        <is>
          <t>적 x0.7</t>
        </is>
      </c>
      <c r="E14" s="8" t="inlineStr">
        <is>
          <t>보상 x0.8</t>
        </is>
      </c>
      <c r="F14" s="8" t="inlineStr"/>
    </row>
    <row r="15">
      <c r="A15" s="9" t="inlineStr">
        <is>
          <t>난이도</t>
        </is>
      </c>
      <c r="B15" s="9" t="inlineStr">
        <is>
          <t>선명한 기억</t>
        </is>
      </c>
      <c r="C15" s="9" t="inlineStr">
        <is>
          <t>🔍</t>
        </is>
      </c>
      <c r="D15" s="9" t="inlineStr">
        <is>
          <t>적 x1.0</t>
        </is>
      </c>
      <c r="E15" s="9" t="inlineStr">
        <is>
          <t>보상 x1.0</t>
        </is>
      </c>
      <c r="F15" s="9" t="inlineStr"/>
    </row>
    <row r="16">
      <c r="A16" s="8" t="inlineStr">
        <is>
          <t>난이도</t>
        </is>
      </c>
      <c r="B16" s="8" t="inlineStr">
        <is>
          <t>생생한 기억</t>
        </is>
      </c>
      <c r="C16" s="8" t="inlineStr">
        <is>
          <t>✨</t>
        </is>
      </c>
      <c r="D16" s="8" t="inlineStr">
        <is>
          <t>적 x1.5</t>
        </is>
      </c>
      <c r="E16" s="8" t="inlineStr">
        <is>
          <t>보상 x1.5</t>
        </is>
      </c>
      <c r="F16" s="8" t="inlineStr"/>
    </row>
    <row r="17">
      <c r="A17" s="9" t="inlineStr">
        <is>
          <t>난이도</t>
        </is>
      </c>
      <c r="B17" s="9" t="inlineStr">
        <is>
          <t>악몽의 기억</t>
        </is>
      </c>
      <c r="C17" s="9" t="inlineStr">
        <is>
          <t>😱</t>
        </is>
      </c>
      <c r="D17" s="9" t="inlineStr">
        <is>
          <t>적 x2.0</t>
        </is>
      </c>
      <c r="E17" s="9" t="inlineStr">
        <is>
          <t>보상 x2.5</t>
        </is>
      </c>
      <c r="F17" s="9" t="inlineStr"/>
    </row>
    <row r="18">
      <c r="A18" s="8" t="inlineStr">
        <is>
          <t>난이도</t>
        </is>
      </c>
      <c r="B18" s="8" t="inlineStr">
        <is>
          <t>영원의 기억</t>
        </is>
      </c>
      <c r="C18" s="8" t="inlineStr">
        <is>
          <t>♾️</t>
        </is>
      </c>
      <c r="D18" s="8" t="inlineStr">
        <is>
          <t>적 x3.0</t>
        </is>
      </c>
      <c r="E18" s="8" t="inlineStr">
        <is>
          <t>보상 x4.0</t>
        </is>
      </c>
      <c r="F18" s="8" t="inlineStr"/>
    </row>
    <row r="19">
      <c r="A19" s="9" t="inlineStr"/>
      <c r="B19" s="9" t="inlineStr"/>
      <c r="C19" s="9" t="inlineStr"/>
      <c r="D19" s="9" t="inlineStr"/>
      <c r="E19" s="9" t="inlineStr"/>
      <c r="F19" s="9" t="inlineStr"/>
    </row>
    <row r="20">
      <c r="A20" s="8" t="inlineStr">
        <is>
          <t>시스템</t>
        </is>
      </c>
      <c r="B20" s="8" t="inlineStr">
        <is>
          <t>입장 조건</t>
        </is>
      </c>
      <c r="C20" s="8" t="inlineStr">
        <is>
          <t>Lv.25+</t>
        </is>
      </c>
      <c r="D20" s="8" t="inlineStr">
        <is>
          <t>기억 유형별 3회 클리어시 각인</t>
        </is>
      </c>
      <c r="E20" s="8" t="inlineStr">
        <is>
          <t>각인 = 영구 스탯 보너스</t>
        </is>
      </c>
      <c r="F20" s="8" t="inlineStr">
        <is>
          <t>적: 과거 기록 기반 생성</t>
        </is>
      </c>
    </row>
  </sheetData>
  <mergeCells count="1">
    <mergeCell ref="A1:F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8" customWidth="1" min="1" max="1"/>
    <col width="16" customWidth="1" min="2" max="2"/>
    <col width="8" customWidth="1" min="3" max="3"/>
    <col width="12" customWidth="1" min="4" max="4"/>
    <col width="14" customWidth="1" min="5" max="5"/>
    <col width="36" customWidth="1" min="6" max="6"/>
  </cols>
  <sheetData>
    <row r="1">
      <c r="A1" s="6" t="inlineStr">
        <is>
          <t>마왕의 옥좌 (v2.52)</t>
        </is>
      </c>
    </row>
    <row r="3">
      <c r="A3" s="7" t="inlineStr">
        <is>
          <t>항목</t>
        </is>
      </c>
      <c r="B3" s="7" t="inlineStr">
        <is>
          <t>이름</t>
        </is>
      </c>
      <c r="C3" s="7" t="inlineStr">
        <is>
          <t>아이콘</t>
        </is>
      </c>
      <c r="D3" s="7" t="inlineStr">
        <is>
          <t>티어/조건</t>
        </is>
      </c>
      <c r="E3" s="7" t="inlineStr">
        <is>
          <t>비용/수치</t>
        </is>
      </c>
      <c r="F3" s="7" t="inlineStr">
        <is>
          <t>효과</t>
        </is>
      </c>
    </row>
    <row r="4">
      <c r="A4" s="8">
        <f>== 마왕 스킬 (6종) ===</f>
        <v/>
      </c>
      <c r="B4" s="8" t="inlineStr"/>
      <c r="C4" s="8" t="inlineStr"/>
      <c r="D4" s="8" t="inlineStr"/>
      <c r="E4" s="8" t="inlineStr"/>
      <c r="F4" s="8" t="inlineStr"/>
    </row>
    <row r="5">
      <c r="A5" s="9" t="inlineStr">
        <is>
          <t>스킬</t>
        </is>
      </c>
      <c r="B5" s="9" t="inlineStr">
        <is>
          <t>암흑 오라</t>
        </is>
      </c>
      <c r="C5" s="9" t="inlineStr">
        <is>
          <t>🌑</t>
        </is>
      </c>
      <c r="D5" s="9" t="inlineStr">
        <is>
          <t>T1</t>
        </is>
      </c>
      <c r="E5" s="9" t="inlineStr">
        <is>
          <t>SP 0</t>
        </is>
      </c>
      <c r="F5" s="9" t="inlineStr">
        <is>
          <t>부하 DEF+10%, 암속+5%</t>
        </is>
      </c>
    </row>
    <row r="6">
      <c r="A6" s="8" t="inlineStr">
        <is>
          <t>스킬</t>
        </is>
      </c>
      <c r="B6" s="8" t="inlineStr">
        <is>
          <t>공포의 외침</t>
        </is>
      </c>
      <c r="C6" s="8" t="inlineStr">
        <is>
          <t>😱</t>
        </is>
      </c>
      <c r="D6" s="8" t="inlineStr">
        <is>
          <t>T1</t>
        </is>
      </c>
      <c r="E6" s="8" t="inlineStr">
        <is>
          <t>SP 5</t>
        </is>
      </c>
      <c r="F6" s="8" t="inlineStr">
        <is>
          <t>토벌대 5초 공포 (CD60)</t>
        </is>
      </c>
    </row>
    <row r="7">
      <c r="A7" s="9" t="inlineStr">
        <is>
          <t>스킬</t>
        </is>
      </c>
      <c r="B7" s="9" t="inlineStr">
        <is>
          <t>정예 소환</t>
        </is>
      </c>
      <c r="C7" s="9" t="inlineStr">
        <is>
          <t>👹+</t>
        </is>
      </c>
      <c r="D7" s="9" t="inlineStr">
        <is>
          <t>T2</t>
        </is>
      </c>
      <c r="E7" s="9" t="inlineStr">
        <is>
          <t>SP 10</t>
        </is>
      </c>
      <c r="F7" s="9" t="inlineStr">
        <is>
          <t>정예 부하 즉시 소환 (CD90)</t>
        </is>
      </c>
    </row>
    <row r="8">
      <c r="A8" s="8" t="inlineStr">
        <is>
          <t>스킬</t>
        </is>
      </c>
      <c r="B8" s="8" t="inlineStr">
        <is>
          <t>죽음의 세금</t>
        </is>
      </c>
      <c r="C8" s="8" t="inlineStr">
        <is>
          <t>💀💰</t>
        </is>
      </c>
      <c r="D8" s="8" t="inlineStr">
        <is>
          <t>T2</t>
        </is>
      </c>
      <c r="E8" s="8" t="inlineStr">
        <is>
          <t>SP 15</t>
        </is>
      </c>
      <c r="F8" s="8" t="inlineStr">
        <is>
          <t>토벌대 처치시 골드 5% 강탈</t>
        </is>
      </c>
    </row>
    <row r="9">
      <c r="A9" s="9" t="inlineStr">
        <is>
          <t>스킬</t>
        </is>
      </c>
      <c r="B9" s="9" t="inlineStr">
        <is>
          <t>옥좌의 결계</t>
        </is>
      </c>
      <c r="C9" s="9" t="inlineStr">
        <is>
          <t>🛡️👑</t>
        </is>
      </c>
      <c r="D9" s="9" t="inlineStr">
        <is>
          <t>T3</t>
        </is>
      </c>
      <c r="E9" s="9" t="inlineStr">
        <is>
          <t>SP 25</t>
        </is>
      </c>
      <c r="F9" s="9" t="inlineStr">
        <is>
          <t>보호막 5000HP (CD120)</t>
        </is>
      </c>
    </row>
    <row r="10">
      <c r="A10" s="8" t="inlineStr">
        <is>
          <t>스킬</t>
        </is>
      </c>
      <c r="B10" s="8" t="inlineStr">
        <is>
          <t>종말 선언</t>
        </is>
      </c>
      <c r="C10" s="8" t="inlineStr">
        <is>
          <t>💀🔥</t>
        </is>
      </c>
      <c r="D10" s="8" t="inlineStr">
        <is>
          <t>T4</t>
        </is>
      </c>
      <c r="E10" s="8" t="inlineStr">
        <is>
          <t>SP 50</t>
        </is>
      </c>
      <c r="F10" s="8" t="inlineStr">
        <is>
          <t>ATKx10 범위 공격 (CD180)</t>
        </is>
      </c>
    </row>
    <row r="11">
      <c r="A11" s="9" t="inlineStr"/>
      <c r="B11" s="9" t="inlineStr"/>
      <c r="C11" s="9" t="inlineStr"/>
      <c r="D11" s="9" t="inlineStr"/>
      <c r="E11" s="9" t="inlineStr"/>
      <c r="F11" s="9" t="inlineStr"/>
    </row>
    <row r="12">
      <c r="A12" s="8">
        <f>== 부하 (6종) ===</f>
        <v/>
      </c>
      <c r="B12" s="8" t="inlineStr"/>
      <c r="C12" s="8" t="inlineStr"/>
      <c r="D12" s="8" t="inlineStr"/>
      <c r="E12" s="8" t="inlineStr"/>
      <c r="F12" s="8" t="inlineStr"/>
    </row>
    <row r="13">
      <c r="A13" s="9" t="inlineStr">
        <is>
          <t>부하</t>
        </is>
      </c>
      <c r="B13" s="9" t="inlineStr">
        <is>
          <t>임프</t>
        </is>
      </c>
      <c r="C13" s="9" t="inlineStr">
        <is>
          <t>👿</t>
        </is>
      </c>
      <c r="D13" s="9" t="inlineStr">
        <is>
          <t>T1</t>
        </is>
      </c>
      <c r="E13" s="9" t="inlineStr">
        <is>
          <t>1,000G</t>
        </is>
      </c>
      <c r="F13" s="9" t="inlineStr">
        <is>
          <t>HP300/ATK40/DEF10</t>
        </is>
      </c>
    </row>
    <row r="14">
      <c r="A14" s="8" t="inlineStr">
        <is>
          <t>부하</t>
        </is>
      </c>
      <c r="B14" s="8" t="inlineStr">
        <is>
          <t>스켈레톤</t>
        </is>
      </c>
      <c r="C14" s="8" t="inlineStr">
        <is>
          <t>💀</t>
        </is>
      </c>
      <c r="D14" s="8" t="inlineStr">
        <is>
          <t>T1</t>
        </is>
      </c>
      <c r="E14" s="8" t="inlineStr">
        <is>
          <t>1,500G</t>
        </is>
      </c>
      <c r="F14" s="8" t="inlineStr">
        <is>
          <t>HP500/ATK50/DEF30</t>
        </is>
      </c>
    </row>
    <row r="15">
      <c r="A15" s="9" t="inlineStr">
        <is>
          <t>부하</t>
        </is>
      </c>
      <c r="B15" s="9" t="inlineStr">
        <is>
          <t>암흑 기사</t>
        </is>
      </c>
      <c r="C15" s="9" t="inlineStr">
        <is>
          <t>🗡️🌑</t>
        </is>
      </c>
      <c r="D15" s="9" t="inlineStr">
        <is>
          <t>T2</t>
        </is>
      </c>
      <c r="E15" s="9" t="inlineStr">
        <is>
          <t>5,000G</t>
        </is>
      </c>
      <c r="F15" s="9" t="inlineStr">
        <is>
          <t>HP1500/ATK120/DEF80 + 암흑참격</t>
        </is>
      </c>
    </row>
    <row r="16">
      <c r="A16" s="8" t="inlineStr">
        <is>
          <t>부하</t>
        </is>
      </c>
      <c r="B16" s="8" t="inlineStr">
        <is>
          <t>네크로맨서</t>
        </is>
      </c>
      <c r="C16" s="8" t="inlineStr">
        <is>
          <t>💀🔮</t>
        </is>
      </c>
      <c r="D16" s="8" t="inlineStr">
        <is>
          <t>T2</t>
        </is>
      </c>
      <c r="E16" s="8" t="inlineStr">
        <is>
          <t>6,000G</t>
        </is>
      </c>
      <c r="F16" s="8" t="inlineStr">
        <is>
          <t>HP800/ATK150/DEF40 + 언데드소환</t>
        </is>
      </c>
    </row>
    <row r="17">
      <c r="A17" s="9" t="inlineStr">
        <is>
          <t>부하</t>
        </is>
      </c>
      <c r="B17" s="9" t="inlineStr">
        <is>
          <t>악마 근위대</t>
        </is>
      </c>
      <c r="C17" s="9" t="inlineStr">
        <is>
          <t>😈🛡️</t>
        </is>
      </c>
      <c r="D17" s="9" t="inlineStr">
        <is>
          <t>T3</t>
        </is>
      </c>
      <c r="E17" s="9" t="inlineStr">
        <is>
          <t>15,000G</t>
        </is>
      </c>
      <c r="F17" s="9" t="inlineStr">
        <is>
          <t>HP3000/ATK200/DEF150 + 마왕호위</t>
        </is>
      </c>
    </row>
    <row r="18">
      <c r="A18" s="8" t="inlineStr">
        <is>
          <t>부하</t>
        </is>
      </c>
      <c r="B18" s="8" t="inlineStr">
        <is>
          <t>흑룡</t>
        </is>
      </c>
      <c r="C18" s="8" t="inlineStr">
        <is>
          <t>🐉🌑</t>
        </is>
      </c>
      <c r="D18" s="8" t="inlineStr">
        <is>
          <t>T4</t>
        </is>
      </c>
      <c r="E18" s="8" t="inlineStr">
        <is>
          <t>50,000G</t>
        </is>
      </c>
      <c r="F18" s="8" t="inlineStr">
        <is>
          <t>HP8000/ATK400/DEF200 + 암흑브레스</t>
        </is>
      </c>
    </row>
    <row r="19">
      <c r="A19" s="9" t="inlineStr"/>
      <c r="B19" s="9" t="inlineStr"/>
      <c r="C19" s="9" t="inlineStr"/>
      <c r="D19" s="9" t="inlineStr"/>
      <c r="E19" s="9" t="inlineStr"/>
      <c r="F19" s="9" t="inlineStr"/>
    </row>
    <row r="20">
      <c r="A20" s="8" t="inlineStr">
        <is>
          <t>시스템</t>
        </is>
      </c>
      <c r="B20" s="8" t="inlineStr">
        <is>
          <t>즉위 조건</t>
        </is>
      </c>
      <c r="C20" s="8" t="inlineStr">
        <is>
          <t>Lv.40+</t>
        </is>
      </c>
      <c r="D20" s="8" t="inlineStr">
        <is>
          <t>비용 100,000G</t>
        </is>
      </c>
      <c r="E20" s="8" t="inlineStr">
        <is>
          <t>옥좌HP 10,000</t>
        </is>
      </c>
      <c r="F20" s="8" t="inlineStr">
        <is>
          <t>시간당 2000G+500EXP / 부하 최대5명</t>
        </is>
      </c>
    </row>
    <row r="21">
      <c r="A21" s="9" t="inlineStr">
        <is>
          <t>시스템</t>
        </is>
      </c>
      <c r="B21" s="9" t="inlineStr">
        <is>
          <t>토벌전</t>
        </is>
      </c>
      <c r="C21" s="9" t="inlineStr">
        <is>
          <t>자동 방어</t>
        </is>
      </c>
      <c r="D21" s="9" t="inlineStr">
        <is>
          <t>부하→옥좌 순</t>
        </is>
      </c>
      <c r="E21" s="9" t="inlineStr">
        <is>
          <t>격퇴시 세금+1SP</t>
        </is>
      </c>
      <c r="F21" s="9" t="inlineStr">
        <is>
          <t>옥좌 파괴시 퇴위</t>
        </is>
      </c>
    </row>
  </sheetData>
  <mergeCells count="1">
    <mergeCell ref="A1:F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8" customWidth="1" min="1" max="1"/>
    <col width="18" customWidth="1" min="2" max="2"/>
    <col width="8" customWidth="1" min="3" max="3"/>
    <col width="28" customWidth="1" min="4" max="4"/>
    <col width="22" customWidth="1" min="5" max="5"/>
    <col width="18" customWidth="1" min="6" max="6"/>
  </cols>
  <sheetData>
    <row r="1">
      <c r="A1" s="6" t="inlineStr">
        <is>
          <t>천상 대장간 (v2.53)</t>
        </is>
      </c>
    </row>
    <row r="3">
      <c r="A3" s="7" t="inlineStr">
        <is>
          <t>항목</t>
        </is>
      </c>
      <c r="B3" s="7" t="inlineStr">
        <is>
          <t>이름</t>
        </is>
      </c>
      <c r="C3" s="7" t="inlineStr">
        <is>
          <t>아이콘</t>
        </is>
      </c>
      <c r="D3" s="7" t="inlineStr">
        <is>
          <t>재료</t>
        </is>
      </c>
      <c r="E3" s="7" t="inlineStr">
        <is>
          <t>기본스탯</t>
        </is>
      </c>
      <c r="F3" s="7" t="inlineStr">
        <is>
          <t>등급</t>
        </is>
      </c>
    </row>
    <row r="4">
      <c r="A4" s="8">
        <f>== 신의 재료 (7종) ===</f>
        <v/>
      </c>
      <c r="B4" s="8" t="inlineStr"/>
      <c r="C4" s="8" t="inlineStr"/>
      <c r="D4" s="8" t="inlineStr"/>
      <c r="E4" s="8" t="inlineStr"/>
      <c r="F4" s="8" t="inlineStr"/>
    </row>
    <row r="5">
      <c r="A5" s="9" t="inlineStr">
        <is>
          <t>재료</t>
        </is>
      </c>
      <c r="B5" s="9" t="inlineStr">
        <is>
          <t>별의 철</t>
        </is>
      </c>
      <c r="C5" s="9" t="inlineStr">
        <is>
          <t>⭐⚙️</t>
        </is>
      </c>
      <c r="D5" s="9" t="inlineStr">
        <is>
          <t>T1</t>
        </is>
      </c>
      <c r="E5" s="9" t="inlineStr">
        <is>
          <t>보스 드롭</t>
        </is>
      </c>
      <c r="F5" s="9" t="inlineStr">
        <is>
          <t>-</t>
        </is>
      </c>
    </row>
    <row r="6">
      <c r="A6" s="8" t="inlineStr">
        <is>
          <t>재료</t>
        </is>
      </c>
      <c r="B6" s="8" t="inlineStr">
        <is>
          <t>달의 은</t>
        </is>
      </c>
      <c r="C6" s="8" t="inlineStr">
        <is>
          <t>🌙🥈</t>
        </is>
      </c>
      <c r="D6" s="8" t="inlineStr">
        <is>
          <t>T2</t>
        </is>
      </c>
      <c r="E6" s="8" t="inlineStr">
        <is>
          <t>달빛 성역</t>
        </is>
      </c>
      <c r="F6" s="8" t="inlineStr">
        <is>
          <t>-</t>
        </is>
      </c>
    </row>
    <row r="7">
      <c r="A7" s="9" t="inlineStr">
        <is>
          <t>재료</t>
        </is>
      </c>
      <c r="B7" s="9" t="inlineStr">
        <is>
          <t>태양의 금</t>
        </is>
      </c>
      <c r="C7" s="9" t="inlineStr">
        <is>
          <t>☀️🥇</t>
        </is>
      </c>
      <c r="D7" s="9" t="inlineStr">
        <is>
          <t>T3</t>
        </is>
      </c>
      <c r="E7" s="9" t="inlineStr">
        <is>
          <t>별자리 전쟁</t>
        </is>
      </c>
      <c r="F7" s="9" t="inlineStr">
        <is>
          <t>-</t>
        </is>
      </c>
    </row>
    <row r="8">
      <c r="A8" s="8" t="inlineStr">
        <is>
          <t>재료</t>
        </is>
      </c>
      <c r="B8" s="8" t="inlineStr">
        <is>
          <t>공허 수정</t>
        </is>
      </c>
      <c r="C8" s="8" t="inlineStr">
        <is>
          <t>🕳️💎</t>
        </is>
      </c>
      <c r="D8" s="8" t="inlineStr">
        <is>
          <t>T3</t>
        </is>
      </c>
      <c r="E8" s="8" t="inlineStr">
        <is>
          <t>심연 던전</t>
        </is>
      </c>
      <c r="F8" s="8" t="inlineStr">
        <is>
          <t>-</t>
        </is>
      </c>
    </row>
    <row r="9">
      <c r="A9" s="9" t="inlineStr">
        <is>
          <t>재료</t>
        </is>
      </c>
      <c r="B9" s="9" t="inlineStr">
        <is>
          <t>용의 눈물</t>
        </is>
      </c>
      <c r="C9" s="9" t="inlineStr">
        <is>
          <t>🐉💧</t>
        </is>
      </c>
      <c r="D9" s="9" t="inlineStr">
        <is>
          <t>T4</t>
        </is>
      </c>
      <c r="E9" s="9" t="inlineStr">
        <is>
          <t>거수 레이드</t>
        </is>
      </c>
      <c r="F9" s="9" t="inlineStr">
        <is>
          <t>-</t>
        </is>
      </c>
    </row>
    <row r="10">
      <c r="A10" s="8" t="inlineStr">
        <is>
          <t>재료</t>
        </is>
      </c>
      <c r="B10" s="8" t="inlineStr">
        <is>
          <t>신의 파편</t>
        </is>
      </c>
      <c r="C10" s="8" t="inlineStr">
        <is>
          <t>✨🔮</t>
        </is>
      </c>
      <c r="D10" s="8" t="inlineStr">
        <is>
          <t>T5</t>
        </is>
      </c>
      <c r="E10" s="8" t="inlineStr">
        <is>
          <t>환영 투기장 신등급</t>
        </is>
      </c>
      <c r="F10" s="8" t="inlineStr">
        <is>
          <t>-</t>
        </is>
      </c>
    </row>
    <row r="11">
      <c r="A11" s="9" t="inlineStr">
        <is>
          <t>재료</t>
        </is>
      </c>
      <c r="B11" s="9" t="inlineStr">
        <is>
          <t>혼돈의 정수</t>
        </is>
      </c>
      <c r="C11" s="9" t="inlineStr">
        <is>
          <t>🌀💜</t>
        </is>
      </c>
      <c r="D11" s="9" t="inlineStr">
        <is>
          <t>T5</t>
        </is>
      </c>
      <c r="E11" s="9" t="inlineStr">
        <is>
          <t>저주던전 완전저주 클리어</t>
        </is>
      </c>
      <c r="F11" s="9" t="inlineStr">
        <is>
          <t>-</t>
        </is>
      </c>
    </row>
    <row r="12">
      <c r="A12" s="8" t="inlineStr"/>
      <c r="B12" s="8" t="inlineStr"/>
      <c r="C12" s="8" t="inlineStr"/>
      <c r="D12" s="8" t="inlineStr"/>
      <c r="E12" s="8" t="inlineStr"/>
      <c r="F12" s="8" t="inlineStr"/>
    </row>
    <row r="13">
      <c r="A13" s="9">
        <f>== 레시피 (8종) ===</f>
        <v/>
      </c>
      <c r="B13" s="9" t="inlineStr"/>
      <c r="C13" s="9" t="inlineStr"/>
      <c r="D13" s="9" t="inlineStr"/>
      <c r="E13" s="9" t="inlineStr"/>
      <c r="F13" s="9" t="inlineStr"/>
    </row>
    <row r="14">
      <c r="A14" s="8" t="inlineStr">
        <is>
          <t>무기</t>
        </is>
      </c>
      <c r="B14" s="8" t="inlineStr">
        <is>
          <t>성락검</t>
        </is>
      </c>
      <c r="C14" s="8" t="inlineStr">
        <is>
          <t>⚔️⭐</t>
        </is>
      </c>
      <c r="D14" s="8" t="inlineStr">
        <is>
          <t>별철x5+달은x3</t>
        </is>
      </c>
      <c r="E14" s="8" t="inlineStr">
        <is>
          <t>ATK100</t>
        </is>
      </c>
      <c r="F14" s="8" t="inlineStr">
        <is>
          <t>전설 (50KG)</t>
        </is>
      </c>
    </row>
    <row r="15">
      <c r="A15" s="9" t="inlineStr">
        <is>
          <t>무기</t>
        </is>
      </c>
      <c r="B15" s="9" t="inlineStr">
        <is>
          <t>태양화 지팡이</t>
        </is>
      </c>
      <c r="C15" s="9" t="inlineStr">
        <is>
          <t>🪄☀️</t>
        </is>
      </c>
      <c r="D15" s="9" t="inlineStr">
        <is>
          <t>태양금x3+별철x3</t>
        </is>
      </c>
      <c r="E15" s="9" t="inlineStr">
        <is>
          <t>ATK80+마법+15%</t>
        </is>
      </c>
      <c r="F15" s="9" t="inlineStr">
        <is>
          <t>전설 (50KG)</t>
        </is>
      </c>
    </row>
    <row r="16">
      <c r="A16" s="8" t="inlineStr">
        <is>
          <t>무기</t>
        </is>
      </c>
      <c r="B16" s="8" t="inlineStr">
        <is>
          <t>공허의 낫</t>
        </is>
      </c>
      <c r="C16" s="8" t="inlineStr">
        <is>
          <t>⚔️🕳️</t>
        </is>
      </c>
      <c r="D16" s="8" t="inlineStr">
        <is>
          <t>공허수정x5+혼돈정수x2</t>
        </is>
      </c>
      <c r="E16" s="8" t="inlineStr">
        <is>
          <t>ATK150+흡혈10%</t>
        </is>
      </c>
      <c r="F16" s="8" t="inlineStr">
        <is>
          <t>신화 (100KG)</t>
        </is>
      </c>
    </row>
    <row r="17">
      <c r="A17" s="9" t="inlineStr">
        <is>
          <t>무기</t>
        </is>
      </c>
      <c r="B17" s="9" t="inlineStr">
        <is>
          <t>신의 분노</t>
        </is>
      </c>
      <c r="C17" s="9" t="inlineStr">
        <is>
          <t>⚔️✨</t>
        </is>
      </c>
      <c r="D17" s="9" t="inlineStr">
        <is>
          <t>신파편x3+용눈물x2+태양금x3</t>
        </is>
      </c>
      <c r="E17" s="9" t="inlineStr">
        <is>
          <t>ATK200+ALL10</t>
        </is>
      </c>
      <c r="F17" s="9" t="inlineStr">
        <is>
          <t>신성 (200KG)</t>
        </is>
      </c>
    </row>
    <row r="18">
      <c r="A18" s="8" t="inlineStr">
        <is>
          <t>방어</t>
        </is>
      </c>
      <c r="B18" s="8" t="inlineStr">
        <is>
          <t>월광 갑옷</t>
        </is>
      </c>
      <c r="C18" s="8" t="inlineStr">
        <is>
          <t>🛡️🌙</t>
        </is>
      </c>
      <c r="D18" s="8" t="inlineStr">
        <is>
          <t>달은x5+별철x3</t>
        </is>
      </c>
      <c r="E18" s="8" t="inlineStr">
        <is>
          <t>DEF80+HP200</t>
        </is>
      </c>
      <c r="F18" s="8" t="inlineStr">
        <is>
          <t>전설 (50KG)</t>
        </is>
      </c>
    </row>
    <row r="19">
      <c r="A19" s="9" t="inlineStr">
        <is>
          <t>방어</t>
        </is>
      </c>
      <c r="B19" s="9" t="inlineStr">
        <is>
          <t>용린 갑옷</t>
        </is>
      </c>
      <c r="C19" s="9" t="inlineStr">
        <is>
          <t>🛡️🐉</t>
        </is>
      </c>
      <c r="D19" s="9" t="inlineStr">
        <is>
          <t>용눈물x3+공허수정x2</t>
        </is>
      </c>
      <c r="E19" s="9" t="inlineStr">
        <is>
          <t>DEF120+HP500+화저항20%</t>
        </is>
      </c>
      <c r="F19" s="9" t="inlineStr">
        <is>
          <t>신화 (100KG)</t>
        </is>
      </c>
    </row>
    <row r="20">
      <c r="A20" s="8" t="inlineStr">
        <is>
          <t>악세</t>
        </is>
      </c>
      <c r="B20" s="8" t="inlineStr">
        <is>
          <t>혼돈의 펜던트</t>
        </is>
      </c>
      <c r="C20" s="8" t="inlineStr">
        <is>
          <t>📿🌀</t>
        </is>
      </c>
      <c r="D20" s="8" t="inlineStr">
        <is>
          <t>혼돈정수x3+공허수정x3</t>
        </is>
      </c>
      <c r="E20" s="8" t="inlineStr">
        <is>
          <t>ALL8+크리8%</t>
        </is>
      </c>
      <c r="F20" s="8" t="inlineStr">
        <is>
          <t>신화 (100KG)</t>
        </is>
      </c>
    </row>
    <row r="21">
      <c r="A21" s="9" t="inlineStr">
        <is>
          <t>악세</t>
        </is>
      </c>
      <c r="B21" s="9" t="inlineStr">
        <is>
          <t>신성한 왕관</t>
        </is>
      </c>
      <c r="C21" s="9" t="inlineStr">
        <is>
          <t>👑✨</t>
        </is>
      </c>
      <c r="D21" s="9" t="inlineStr">
        <is>
          <t>신파편x5+태양금x5+용눈물x3</t>
        </is>
      </c>
      <c r="E21" s="9" t="inlineStr">
        <is>
          <t>ALL20+신성</t>
        </is>
      </c>
      <c r="F21" s="9" t="inlineStr">
        <is>
          <t>신성 (200KG)</t>
        </is>
      </c>
    </row>
    <row r="22">
      <c r="A22" s="8" t="inlineStr"/>
      <c r="B22" s="8" t="inlineStr"/>
      <c r="C22" s="8" t="inlineStr"/>
      <c r="D22" s="8" t="inlineStr"/>
      <c r="E22" s="8" t="inlineStr"/>
      <c r="F22" s="8" t="inlineStr"/>
    </row>
    <row r="23">
      <c r="A23" s="9">
        <f>== 제작 결과 (6단계) ===</f>
        <v/>
      </c>
      <c r="B23" s="9" t="inlineStr"/>
      <c r="C23" s="9" t="inlineStr"/>
      <c r="D23" s="9" t="inlineStr"/>
      <c r="E23" s="9" t="inlineStr"/>
      <c r="F23" s="9" t="inlineStr"/>
    </row>
    <row r="24">
      <c r="A24" s="8" t="inlineStr">
        <is>
          <t>결과</t>
        </is>
      </c>
      <c r="B24" s="8" t="inlineStr">
        <is>
          <t>대폭발</t>
        </is>
      </c>
      <c r="C24" s="8" t="inlineStr">
        <is>
          <t>💥😱</t>
        </is>
      </c>
      <c r="D24" s="8" t="inlineStr">
        <is>
          <t>&lt;5%</t>
        </is>
      </c>
      <c r="E24" s="8" t="inlineStr">
        <is>
          <t>재료 소멸+저주 장비</t>
        </is>
      </c>
      <c r="F24" s="8" t="inlineStr">
        <is>
          <t>스탯 x0</t>
        </is>
      </c>
    </row>
    <row r="25">
      <c r="A25" s="9" t="inlineStr">
        <is>
          <t>결과</t>
        </is>
      </c>
      <c r="B25" s="9" t="inlineStr">
        <is>
          <t>실패</t>
        </is>
      </c>
      <c r="C25" s="9" t="inlineStr">
        <is>
          <t>💔</t>
        </is>
      </c>
      <c r="D25" s="9" t="inlineStr">
        <is>
          <t>5~20%</t>
        </is>
      </c>
      <c r="E25" s="9" t="inlineStr">
        <is>
          <t>하급 장비</t>
        </is>
      </c>
      <c r="F25" s="9" t="inlineStr">
        <is>
          <t>스탯 x0.5</t>
        </is>
      </c>
    </row>
    <row r="26">
      <c r="A26" s="8" t="inlineStr">
        <is>
          <t>결과</t>
        </is>
      </c>
      <c r="B26" s="8" t="inlineStr">
        <is>
          <t>성공</t>
        </is>
      </c>
      <c r="C26" s="8" t="inlineStr">
        <is>
          <t>⚒️</t>
        </is>
      </c>
      <c r="D26" s="8" t="inlineStr">
        <is>
          <t>20~55%</t>
        </is>
      </c>
      <c r="E26" s="8" t="inlineStr">
        <is>
          <t>기본 장비</t>
        </is>
      </c>
      <c r="F26" s="8" t="inlineStr">
        <is>
          <t>스탯 x1.0</t>
        </is>
      </c>
    </row>
    <row r="27">
      <c r="A27" s="9" t="inlineStr">
        <is>
          <t>결과</t>
        </is>
      </c>
      <c r="B27" s="9" t="inlineStr">
        <is>
          <t>대성공</t>
        </is>
      </c>
      <c r="C27" s="9" t="inlineStr">
        <is>
          <t>✨⚒️</t>
        </is>
      </c>
      <c r="D27" s="9" t="inlineStr">
        <is>
          <t>55~80%</t>
        </is>
      </c>
      <c r="E27" s="9" t="inlineStr">
        <is>
          <t>강화 장비</t>
        </is>
      </c>
      <c r="F27" s="9" t="inlineStr">
        <is>
          <t>스탯 x1.5</t>
        </is>
      </c>
    </row>
    <row r="28">
      <c r="A28" s="8" t="inlineStr">
        <is>
          <t>결과</t>
        </is>
      </c>
      <c r="B28" s="8" t="inlineStr">
        <is>
          <t>걸작</t>
        </is>
      </c>
      <c r="C28" s="8" t="inlineStr">
        <is>
          <t>🌟⚒️</t>
        </is>
      </c>
      <c r="D28" s="8" t="inlineStr">
        <is>
          <t>80~95%</t>
        </is>
      </c>
      <c r="E28" s="8" t="inlineStr">
        <is>
          <t>최강 장비</t>
        </is>
      </c>
      <c r="F28" s="8" t="inlineStr">
        <is>
          <t>스탯 x2.0</t>
        </is>
      </c>
    </row>
    <row r="29">
      <c r="A29" s="9" t="inlineStr">
        <is>
          <t>결과</t>
        </is>
      </c>
      <c r="B29" s="9" t="inlineStr">
        <is>
          <t>신의 작품</t>
        </is>
      </c>
      <c r="C29" s="9" t="inlineStr">
        <is>
          <t>👑⚒️</t>
        </is>
      </c>
      <c r="D29" s="9" t="inlineStr">
        <is>
          <t>95%+</t>
        </is>
      </c>
      <c r="E29" s="9" t="inlineStr">
        <is>
          <t>★ 유일 장비! ★</t>
        </is>
      </c>
      <c r="F29" s="9" t="inlineStr">
        <is>
          <t>스탯 x3.0</t>
        </is>
      </c>
    </row>
    <row r="30">
      <c r="A30" s="8" t="inlineStr"/>
      <c r="B30" s="8" t="inlineStr"/>
      <c r="C30" s="8" t="inlineStr"/>
      <c r="D30" s="8" t="inlineStr"/>
      <c r="E30" s="8" t="inlineStr"/>
      <c r="F30" s="8" t="inlineStr"/>
    </row>
    <row r="31">
      <c r="A31" s="9" t="inlineStr">
        <is>
          <t>시스템</t>
        </is>
      </c>
      <c r="B31" s="9" t="inlineStr">
        <is>
          <t>대장간 Lv.1~9</t>
        </is>
      </c>
      <c r="C31" s="9" t="inlineStr">
        <is>
          <t>레벨당 성공률+3%</t>
        </is>
      </c>
      <c r="D31" s="9" t="inlineStr"/>
      <c r="E31" s="9" t="inlineStr"/>
      <c r="F31" s="9" t="inlineStr">
        <is>
          <t>EXP: 신성500/신화200/전설100</t>
        </is>
      </c>
    </row>
  </sheetData>
  <mergeCells count="1">
    <mergeCell ref="A1:F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2" customWidth="1" min="1" max="1"/>
    <col width="14" customWidth="1" min="2" max="2"/>
    <col width="8" customWidth="1" min="3" max="3"/>
    <col width="8" customWidth="1" min="4" max="4"/>
    <col width="10" customWidth="1" min="5" max="5"/>
    <col width="28" customWidth="1" min="6" max="6"/>
    <col width="40" customWidth="1" min="7" max="7"/>
  </cols>
  <sheetData>
    <row r="1">
      <c r="A1" s="6" t="inlineStr">
        <is>
          <t>살아있는 마도서 (v2.54)</t>
        </is>
      </c>
    </row>
    <row r="3">
      <c r="A3" s="7" t="inlineStr">
        <is>
          <t>마도서ID</t>
        </is>
      </c>
      <c r="B3" s="7" t="inlineStr">
        <is>
          <t>이름</t>
        </is>
      </c>
      <c r="C3" s="7" t="inlineStr">
        <is>
          <t>아이콘</t>
        </is>
      </c>
      <c r="D3" s="7" t="inlineStr">
        <is>
          <t>원소</t>
        </is>
      </c>
      <c r="E3" s="7" t="inlineStr">
        <is>
          <t>성격</t>
        </is>
      </c>
      <c r="F3" s="7" t="inlineStr">
        <is>
          <t>기본 마법</t>
        </is>
      </c>
      <c r="G3" s="7" t="inlineStr">
        <is>
          <t>설명</t>
        </is>
      </c>
    </row>
    <row r="4">
      <c r="A4" s="8" t="inlineStr">
        <is>
          <t>ignis</t>
        </is>
      </c>
      <c r="B4" s="8" t="inlineStr">
        <is>
          <t>이그니스</t>
        </is>
      </c>
      <c r="C4" s="8" t="inlineStr">
        <is>
          <t>📕🔥</t>
        </is>
      </c>
      <c r="D4" s="8" t="inlineStr">
        <is>
          <t>화염</t>
        </is>
      </c>
      <c r="E4" s="8" t="inlineStr">
        <is>
          <t>다혈질</t>
        </is>
      </c>
      <c r="F4" s="8" t="inlineStr">
        <is>
          <t>화염 보조 (ATKx1.5)</t>
        </is>
      </c>
      <c r="G4" s="8" t="inlineStr">
        <is>
          <t>뜨겁지? 나와 함께면 모든 걸 태울 수 있어!</t>
        </is>
      </c>
    </row>
    <row r="5">
      <c r="A5" s="9" t="inlineStr">
        <is>
          <t>glacies</t>
        </is>
      </c>
      <c r="B5" s="9" t="inlineStr">
        <is>
          <t>글라시스</t>
        </is>
      </c>
      <c r="C5" s="9" t="inlineStr">
        <is>
          <t>📘❄️</t>
        </is>
      </c>
      <c r="D5" s="9" t="inlineStr">
        <is>
          <t>빙결</t>
        </is>
      </c>
      <c r="E5" s="9" t="inlineStr">
        <is>
          <t>침착</t>
        </is>
      </c>
      <c r="F5" s="9" t="inlineStr">
        <is>
          <t>빙결 보조 (ATKx1.2+둔화20%)</t>
        </is>
      </c>
      <c r="G5" s="9" t="inlineStr">
        <is>
          <t>...차분하게 가자. 서두르면 실수해.</t>
        </is>
      </c>
    </row>
    <row r="6">
      <c r="A6" s="8" t="inlineStr">
        <is>
          <t>fulgur</t>
        </is>
      </c>
      <c r="B6" s="8" t="inlineStr">
        <is>
          <t>풀구르</t>
        </is>
      </c>
      <c r="C6" s="8" t="inlineStr">
        <is>
          <t>📗⚡</t>
        </is>
      </c>
      <c r="D6" s="8" t="inlineStr">
        <is>
          <t>번개</t>
        </is>
      </c>
      <c r="E6" s="8" t="inlineStr">
        <is>
          <t>활발</t>
        </is>
      </c>
      <c r="F6" s="8" t="inlineStr">
        <is>
          <t>번개 보조 (ATKx1.8+기절1초)</t>
        </is>
      </c>
      <c r="G6" s="8" t="inlineStr">
        <is>
          <t>빠르게! 빠르게! 적을 감전시키자!</t>
        </is>
      </c>
    </row>
    <row r="7">
      <c r="A7" s="9" t="inlineStr">
        <is>
          <t>umbra</t>
        </is>
      </c>
      <c r="B7" s="9" t="inlineStr">
        <is>
          <t>움브라</t>
        </is>
      </c>
      <c r="C7" s="9" t="inlineStr">
        <is>
          <t>📓🌑</t>
        </is>
      </c>
      <c r="D7" s="9" t="inlineStr">
        <is>
          <t>암흑</t>
        </is>
      </c>
      <c r="E7" s="9" t="inlineStr">
        <is>
          <t>신비</t>
        </is>
      </c>
      <c r="F7" s="9" t="inlineStr">
        <is>
          <t>암흑 보조 (ATKx1.3+흡혈10%)</t>
        </is>
      </c>
      <c r="G7" s="9" t="inlineStr">
        <is>
          <t>...그림자는 모든 것을 알고 있어.</t>
        </is>
      </c>
    </row>
    <row r="8">
      <c r="A8" s="8" t="inlineStr">
        <is>
          <t>lux</t>
        </is>
      </c>
      <c r="B8" s="8" t="inlineStr">
        <is>
          <t>룩스</t>
        </is>
      </c>
      <c r="C8" s="8" t="inlineStr">
        <is>
          <t>📒✨</t>
        </is>
      </c>
      <c r="D8" s="8" t="inlineStr">
        <is>
          <t>성광</t>
        </is>
      </c>
      <c r="E8" s="8" t="inlineStr">
        <is>
          <t>쾌활</t>
        </is>
      </c>
      <c r="F8" s="8" t="inlineStr">
        <is>
          <t>성광 보조 (ATKx1.0+힐5%)</t>
        </is>
      </c>
      <c r="G8" s="8" t="inlineStr">
        <is>
          <t>안녕! 함께하면 어둠도 무섭지 않아~!</t>
        </is>
      </c>
    </row>
    <row r="9">
      <c r="A9" s="9" t="inlineStr">
        <is>
          <t>chaos</t>
        </is>
      </c>
      <c r="B9" s="9" t="inlineStr">
        <is>
          <t>카오스</t>
        </is>
      </c>
      <c r="C9" s="9" t="inlineStr">
        <is>
          <t>📙🌀</t>
        </is>
      </c>
      <c r="D9" s="9" t="inlineStr">
        <is>
          <t>혼돈</t>
        </is>
      </c>
      <c r="E9" s="9" t="inlineStr">
        <is>
          <t>불안정</t>
        </is>
      </c>
      <c r="F9" s="9" t="inlineStr">
        <is>
          <t>혼돈 보조 (ATKx2.0+랜덤)</t>
        </is>
      </c>
      <c r="G9" s="9" t="inlineStr">
        <is>
          <t>하하하... 뭐가 나올지 나도 몰라!</t>
        </is>
      </c>
    </row>
    <row r="10">
      <c r="A10" s="8" t="inlineStr"/>
      <c r="B10" s="8" t="inlineStr"/>
      <c r="C10" s="8" t="inlineStr"/>
      <c r="D10" s="8" t="inlineStr"/>
      <c r="E10" s="8" t="inlineStr"/>
      <c r="F10" s="8" t="inlineStr"/>
      <c r="G10" s="8" t="inlineStr"/>
    </row>
    <row r="11">
      <c r="A11" s="9">
        <f>== 페이지 해금 (5단계) ===</f>
        <v/>
      </c>
      <c r="B11" s="9" t="inlineStr"/>
      <c r="C11" s="9" t="inlineStr"/>
      <c r="D11" s="9" t="inlineStr"/>
      <c r="E11" s="9" t="inlineStr"/>
      <c r="F11" s="9" t="inlineStr"/>
      <c r="G11" s="9" t="inlineStr"/>
    </row>
    <row r="12">
      <c r="A12" s="8" t="inlineStr">
        <is>
          <t>Lv.2</t>
        </is>
      </c>
      <c r="B12" s="8" t="inlineStr">
        <is>
          <t>원소 강화</t>
        </is>
      </c>
      <c r="C12" s="8" t="inlineStr"/>
      <c r="D12" s="8" t="inlineStr"/>
      <c r="E12" s="8" t="inlineStr"/>
      <c r="F12" s="8" t="inlineStr">
        <is>
          <t>원소 데미지 +10%</t>
        </is>
      </c>
      <c r="G12" s="8" t="inlineStr"/>
    </row>
    <row r="13">
      <c r="A13" s="9" t="inlineStr">
        <is>
          <t>Lv.3</t>
        </is>
      </c>
      <c r="B13" s="9" t="inlineStr">
        <is>
          <t>자동 시전</t>
        </is>
      </c>
      <c r="C13" s="9" t="inlineStr"/>
      <c r="D13" s="9" t="inlineStr"/>
      <c r="E13" s="9" t="inlineStr"/>
      <c r="F13" s="9" t="inlineStr">
        <is>
          <t>자동으로 보조 마법 시전</t>
        </is>
      </c>
      <c r="G13" s="9" t="inlineStr"/>
    </row>
    <row r="14">
      <c r="A14" s="8" t="inlineStr">
        <is>
          <t>Lv.5</t>
        </is>
      </c>
      <c r="B14" s="8" t="inlineStr">
        <is>
          <t>방어 마법</t>
        </is>
      </c>
      <c r="C14" s="8" t="inlineStr"/>
      <c r="D14" s="8" t="inlineStr"/>
      <c r="E14" s="8" t="inlineStr"/>
      <c r="F14" s="8" t="inlineStr">
        <is>
          <t>피격 시 방어 마법 발동 (DEF+30)</t>
        </is>
      </c>
      <c r="G14" s="8" t="inlineStr"/>
    </row>
    <row r="15">
      <c r="A15" s="9" t="inlineStr">
        <is>
          <t>Lv.7</t>
        </is>
      </c>
      <c r="B15" s="9" t="inlineStr">
        <is>
          <t>원소 폭발</t>
        </is>
      </c>
      <c r="C15" s="9" t="inlineStr"/>
      <c r="D15" s="9" t="inlineStr"/>
      <c r="E15" s="9" t="inlineStr"/>
      <c r="F15" s="9" t="inlineStr">
        <is>
          <t>원소 폭발 ATKx3 (CD45초)</t>
        </is>
      </c>
      <c r="G15" s="9" t="inlineStr"/>
    </row>
    <row r="16">
      <c r="A16" s="8" t="inlineStr">
        <is>
          <t>Lv.10</t>
        </is>
      </c>
      <c r="B16" s="8" t="inlineStr">
        <is>
          <t>금지된 장</t>
        </is>
      </c>
      <c r="C16" s="8" t="inlineStr"/>
      <c r="D16" s="8" t="inlineStr"/>
      <c r="E16" s="8" t="inlineStr"/>
      <c r="F16" s="8" t="inlineStr">
        <is>
          <t>금지 마법 해방! ATKx5 (자해10%)</t>
        </is>
      </c>
      <c r="G16" s="8" t="inlineStr"/>
    </row>
    <row r="17">
      <c r="A17" s="9" t="inlineStr"/>
      <c r="B17" s="9" t="inlineStr"/>
      <c r="C17" s="9" t="inlineStr"/>
      <c r="D17" s="9" t="inlineStr"/>
      <c r="E17" s="9" t="inlineStr"/>
      <c r="F17" s="9" t="inlineStr"/>
      <c r="G17" s="9" t="inlineStr"/>
    </row>
    <row r="18">
      <c r="A18" s="8" t="inlineStr">
        <is>
          <t>시스템</t>
        </is>
      </c>
      <c r="B18" s="8" t="inlineStr">
        <is>
          <t>계약비 20,000G</t>
        </is>
      </c>
      <c r="C18" s="8" t="inlineStr">
        <is>
          <t>Lv.15+</t>
        </is>
      </c>
      <c r="D18" s="8" t="inlineStr">
        <is>
          <t>최대 Lv.10</t>
        </is>
      </c>
      <c r="E18" s="8" t="inlineStr">
        <is>
          <t>친밀도 0~100</t>
        </is>
      </c>
      <c r="F18" s="8" t="inlineStr">
        <is>
          <t>대화시 친밀도+1 / 친밀도 EXP보너스 x0.5%</t>
        </is>
      </c>
      <c r="G18" s="8" t="inlineStr">
        <is>
          <t>6권 전부 수집 가능</t>
        </is>
      </c>
    </row>
  </sheetData>
  <mergeCells count="1">
    <mergeCell ref="A1:G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8" customWidth="1" min="1" max="1"/>
    <col width="16" customWidth="1" min="2" max="2"/>
    <col width="8" customWidth="1" min="3" max="3"/>
    <col width="5" customWidth="1" min="4" max="4"/>
    <col width="28" customWidth="1" min="5" max="5"/>
    <col width="34" customWidth="1" min="6" max="6"/>
  </cols>
  <sheetData>
    <row r="1">
      <c r="A1" s="6" t="inlineStr">
        <is>
          <t>세계의 씨앗 (v2.55)</t>
        </is>
      </c>
    </row>
    <row r="3">
      <c r="A3" s="7" t="inlineStr">
        <is>
          <t>항목</t>
        </is>
      </c>
      <c r="B3" s="7" t="inlineStr">
        <is>
          <t>이름</t>
        </is>
      </c>
      <c r="C3" s="7" t="inlineStr">
        <is>
          <t>아이콘</t>
        </is>
      </c>
      <c r="D3" s="7" t="inlineStr">
        <is>
          <t>티어</t>
        </is>
      </c>
      <c r="E3" s="7" t="inlineStr">
        <is>
          <t>자원/수치</t>
        </is>
      </c>
      <c r="F3" s="7" t="inlineStr">
        <is>
          <t>효과/설명</t>
        </is>
      </c>
    </row>
    <row r="4">
      <c r="A4" s="8">
        <f>== 바이옴 (7종) ===</f>
        <v/>
      </c>
      <c r="B4" s="8" t="inlineStr"/>
      <c r="C4" s="8" t="inlineStr"/>
      <c r="D4" s="8" t="inlineStr"/>
      <c r="E4" s="8" t="inlineStr"/>
      <c r="F4" s="8" t="inlineStr"/>
    </row>
    <row r="5">
      <c r="A5" s="9" t="inlineStr">
        <is>
          <t>바이옴</t>
        </is>
      </c>
      <c r="B5" s="9" t="inlineStr">
        <is>
          <t>공허 평원</t>
        </is>
      </c>
      <c r="C5" s="9" t="inlineStr">
        <is>
          <t>🕳️🌿</t>
        </is>
      </c>
      <c r="D5" s="9" t="inlineStr">
        <is>
          <t>-</t>
        </is>
      </c>
      <c r="E5" s="9" t="inlineStr">
        <is>
          <t>void_dust x3</t>
        </is>
      </c>
      <c r="F5" s="9" t="inlineStr">
        <is>
          <t>몬스터 최대 5마리</t>
        </is>
      </c>
    </row>
    <row r="6">
      <c r="A6" s="8" t="inlineStr">
        <is>
          <t>바이옴</t>
        </is>
      </c>
      <c r="B6" s="8" t="inlineStr">
        <is>
          <t>화산 지대</t>
        </is>
      </c>
      <c r="C6" s="8" t="inlineStr">
        <is>
          <t>🌋</t>
        </is>
      </c>
      <c r="D6" s="8" t="inlineStr">
        <is>
          <t>-</t>
        </is>
      </c>
      <c r="E6" s="8" t="inlineStr">
        <is>
          <t>magma_ore x5, fire_crystal x2</t>
        </is>
      </c>
      <c r="F6" s="8" t="inlineStr">
        <is>
          <t>몬스터 최대 8마리</t>
        </is>
      </c>
    </row>
    <row r="7">
      <c r="A7" s="9" t="inlineStr">
        <is>
          <t>바이옴</t>
        </is>
      </c>
      <c r="B7" s="9" t="inlineStr">
        <is>
          <t>빙하 동토</t>
        </is>
      </c>
      <c r="C7" s="9" t="inlineStr">
        <is>
          <t>❄️🏔️</t>
        </is>
      </c>
      <c r="D7" s="9" t="inlineStr">
        <is>
          <t>-</t>
        </is>
      </c>
      <c r="E7" s="9" t="inlineStr">
        <is>
          <t>frost_gem x4, ice_shard x3</t>
        </is>
      </c>
      <c r="F7" s="9" t="inlineStr">
        <is>
          <t>몬스터 최대 6마리</t>
        </is>
      </c>
    </row>
    <row r="8">
      <c r="A8" s="8" t="inlineStr">
        <is>
          <t>바이옴</t>
        </is>
      </c>
      <c r="B8" s="8" t="inlineStr">
        <is>
          <t>하늘 섬</t>
        </is>
      </c>
      <c r="C8" s="8" t="inlineStr">
        <is>
          <t>☁️🏝️</t>
        </is>
      </c>
      <c r="D8" s="8" t="inlineStr">
        <is>
          <t>-</t>
        </is>
      </c>
      <c r="E8" s="8" t="inlineStr">
        <is>
          <t>cloud_silk x4, sky_pearl x2</t>
        </is>
      </c>
      <c r="F8" s="8" t="inlineStr">
        <is>
          <t>몬스터 최대 7마리</t>
        </is>
      </c>
    </row>
    <row r="9">
      <c r="A9" s="9" t="inlineStr">
        <is>
          <t>바이옴</t>
        </is>
      </c>
      <c r="B9" s="9" t="inlineStr">
        <is>
          <t>그림자 숲</t>
        </is>
      </c>
      <c r="C9" s="9" t="inlineStr">
        <is>
          <t>🌑🌲</t>
        </is>
      </c>
      <c r="D9" s="9" t="inlineStr">
        <is>
          <t>-</t>
        </is>
      </c>
      <c r="E9" s="9" t="inlineStr">
        <is>
          <t>dark_wood x5, shadow_sap x3</t>
        </is>
      </c>
      <c r="F9" s="9" t="inlineStr">
        <is>
          <t>몬스터 최대 10마리</t>
        </is>
      </c>
    </row>
    <row r="10">
      <c r="A10" s="8" t="inlineStr">
        <is>
          <t>바이옴</t>
        </is>
      </c>
      <c r="B10" s="8" t="inlineStr">
        <is>
          <t>수정 동굴</t>
        </is>
      </c>
      <c r="C10" s="8" t="inlineStr">
        <is>
          <t>💎🕳️</t>
        </is>
      </c>
      <c r="D10" s="8" t="inlineStr">
        <is>
          <t>-</t>
        </is>
      </c>
      <c r="E10" s="8" t="inlineStr">
        <is>
          <t>rainbow_crystal x6, mana_stone x4</t>
        </is>
      </c>
      <c r="F10" s="8" t="inlineStr">
        <is>
          <t>몬스터 최대 6마리</t>
        </is>
      </c>
    </row>
    <row r="11">
      <c r="A11" s="9" t="inlineStr">
        <is>
          <t>바이옴</t>
        </is>
      </c>
      <c r="B11" s="9" t="inlineStr">
        <is>
          <t>천상계</t>
        </is>
      </c>
      <c r="C11" s="9" t="inlineStr">
        <is>
          <t>✨☁️</t>
        </is>
      </c>
      <c r="D11" s="9" t="inlineStr">
        <is>
          <t>-</t>
        </is>
      </c>
      <c r="E11" s="9" t="inlineStr">
        <is>
          <t>star_dust x5, divine_essence x2</t>
        </is>
      </c>
      <c r="F11" s="9" t="inlineStr">
        <is>
          <t>몬스터 최대 5마리</t>
        </is>
      </c>
    </row>
    <row r="12">
      <c r="A12" s="8" t="inlineStr"/>
      <c r="B12" s="8" t="inlineStr"/>
      <c r="C12" s="8" t="inlineStr"/>
      <c r="D12" s="8" t="inlineStr"/>
      <c r="E12" s="8" t="inlineStr"/>
      <c r="F12" s="8" t="inlineStr"/>
    </row>
    <row r="13">
      <c r="A13" s="9">
        <f>== 몬스터 (8종) ===</f>
        <v/>
      </c>
      <c r="B13" s="9" t="inlineStr"/>
      <c r="C13" s="9" t="inlineStr"/>
      <c r="D13" s="9" t="inlineStr"/>
      <c r="E13" s="9" t="inlineStr"/>
      <c r="F13" s="9" t="inlineStr"/>
    </row>
    <row r="14">
      <c r="A14" s="8" t="inlineStr">
        <is>
          <t>몬스터</t>
        </is>
      </c>
      <c r="B14" s="8" t="inlineStr">
        <is>
          <t>씨앗 슬라임</t>
        </is>
      </c>
      <c r="C14" s="8" t="inlineStr">
        <is>
          <t>🟢🌱</t>
        </is>
      </c>
      <c r="D14" s="8" t="n">
        <v>1</v>
      </c>
      <c r="E14" s="8" t="inlineStr">
        <is>
          <t>HP200/ATK20</t>
        </is>
      </c>
      <c r="F14" s="8" t="inlineStr">
        <is>
          <t>slime_gel x2 (500G)</t>
        </is>
      </c>
    </row>
    <row r="15">
      <c r="A15" s="9" t="inlineStr">
        <is>
          <t>몬스터</t>
        </is>
      </c>
      <c r="B15" s="9" t="inlineStr">
        <is>
          <t>화염 정령</t>
        </is>
      </c>
      <c r="C15" s="9" t="inlineStr">
        <is>
          <t>🔥🧚</t>
        </is>
      </c>
      <c r="D15" s="9" t="n">
        <v>2</v>
      </c>
      <c r="E15" s="9" t="inlineStr">
        <is>
          <t>HP500/ATK60</t>
        </is>
      </c>
      <c r="F15" s="9" t="inlineStr">
        <is>
          <t>fire_crystal x1 (2000G)</t>
        </is>
      </c>
    </row>
    <row r="16">
      <c r="A16" s="8" t="inlineStr">
        <is>
          <t>몬스터</t>
        </is>
      </c>
      <c r="B16" s="8" t="inlineStr">
        <is>
          <t>서리 골렘</t>
        </is>
      </c>
      <c r="C16" s="8" t="inlineStr">
        <is>
          <t>❄️🗿</t>
        </is>
      </c>
      <c r="D16" s="8" t="n">
        <v>2</v>
      </c>
      <c r="E16" s="8" t="inlineStr">
        <is>
          <t>HP800/ATK40</t>
        </is>
      </c>
      <c r="F16" s="8" t="inlineStr">
        <is>
          <t>frost_gem x1 (2500G)</t>
        </is>
      </c>
    </row>
    <row r="17">
      <c r="A17" s="9" t="inlineStr">
        <is>
          <t>몬스터</t>
        </is>
      </c>
      <c r="B17" s="9" t="inlineStr">
        <is>
          <t>그림자 늑대</t>
        </is>
      </c>
      <c r="C17" s="9" t="inlineStr">
        <is>
          <t>🐺🌑</t>
        </is>
      </c>
      <c r="D17" s="9" t="n">
        <v>2</v>
      </c>
      <c r="E17" s="9" t="inlineStr">
        <is>
          <t>HP600/ATK80</t>
        </is>
      </c>
      <c r="F17" s="9" t="inlineStr">
        <is>
          <t>shadow_sap x1 (3000G)</t>
        </is>
      </c>
    </row>
    <row r="18">
      <c r="A18" s="8" t="inlineStr">
        <is>
          <t>몬스터</t>
        </is>
      </c>
      <c r="B18" s="8" t="inlineStr">
        <is>
          <t>수정 드래곤</t>
        </is>
      </c>
      <c r="C18" s="8" t="inlineStr">
        <is>
          <t>🐉💎</t>
        </is>
      </c>
      <c r="D18" s="8" t="n">
        <v>3</v>
      </c>
      <c r="E18" s="8" t="inlineStr">
        <is>
          <t>HP2000/ATK150</t>
        </is>
      </c>
      <c r="F18" s="8" t="inlineStr">
        <is>
          <t>rainbow_crystal x2 (10KG)</t>
        </is>
      </c>
    </row>
    <row r="19">
      <c r="A19" s="9" t="inlineStr">
        <is>
          <t>몬스터</t>
        </is>
      </c>
      <c r="B19" s="9" t="inlineStr">
        <is>
          <t>하늘 불사조</t>
        </is>
      </c>
      <c r="C19" s="9" t="inlineStr">
        <is>
          <t>🐦☁️</t>
        </is>
      </c>
      <c r="D19" s="9" t="n">
        <v>3</v>
      </c>
      <c r="E19" s="9" t="inlineStr">
        <is>
          <t>HP1500/ATK120</t>
        </is>
      </c>
      <c r="F19" s="9" t="inlineStr">
        <is>
          <t>sky_pearl x2 (12KG)</t>
        </is>
      </c>
    </row>
    <row r="20">
      <c r="A20" s="8" t="inlineStr">
        <is>
          <t>몬스터</t>
        </is>
      </c>
      <c r="B20" s="8" t="inlineStr">
        <is>
          <t>공허 거신</t>
        </is>
      </c>
      <c r="C20" s="8" t="inlineStr">
        <is>
          <t>🗿🕳️</t>
        </is>
      </c>
      <c r="D20" s="8" t="n">
        <v>4</v>
      </c>
      <c r="E20" s="8" t="inlineStr">
        <is>
          <t>HP5000/ATK300</t>
        </is>
      </c>
      <c r="F20" s="8" t="inlineStr">
        <is>
          <t>void_essence x3 (30KG)</t>
        </is>
      </c>
    </row>
    <row r="21">
      <c r="A21" s="9" t="inlineStr">
        <is>
          <t>몬스터</t>
        </is>
      </c>
      <c r="B21" s="9" t="inlineStr">
        <is>
          <t>별의 천사</t>
        </is>
      </c>
      <c r="C21" s="9" t="inlineStr">
        <is>
          <t>👼⭐</t>
        </is>
      </c>
      <c r="D21" s="9" t="n">
        <v>4</v>
      </c>
      <c r="E21" s="9" t="inlineStr">
        <is>
          <t>HP3000/ATK200</t>
        </is>
      </c>
      <c r="F21" s="9" t="inlineStr">
        <is>
          <t>divine_essence x2 (25KG)</t>
        </is>
      </c>
    </row>
    <row r="22">
      <c r="A22" s="8" t="inlineStr"/>
      <c r="B22" s="8" t="inlineStr"/>
      <c r="C22" s="8" t="inlineStr"/>
      <c r="D22" s="8" t="inlineStr"/>
      <c r="E22" s="8" t="inlineStr"/>
      <c r="F22" s="8" t="inlineStr"/>
    </row>
    <row r="23">
      <c r="A23" s="9">
        <f>== 건물 (5종) ===</f>
        <v/>
      </c>
      <c r="B23" s="9" t="inlineStr"/>
      <c r="C23" s="9" t="inlineStr"/>
      <c r="D23" s="9" t="inlineStr"/>
      <c r="E23" s="9" t="inlineStr"/>
      <c r="F23" s="9" t="inlineStr"/>
    </row>
    <row r="24">
      <c r="A24" s="8" t="inlineStr">
        <is>
          <t>건물</t>
        </is>
      </c>
      <c r="B24" s="8" t="inlineStr">
        <is>
          <t>마나 우물</t>
        </is>
      </c>
      <c r="C24" s="8" t="inlineStr">
        <is>
          <t>💧🔮</t>
        </is>
      </c>
      <c r="D24" s="8" t="inlineStr">
        <is>
          <t>-</t>
        </is>
      </c>
      <c r="E24" s="8" t="inlineStr">
        <is>
          <t>5,000G</t>
        </is>
      </c>
      <c r="F24" s="8" t="inlineStr">
        <is>
          <t>시간당 마나+10 / 최대마나+50</t>
        </is>
      </c>
    </row>
    <row r="25">
      <c r="A25" s="9" t="inlineStr">
        <is>
          <t>건물</t>
        </is>
      </c>
      <c r="B25" s="9" t="inlineStr">
        <is>
          <t>수호 탑</t>
        </is>
      </c>
      <c r="C25" s="9" t="inlineStr">
        <is>
          <t>🗼🛡️</t>
        </is>
      </c>
      <c r="D25" s="9" t="inlineStr">
        <is>
          <t>-</t>
        </is>
      </c>
      <c r="E25" s="9" t="inlineStr">
        <is>
          <t>8,000G</t>
        </is>
      </c>
      <c r="F25" s="9" t="inlineStr">
        <is>
          <t>침공 방어력 +200</t>
        </is>
      </c>
    </row>
    <row r="26">
      <c r="A26" s="8" t="inlineStr">
        <is>
          <t>건물</t>
        </is>
      </c>
      <c r="B26" s="8" t="inlineStr">
        <is>
          <t>수확 신전</t>
        </is>
      </c>
      <c r="C26" s="8" t="inlineStr">
        <is>
          <t>⛩️🌾</t>
        </is>
      </c>
      <c r="D26" s="8" t="inlineStr">
        <is>
          <t>-</t>
        </is>
      </c>
      <c r="E26" s="8" t="inlineStr">
        <is>
          <t>10,000G</t>
        </is>
      </c>
      <c r="F26" s="8" t="inlineStr">
        <is>
          <t>자원 수확량 x1.5</t>
        </is>
      </c>
    </row>
    <row r="27">
      <c r="A27" s="9" t="inlineStr">
        <is>
          <t>건물</t>
        </is>
      </c>
      <c r="B27" s="9" t="inlineStr">
        <is>
          <t>차원문</t>
        </is>
      </c>
      <c r="C27" s="9" t="inlineStr">
        <is>
          <t>🌀🚪</t>
        </is>
      </c>
      <c r="D27" s="9" t="inlineStr">
        <is>
          <t>-</t>
        </is>
      </c>
      <c r="E27" s="9" t="inlineStr">
        <is>
          <t>20,000G</t>
        </is>
      </c>
      <c r="F27" s="9" t="inlineStr">
        <is>
          <t>다른 세계 침공 가능</t>
        </is>
      </c>
    </row>
    <row r="28">
      <c r="A28" s="8" t="inlineStr">
        <is>
          <t>건물</t>
        </is>
      </c>
      <c r="B28" s="8" t="inlineStr">
        <is>
          <t>세계수</t>
        </is>
      </c>
      <c r="C28" s="8" t="inlineStr">
        <is>
          <t>🌳✨</t>
        </is>
      </c>
      <c r="D28" s="8" t="inlineStr">
        <is>
          <t>-</t>
        </is>
      </c>
      <c r="E28" s="8" t="inlineStr">
        <is>
          <t>50,000G</t>
        </is>
      </c>
      <c r="F28" s="8" t="inlineStr">
        <is>
          <t>세계 레벨업! 모든 효과 +10%</t>
        </is>
      </c>
    </row>
    <row r="29">
      <c r="A29" s="9" t="inlineStr"/>
      <c r="B29" s="9" t="inlineStr"/>
      <c r="C29" s="9" t="inlineStr"/>
      <c r="D29" s="9" t="inlineStr"/>
      <c r="E29" s="9" t="inlineStr"/>
      <c r="F29" s="9" t="inlineStr"/>
    </row>
    <row r="30">
      <c r="A30" s="8" t="inlineStr">
        <is>
          <t>시스템</t>
        </is>
      </c>
      <c r="B30" s="8" t="inlineStr">
        <is>
          <t>생성비</t>
        </is>
      </c>
      <c r="C30" s="8" t="inlineStr">
        <is>
          <t>30,000G</t>
        </is>
      </c>
      <c r="D30" s="8" t="inlineStr">
        <is>
          <t>Lv.30+</t>
        </is>
      </c>
      <c r="E30" s="8" t="inlineStr">
        <is>
          <t>1시간마다 수확 (최대24h)</t>
        </is>
      </c>
      <c r="F30" s="8" t="inlineStr">
        <is>
          <t>침공시 자원 20% 약탈 가능</t>
        </is>
      </c>
    </row>
  </sheetData>
  <mergeCells count="1">
    <mergeCell ref="A1:F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6" customWidth="1" min="1" max="1"/>
    <col width="16" customWidth="1" min="2" max="2"/>
    <col width="8" customWidth="1" min="3" max="3"/>
    <col width="8" customWidth="1" min="4" max="4"/>
    <col width="14" customWidth="1" min="5" max="5"/>
    <col width="30" customWidth="1" min="6" max="6"/>
    <col width="24" customWidth="1" min="7" max="7"/>
  </cols>
  <sheetData>
    <row r="1">
      <c r="A1" s="6" t="inlineStr">
        <is>
          <t>운명의 직공 (v2.56)</t>
        </is>
      </c>
    </row>
    <row r="3">
      <c r="A3" s="7" t="inlineStr">
        <is>
          <t>실ID</t>
        </is>
      </c>
      <c r="B3" s="7" t="inlineStr">
        <is>
          <t>이름</t>
        </is>
      </c>
      <c r="C3" s="7" t="inlineStr">
        <is>
          <t>아이콘</t>
        </is>
      </c>
      <c r="D3" s="7" t="inlineStr">
        <is>
          <t>유형</t>
        </is>
      </c>
      <c r="E3" s="7" t="inlineStr">
        <is>
          <t>티어/비용</t>
        </is>
      </c>
      <c r="F3" s="7" t="inlineStr">
        <is>
          <t>효과</t>
        </is>
      </c>
      <c r="G3" s="7" t="inlineStr">
        <is>
          <t>반작용</t>
        </is>
      </c>
    </row>
    <row r="4">
      <c r="A4" s="8">
        <f>== 축복 실 (5종) ===</f>
        <v/>
      </c>
      <c r="B4" s="8" t="inlineStr"/>
      <c r="C4" s="8" t="inlineStr"/>
      <c r="D4" s="8" t="inlineStr"/>
      <c r="E4" s="8" t="inlineStr"/>
      <c r="F4" s="8" t="inlineStr"/>
      <c r="G4" s="8" t="inlineStr"/>
    </row>
    <row r="5">
      <c r="A5" s="9" t="inlineStr">
        <is>
          <t>thread_fortune</t>
        </is>
      </c>
      <c r="B5" s="9" t="inlineStr">
        <is>
          <t>행운의 실</t>
        </is>
      </c>
      <c r="C5" s="9" t="inlineStr">
        <is>
          <t>🧵🍀</t>
        </is>
      </c>
      <c r="D5" s="9" t="inlineStr">
        <is>
          <t>축복</t>
        </is>
      </c>
      <c r="E5" s="9" t="inlineStr">
        <is>
          <t>T1/2,000G</t>
        </is>
      </c>
      <c r="F5" s="9" t="inlineStr">
        <is>
          <t>골드+10% (1시간)</t>
        </is>
      </c>
      <c r="G5" s="9" t="inlineStr">
        <is>
          <t>자신 골드-5%</t>
        </is>
      </c>
    </row>
    <row r="6">
      <c r="A6" s="8" t="inlineStr">
        <is>
          <t>thread_vigor</t>
        </is>
      </c>
      <c r="B6" s="8" t="inlineStr">
        <is>
          <t>활력의 실</t>
        </is>
      </c>
      <c r="C6" s="8" t="inlineStr">
        <is>
          <t>🧵💪</t>
        </is>
      </c>
      <c r="D6" s="8" t="inlineStr">
        <is>
          <t>축복</t>
        </is>
      </c>
      <c r="E6" s="8" t="inlineStr">
        <is>
          <t>T1/3,000G</t>
        </is>
      </c>
      <c r="F6" s="8" t="inlineStr">
        <is>
          <t>ATK+8% (1시간)</t>
        </is>
      </c>
      <c r="G6" s="8" t="inlineStr">
        <is>
          <t>자신 ATK-4%</t>
        </is>
      </c>
    </row>
    <row r="7">
      <c r="A7" s="9" t="inlineStr">
        <is>
          <t>thread_wisdom</t>
        </is>
      </c>
      <c r="B7" s="9" t="inlineStr">
        <is>
          <t>지혜의 실</t>
        </is>
      </c>
      <c r="C7" s="9" t="inlineStr">
        <is>
          <t>🧵🧠</t>
        </is>
      </c>
      <c r="D7" s="9" t="inlineStr">
        <is>
          <t>축복</t>
        </is>
      </c>
      <c r="E7" s="9" t="inlineStr">
        <is>
          <t>T2/5,000G</t>
        </is>
      </c>
      <c r="F7" s="9" t="inlineStr">
        <is>
          <t>EXP+15% (1시간)</t>
        </is>
      </c>
      <c r="G7" s="9" t="inlineStr">
        <is>
          <t>자신 EXP-5%</t>
        </is>
      </c>
    </row>
    <row r="8">
      <c r="A8" s="8" t="inlineStr">
        <is>
          <t>thread_guardian</t>
        </is>
      </c>
      <c r="B8" s="8" t="inlineStr">
        <is>
          <t>수호의 실</t>
        </is>
      </c>
      <c r="C8" s="8" t="inlineStr">
        <is>
          <t>🧵🛡️</t>
        </is>
      </c>
      <c r="D8" s="8" t="inlineStr">
        <is>
          <t>축복</t>
        </is>
      </c>
      <c r="E8" s="8" t="inlineStr">
        <is>
          <t>T2/6,000G</t>
        </is>
      </c>
      <c r="F8" s="8" t="inlineStr">
        <is>
          <t>DEF+12%+재생3 (1시간)</t>
        </is>
      </c>
      <c r="G8" s="8" t="inlineStr">
        <is>
          <t>자신 DEF-5%</t>
        </is>
      </c>
    </row>
    <row r="9">
      <c r="A9" s="9" t="inlineStr">
        <is>
          <t>thread_miracle</t>
        </is>
      </c>
      <c r="B9" s="9" t="inlineStr">
        <is>
          <t>기적의 실</t>
        </is>
      </c>
      <c r="C9" s="9" t="inlineStr">
        <is>
          <t>🧵🌟</t>
        </is>
      </c>
      <c r="D9" s="9" t="inlineStr">
        <is>
          <t>축복</t>
        </is>
      </c>
      <c r="E9" s="9" t="inlineStr">
        <is>
          <t>T3/15,000G</t>
        </is>
      </c>
      <c r="F9" s="9" t="inlineStr">
        <is>
          <t>ALL+8 (2시간)</t>
        </is>
      </c>
      <c r="G9" s="9" t="inlineStr">
        <is>
          <t>자신 ALL-3</t>
        </is>
      </c>
    </row>
    <row r="10">
      <c r="A10" s="8" t="inlineStr"/>
      <c r="B10" s="8" t="inlineStr"/>
      <c r="C10" s="8" t="inlineStr"/>
      <c r="D10" s="8" t="inlineStr"/>
      <c r="E10" s="8" t="inlineStr"/>
      <c r="F10" s="8" t="inlineStr"/>
      <c r="G10" s="8" t="inlineStr"/>
    </row>
    <row r="11">
      <c r="A11" s="9">
        <f>== 저주 실 (4종) ===</f>
        <v/>
      </c>
      <c r="B11" s="9" t="inlineStr"/>
      <c r="C11" s="9" t="inlineStr"/>
      <c r="D11" s="9" t="inlineStr"/>
      <c r="E11" s="9" t="inlineStr"/>
      <c r="F11" s="9" t="inlineStr"/>
      <c r="G11" s="9" t="inlineStr"/>
    </row>
    <row r="12">
      <c r="A12" s="8" t="inlineStr">
        <is>
          <t>thread_misfortune</t>
        </is>
      </c>
      <c r="B12" s="8" t="inlineStr">
        <is>
          <t>불운의 실</t>
        </is>
      </c>
      <c r="C12" s="8" t="inlineStr">
        <is>
          <t>🧵💀</t>
        </is>
      </c>
      <c r="D12" s="8" t="inlineStr">
        <is>
          <t>저주</t>
        </is>
      </c>
      <c r="E12" s="8" t="inlineStr">
        <is>
          <t>T1/2,000G</t>
        </is>
      </c>
      <c r="F12" s="8" t="inlineStr">
        <is>
          <t>골드-10% (30분)</t>
        </is>
      </c>
      <c r="G12" s="8" t="inlineStr">
        <is>
          <t>자신 골드-15% / 카르마-5</t>
        </is>
      </c>
    </row>
    <row r="13">
      <c r="A13" s="9" t="inlineStr">
        <is>
          <t>thread_weakness</t>
        </is>
      </c>
      <c r="B13" s="9" t="inlineStr">
        <is>
          <t>쇠약의 실</t>
        </is>
      </c>
      <c r="C13" s="9" t="inlineStr">
        <is>
          <t>🧵😰</t>
        </is>
      </c>
      <c r="D13" s="9" t="inlineStr">
        <is>
          <t>저주</t>
        </is>
      </c>
      <c r="E13" s="9" t="inlineStr">
        <is>
          <t>T1/3,000G</t>
        </is>
      </c>
      <c r="F13" s="9" t="inlineStr">
        <is>
          <t>ATK-10% (30분)</t>
        </is>
      </c>
      <c r="G13" s="9" t="inlineStr">
        <is>
          <t>자신 ATK-12% / 카르마-5</t>
        </is>
      </c>
    </row>
    <row r="14">
      <c r="A14" s="8" t="inlineStr">
        <is>
          <t>thread_confusion</t>
        </is>
      </c>
      <c r="B14" s="8" t="inlineStr">
        <is>
          <t>혼란의 실</t>
        </is>
      </c>
      <c r="C14" s="8" t="inlineStr">
        <is>
          <t>🧵🌀</t>
        </is>
      </c>
      <c r="D14" s="8" t="inlineStr">
        <is>
          <t>저주</t>
        </is>
      </c>
      <c r="E14" s="8" t="inlineStr">
        <is>
          <t>T2/5,000G</t>
        </is>
      </c>
      <c r="F14" s="8" t="inlineStr">
        <is>
          <t>명중-15% (30분)</t>
        </is>
      </c>
      <c r="G14" s="8" t="inlineStr">
        <is>
          <t>자신 명중-20% / 카르마-10</t>
        </is>
      </c>
    </row>
    <row r="15">
      <c r="A15" s="9" t="inlineStr">
        <is>
          <t>thread_decay</t>
        </is>
      </c>
      <c r="B15" s="9" t="inlineStr">
        <is>
          <t>부식의 실</t>
        </is>
      </c>
      <c r="C15" s="9" t="inlineStr">
        <is>
          <t>🧵🦠</t>
        </is>
      </c>
      <c r="D15" s="9" t="inlineStr">
        <is>
          <t>저주</t>
        </is>
      </c>
      <c r="E15" s="9" t="inlineStr">
        <is>
          <t>T3/12,000G</t>
        </is>
      </c>
      <c r="F15" s="9" t="inlineStr">
        <is>
          <t>HP드레인+DEF-15% (30분)</t>
        </is>
      </c>
      <c r="G15" s="9" t="inlineStr">
        <is>
          <t>자신 HP드레인3 / 카르마-15</t>
        </is>
      </c>
    </row>
    <row r="16">
      <c r="A16" s="8" t="inlineStr"/>
      <c r="B16" s="8" t="inlineStr"/>
      <c r="C16" s="8" t="inlineStr"/>
      <c r="D16" s="8" t="inlineStr"/>
      <c r="E16" s="8" t="inlineStr"/>
      <c r="F16" s="8" t="inlineStr"/>
      <c r="G16" s="8" t="inlineStr"/>
    </row>
    <row r="17">
      <c r="A17" s="9">
        <f>== 운명 변조 (2종) ===</f>
        <v/>
      </c>
      <c r="B17" s="9" t="inlineStr"/>
      <c r="C17" s="9" t="inlineStr"/>
      <c r="D17" s="9" t="inlineStr"/>
      <c r="E17" s="9" t="inlineStr"/>
      <c r="F17" s="9" t="inlineStr"/>
      <c r="G17" s="9" t="inlineStr"/>
    </row>
    <row r="18">
      <c r="A18" s="8" t="inlineStr">
        <is>
          <t>thread_swap</t>
        </is>
      </c>
      <c r="B18" s="8" t="inlineStr">
        <is>
          <t>운명 교환</t>
        </is>
      </c>
      <c r="C18" s="8" t="inlineStr">
        <is>
          <t>🧵🔄</t>
        </is>
      </c>
      <c r="D18" s="8" t="inlineStr">
        <is>
          <t>운명</t>
        </is>
      </c>
      <c r="E18" s="8" t="inlineStr">
        <is>
          <t>T3/20,000G</t>
        </is>
      </c>
      <c r="F18" s="8" t="inlineStr">
        <is>
          <t>자신↔대상 버프/디버프 교환</t>
        </is>
      </c>
      <c r="G18" s="8" t="inlineStr">
        <is>
          <t>반작용 없음</t>
        </is>
      </c>
    </row>
    <row r="19">
      <c r="A19" s="9" t="inlineStr">
        <is>
          <t>thread_mirror</t>
        </is>
      </c>
      <c r="B19" s="9" t="inlineStr">
        <is>
          <t>거울 운명</t>
        </is>
      </c>
      <c r="C19" s="9" t="inlineStr">
        <is>
          <t>🧵🪞</t>
        </is>
      </c>
      <c r="D19" s="9" t="inlineStr">
        <is>
          <t>운명</t>
        </is>
      </c>
      <c r="E19" s="9" t="inlineStr">
        <is>
          <t>T3/25,000G</t>
        </is>
      </c>
      <c r="F19" s="9" t="inlineStr">
        <is>
          <t>대상 버프/디버프 자신도 동시 (1시간)</t>
        </is>
      </c>
      <c r="G19" s="9" t="inlineStr">
        <is>
          <t>반작용 없음</t>
        </is>
      </c>
    </row>
    <row r="20">
      <c r="A20" s="8" t="inlineStr"/>
      <c r="B20" s="8" t="inlineStr"/>
      <c r="C20" s="8" t="inlineStr"/>
      <c r="D20" s="8" t="inlineStr"/>
      <c r="E20" s="8" t="inlineStr"/>
      <c r="F20" s="8" t="inlineStr"/>
      <c r="G20" s="8" t="inlineStr"/>
    </row>
    <row r="21">
      <c r="A21" s="9">
        <f>== 시스템 ===</f>
        <v/>
      </c>
      <c r="B21" s="9" t="inlineStr"/>
      <c r="C21" s="9" t="inlineStr"/>
      <c r="D21" s="9" t="inlineStr"/>
      <c r="E21" s="9" t="inlineStr"/>
      <c r="F21" s="9" t="inlineStr"/>
      <c r="G21" s="9" t="inlineStr"/>
    </row>
    <row r="22">
      <c r="A22" s="8" t="inlineStr">
        <is>
          <t>예언</t>
        </is>
      </c>
      <c r="B22" s="8" t="inlineStr">
        <is>
          <t>1일 1회 운명 열람</t>
        </is>
      </c>
      <c r="C22" s="8" t="inlineStr">
        <is>
          <t>🔮</t>
        </is>
      </c>
      <c r="D22" s="8" t="inlineStr">
        <is>
          <t>10종 랜덤 예언</t>
        </is>
      </c>
      <c r="E22" s="8" t="inlineStr"/>
      <c r="F22" s="8" t="inlineStr">
        <is>
          <t>큰 전투, 행운, 배신 등</t>
        </is>
      </c>
      <c r="G22" s="8" t="inlineStr"/>
    </row>
    <row r="23">
      <c r="A23" s="9" t="inlineStr">
        <is>
          <t>등급</t>
        </is>
      </c>
      <c r="B23" s="9" t="inlineStr">
        <is>
          <t>실뽑기→견습직공→운명직공→운명조종자→운명의지배자</t>
        </is>
      </c>
      <c r="C23" s="9" t="inlineStr"/>
      <c r="D23" s="9" t="inlineStr">
        <is>
          <t>0/10/30/60/100회</t>
        </is>
      </c>
      <c r="E23" s="9" t="inlineStr"/>
      <c r="F23" s="9" t="inlineStr">
        <is>
          <t>직조 횟수 기반</t>
        </is>
      </c>
      <c r="G23" s="9" t="inlineStr"/>
    </row>
    <row r="24">
      <c r="A24" s="8" t="inlineStr">
        <is>
          <t>규칙</t>
        </is>
      </c>
      <c r="B24" s="8" t="inlineStr">
        <is>
          <t>저주 시 카르마 감소</t>
        </is>
      </c>
      <c r="C24" s="8" t="inlineStr"/>
      <c r="D24" s="8" t="inlineStr">
        <is>
          <t>축복은 자신에게도 사용 가능</t>
        </is>
      </c>
      <c r="E24" s="8" t="inlineStr"/>
      <c r="F24" s="8" t="inlineStr">
        <is>
          <t>반작용: 저주 강도에 비례한 디버프가 시전자에게도</t>
        </is>
      </c>
      <c r="G24" s="8" t="inlineStr"/>
    </row>
  </sheetData>
  <mergeCells count="1">
    <mergeCell ref="A1:G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12" customWidth="1" min="1" max="1"/>
    <col width="20" customWidth="1" min="2" max="2"/>
    <col width="6" customWidth="1" min="3" max="3"/>
    <col width="8" customWidth="1" min="4" max="4"/>
    <col width="8" customWidth="1" min="5" max="5"/>
    <col width="8" customWidth="1" min="6" max="6"/>
    <col width="8" customWidth="1" min="7" max="7"/>
    <col width="8" customWidth="1" min="8" max="8"/>
    <col width="32" customWidth="1" min="9" max="9"/>
    <col width="28" customWidth="1" min="10" max="10"/>
    <col width="10" customWidth="1" min="11" max="11"/>
    <col width="24" customWidth="1" min="12" max="12"/>
    <col width="8" customWidth="1" min="13" max="13"/>
  </cols>
  <sheetData>
    <row r="1">
      <c r="A1" s="6" t="inlineStr">
        <is>
          <t>드래곤 라이딩 시스템 (v2.57)</t>
        </is>
      </c>
    </row>
    <row r="3">
      <c r="A3" s="7" t="inlineStr">
        <is>
          <t>드래곤ID</t>
        </is>
      </c>
      <c r="B3" s="7" t="inlineStr">
        <is>
          <t>이름</t>
        </is>
      </c>
      <c r="C3" s="7" t="inlineStr">
        <is>
          <t>아이콘</t>
        </is>
      </c>
      <c r="D3" s="7" t="inlineStr">
        <is>
          <t>속성</t>
        </is>
      </c>
      <c r="E3" s="7" t="inlineStr">
        <is>
          <t>HP</t>
        </is>
      </c>
      <c r="F3" s="7" t="inlineStr">
        <is>
          <t>ATK</t>
        </is>
      </c>
      <c r="G3" s="7" t="inlineStr">
        <is>
          <t>DEF</t>
        </is>
      </c>
      <c r="H3" s="7" t="inlineStr">
        <is>
          <t>SPD</t>
        </is>
      </c>
      <c r="I3" s="7" t="inlineStr">
        <is>
          <t>브레스</t>
        </is>
      </c>
      <c r="J3" s="7" t="inlineStr">
        <is>
          <t>패시브</t>
        </is>
      </c>
      <c r="K3" s="7" t="inlineStr">
        <is>
          <t>레어도</t>
        </is>
      </c>
      <c r="L3" s="7" t="inlineStr">
        <is>
          <t>알 획득 방법</t>
        </is>
      </c>
      <c r="M3" s="7" t="inlineStr">
        <is>
          <t>드롭률</t>
        </is>
      </c>
    </row>
    <row r="4">
      <c r="A4" s="8" t="inlineStr">
        <is>
          <t>fire</t>
        </is>
      </c>
      <c r="B4" s="8" t="inlineStr">
        <is>
          <t>화염룡 이그니스</t>
        </is>
      </c>
      <c r="C4" s="8" t="inlineStr">
        <is>
          <t>🔥</t>
        </is>
      </c>
      <c r="D4" s="8" t="inlineStr">
        <is>
          <t>화(火)</t>
        </is>
      </c>
      <c r="E4" s="8" t="n">
        <v>800</v>
      </c>
      <c r="F4" s="8" t="n">
        <v>120</v>
      </c>
      <c r="G4" s="8" t="n">
        <v>60</v>
      </c>
      <c r="H4" s="8" t="n">
        <v>14</v>
      </c>
      <c r="I4" s="8" t="inlineStr">
        <is>
          <t>화염 브레스 (ATK×3 화염)</t>
        </is>
      </c>
      <c r="J4" s="8" t="inlineStr">
        <is>
          <t>화 속성 데미지 +30%</t>
        </is>
      </c>
      <c r="K4" s="8" t="inlineStr">
        <is>
          <t>Rare</t>
        </is>
      </c>
      <c r="L4" s="8" t="inlineStr">
        <is>
          <t>용의 둥지 (화산 지역) 보스</t>
        </is>
      </c>
      <c r="M4" s="8" t="inlineStr">
        <is>
          <t>8%</t>
        </is>
      </c>
    </row>
    <row r="5">
      <c r="A5" s="9" t="inlineStr">
        <is>
          <t>ice</t>
        </is>
      </c>
      <c r="B5" s="9" t="inlineStr">
        <is>
          <t>빙결룡 프로스트</t>
        </is>
      </c>
      <c r="C5" s="9" t="inlineStr">
        <is>
          <t>❄️</t>
        </is>
      </c>
      <c r="D5" s="9" t="inlineStr">
        <is>
          <t>빙(氷)</t>
        </is>
      </c>
      <c r="E5" s="9" t="n">
        <v>900</v>
      </c>
      <c r="F5" s="9" t="n">
        <v>90</v>
      </c>
      <c r="G5" s="9" t="n">
        <v>100</v>
      </c>
      <c r="H5" s="9" t="n">
        <v>11</v>
      </c>
      <c r="I5" s="9" t="inlineStr">
        <is>
          <t>냉기 브레스 (동결3초+ATK×2)</t>
        </is>
      </c>
      <c r="J5" s="9" t="inlineStr">
        <is>
          <t>빙 저항+50%, 적 이속-20%</t>
        </is>
      </c>
      <c r="K5" s="9" t="inlineStr">
        <is>
          <t>Rare</t>
        </is>
      </c>
      <c r="L5" s="9" t="inlineStr">
        <is>
          <t>빙하 동굴 보스</t>
        </is>
      </c>
      <c r="M5" s="9" t="inlineStr">
        <is>
          <t>8%</t>
        </is>
      </c>
    </row>
    <row r="6">
      <c r="A6" s="8" t="inlineStr">
        <is>
          <t>thunder</t>
        </is>
      </c>
      <c r="B6" s="8" t="inlineStr">
        <is>
          <t>뇌전룡 볼텍스</t>
        </is>
      </c>
      <c r="C6" s="8" t="inlineStr">
        <is>
          <t>⚡</t>
        </is>
      </c>
      <c r="D6" s="8" t="inlineStr">
        <is>
          <t>뇌(雷)</t>
        </is>
      </c>
      <c r="E6" s="8" t="n">
        <v>700</v>
      </c>
      <c r="F6" s="8" t="n">
        <v>140</v>
      </c>
      <c r="G6" s="8" t="n">
        <v>50</v>
      </c>
      <c r="H6" s="8" t="n">
        <v>20</v>
      </c>
      <c r="I6" s="8" t="inlineStr">
        <is>
          <t>뇌전 브레스 (랜덤3체 ATK×2.5)</t>
        </is>
      </c>
      <c r="J6" s="8" t="inlineStr">
        <is>
          <t>공속+40%, 크리+15%</t>
        </is>
      </c>
      <c r="K6" s="8" t="inlineStr">
        <is>
          <t>Rare</t>
        </is>
      </c>
      <c r="L6" s="8" t="inlineStr">
        <is>
          <t>뇌운 봉우리 보스</t>
        </is>
      </c>
      <c r="M6" s="8" t="inlineStr">
        <is>
          <t>8%</t>
        </is>
      </c>
    </row>
    <row r="7">
      <c r="A7" s="9" t="inlineStr">
        <is>
          <t>shadow</t>
        </is>
      </c>
      <c r="B7" s="9" t="inlineStr">
        <is>
          <t>암흑룡 네크로스</t>
        </is>
      </c>
      <c r="C7" s="9" t="inlineStr">
        <is>
          <t>🌑</t>
        </is>
      </c>
      <c r="D7" s="9" t="inlineStr">
        <is>
          <t>암(暗)</t>
        </is>
      </c>
      <c r="E7" s="9" t="n">
        <v>850</v>
      </c>
      <c r="F7" s="9" t="n">
        <v>110</v>
      </c>
      <c r="G7" s="9" t="n">
        <v>80</v>
      </c>
      <c r="H7" s="9" t="n">
        <v>13</v>
      </c>
      <c r="I7" s="9" t="inlineStr">
        <is>
          <t>암흑 브레스 (HP흡수 ATK×2+공포2초)</t>
        </is>
      </c>
      <c r="J7" s="9" t="inlineStr">
        <is>
          <t>암 속성+25%, 흡혈+10%</t>
        </is>
      </c>
      <c r="K7" s="9" t="inlineStr">
        <is>
          <t>Epic</t>
        </is>
      </c>
      <c r="L7" s="9" t="inlineStr">
        <is>
          <t>암흑 심연 보스</t>
        </is>
      </c>
      <c r="M7" s="9" t="inlineStr">
        <is>
          <t>5%</t>
        </is>
      </c>
    </row>
    <row r="8">
      <c r="A8" s="8" t="inlineStr">
        <is>
          <t>holy</t>
        </is>
      </c>
      <c r="B8" s="8" t="inlineStr">
        <is>
          <t>성룡 아우렐리우스</t>
        </is>
      </c>
      <c r="C8" s="8" t="inlineStr">
        <is>
          <t>✨</t>
        </is>
      </c>
      <c r="D8" s="8" t="inlineStr">
        <is>
          <t>광(光)</t>
        </is>
      </c>
      <c r="E8" s="8" t="n">
        <v>1000</v>
      </c>
      <c r="F8" s="8" t="n">
        <v>100</v>
      </c>
      <c r="G8" s="8" t="n">
        <v>90</v>
      </c>
      <c r="H8" s="8" t="n">
        <v>15</v>
      </c>
      <c r="I8" s="8" t="inlineStr">
        <is>
          <t>성광 브레스 (ATK×2 광역+아군HP15%회복)</t>
        </is>
      </c>
      <c r="J8" s="8" t="inlineStr">
        <is>
          <t>광 속성+20%, 자동회복3%/초</t>
        </is>
      </c>
      <c r="K8" s="8" t="inlineStr">
        <is>
          <t>Epic</t>
        </is>
      </c>
      <c r="L8" s="8" t="inlineStr">
        <is>
          <t>천상 신전 보스</t>
        </is>
      </c>
      <c r="M8" s="8" t="inlineStr">
        <is>
          <t>5%</t>
        </is>
      </c>
    </row>
    <row r="9">
      <c r="A9" s="9" t="inlineStr">
        <is>
          <t>earth</t>
        </is>
      </c>
      <c r="B9" s="9" t="inlineStr">
        <is>
          <t>대지룡 테라</t>
        </is>
      </c>
      <c r="C9" s="9" t="inlineStr">
        <is>
          <t>🌍</t>
        </is>
      </c>
      <c r="D9" s="9" t="inlineStr">
        <is>
          <t>지(地)</t>
        </is>
      </c>
      <c r="E9" s="9" t="n">
        <v>1200</v>
      </c>
      <c r="F9" s="9" t="n">
        <v>80</v>
      </c>
      <c r="G9" s="9" t="n">
        <v>130</v>
      </c>
      <c r="H9" s="9" t="n">
        <v>9</v>
      </c>
      <c r="I9" s="9" t="inlineStr">
        <is>
          <t>지진 브레스 (주변 ATK×2+스턴2초)</t>
        </is>
      </c>
      <c r="J9" s="9" t="inlineStr">
        <is>
          <t>DEF+40%, 넉백 면역</t>
        </is>
      </c>
      <c r="K9" s="9" t="inlineStr">
        <is>
          <t>Rare</t>
        </is>
      </c>
      <c r="L9" s="9" t="inlineStr">
        <is>
          <t>대지의 심장 보스</t>
        </is>
      </c>
      <c r="M9" s="9" t="inlineStr">
        <is>
          <t>8%</t>
        </is>
      </c>
    </row>
    <row r="10">
      <c r="A10" s="8" t="inlineStr">
        <is>
          <t>void</t>
        </is>
      </c>
      <c r="B10" s="8" t="inlineStr">
        <is>
          <t>공허룡 아비스</t>
        </is>
      </c>
      <c r="C10" s="8" t="inlineStr">
        <is>
          <t>🕳️</t>
        </is>
      </c>
      <c r="D10" s="8" t="inlineStr">
        <is>
          <t>공허</t>
        </is>
      </c>
      <c r="E10" s="8" t="n">
        <v>750</v>
      </c>
      <c r="F10" s="8" t="n">
        <v>160</v>
      </c>
      <c r="G10" s="8" t="n">
        <v>40</v>
      </c>
      <c r="H10" s="8" t="n">
        <v>18</v>
      </c>
      <c r="I10" s="8" t="inlineStr">
        <is>
          <t>공허 브레스 (현재HP 20% 삭제)</t>
        </is>
      </c>
      <c r="J10" s="8" t="inlineStr">
        <is>
          <t>전속성 저항+15%, 회피+10%</t>
        </is>
      </c>
      <c r="K10" s="8" t="inlineStr">
        <is>
          <t>Legendary</t>
        </is>
      </c>
      <c r="L10" s="8" t="inlineStr">
        <is>
          <t>차원의 틈 보스 (Lv.40+)</t>
        </is>
      </c>
      <c r="M10" s="8" t="inlineStr">
        <is>
          <t>3%</t>
        </is>
      </c>
    </row>
    <row r="11">
      <c r="A11" s="9" t="inlineStr">
        <is>
          <t>chaos</t>
        </is>
      </c>
      <c r="B11" s="9" t="inlineStr">
        <is>
          <t>혼돈룡 카오스</t>
        </is>
      </c>
      <c r="C11" s="9" t="inlineStr">
        <is>
          <t>🌀</t>
        </is>
      </c>
      <c r="D11" s="9" t="inlineStr">
        <is>
          <t>혼돈</t>
        </is>
      </c>
      <c r="E11" s="9" t="n">
        <v>1000</v>
      </c>
      <c r="F11" s="9" t="n">
        <v>130</v>
      </c>
      <c r="G11" s="9" t="n">
        <v>70</v>
      </c>
      <c r="H11" s="9" t="n">
        <v>16</v>
      </c>
      <c r="I11" s="9" t="inlineStr">
        <is>
          <t>혼돈 브레스 (랜덤속성 ATK×4+랜덤 버프/디버프)</t>
        </is>
      </c>
      <c r="J11" s="9" t="inlineStr">
        <is>
          <t>전체 스탯+15%, 매10초 랜덤 강력 버프</t>
        </is>
      </c>
      <c r="K11" s="9" t="inlineStr">
        <is>
          <t>Mythic</t>
        </is>
      </c>
      <c r="L11" s="9" t="inlineStr">
        <is>
          <t>7종 드래곤 만렙 달성 보상</t>
        </is>
      </c>
      <c r="M11" s="9" t="inlineStr">
        <is>
          <t>자동 해금</t>
        </is>
      </c>
    </row>
  </sheetData>
  <mergeCells count="1">
    <mergeCell ref="A1:M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16" customWidth="1" min="1" max="1"/>
    <col width="16" customWidth="1" min="2" max="2"/>
    <col width="6" customWidth="1" min="3" max="3"/>
    <col width="14" customWidth="1" min="4" max="4"/>
    <col width="16" customWidth="1" min="5" max="5"/>
    <col width="20" customWidth="1" min="6" max="6"/>
    <col width="32" customWidth="1" min="7" max="7"/>
  </cols>
  <sheetData>
    <row r="1">
      <c r="A1" s="6" t="inlineStr">
        <is>
          <t>드래곤 성장 &amp; 비행 스킬 상세</t>
        </is>
      </c>
    </row>
    <row r="3">
      <c r="A3" s="7" t="inlineStr">
        <is>
          <t>항목</t>
        </is>
      </c>
      <c r="B3" s="7" t="inlineStr">
        <is>
          <t>단계명</t>
        </is>
      </c>
      <c r="C3" s="7" t="inlineStr">
        <is>
          <t>아이콘</t>
        </is>
      </c>
      <c r="D3" s="7" t="inlineStr">
        <is>
          <t>필요 레벨</t>
        </is>
      </c>
      <c r="E3" s="7" t="inlineStr">
        <is>
          <t>필요 먹이 횟수</t>
        </is>
      </c>
      <c r="F3" s="7" t="inlineStr">
        <is>
          <t>스탯 배율</t>
        </is>
      </c>
      <c r="G3" s="7" t="inlineStr">
        <is>
          <t>설명</t>
        </is>
      </c>
    </row>
    <row r="4">
      <c r="A4" s="8">
        <f>== 성장 단계 (6단계) ===</f>
        <v/>
      </c>
      <c r="B4" s="8" t="inlineStr"/>
      <c r="C4" s="8" t="inlineStr"/>
      <c r="D4" s="8" t="inlineStr"/>
      <c r="E4" s="8" t="inlineStr"/>
      <c r="F4" s="8" t="inlineStr"/>
      <c r="G4" s="8" t="inlineStr"/>
    </row>
    <row r="5">
      <c r="A5" s="9" t="inlineStr">
        <is>
          <t>0</t>
        </is>
      </c>
      <c r="B5" s="9" t="inlineStr">
        <is>
          <t>알</t>
        </is>
      </c>
      <c r="C5" s="9" t="inlineStr">
        <is>
          <t>🥚</t>
        </is>
      </c>
      <c r="D5" s="9" t="n">
        <v>0</v>
      </c>
      <c r="E5" s="9" t="n">
        <v>0</v>
      </c>
      <c r="F5" s="9" t="inlineStr">
        <is>
          <t>0x</t>
        </is>
      </c>
      <c r="G5" s="9" t="inlineStr">
        <is>
          <t>부화를 기다리는 알</t>
        </is>
      </c>
    </row>
    <row r="6">
      <c r="A6" s="8" t="inlineStr">
        <is>
          <t>1</t>
        </is>
      </c>
      <c r="B6" s="8" t="inlineStr">
        <is>
          <t>해츨링</t>
        </is>
      </c>
      <c r="C6" s="8" t="inlineStr">
        <is>
          <t>🐣</t>
        </is>
      </c>
      <c r="D6" s="8" t="n">
        <v>1</v>
      </c>
      <c r="E6" s="8" t="n">
        <v>10</v>
      </c>
      <c r="F6" s="8" t="inlineStr">
        <is>
          <t>0.3x</t>
        </is>
      </c>
      <c r="G6" s="8" t="inlineStr">
        <is>
          <t>갓 태어난 아기 용</t>
        </is>
      </c>
    </row>
    <row r="7">
      <c r="A7" s="9" t="inlineStr">
        <is>
          <t>2</t>
        </is>
      </c>
      <c r="B7" s="9" t="inlineStr">
        <is>
          <t>유룡</t>
        </is>
      </c>
      <c r="C7" s="9" t="inlineStr">
        <is>
          <t>🐉</t>
        </is>
      </c>
      <c r="D7" s="9" t="n">
        <v>5</v>
      </c>
      <c r="E7" s="9" t="n">
        <v>30</v>
      </c>
      <c r="F7" s="9" t="inlineStr">
        <is>
          <t>0.5x</t>
        </is>
      </c>
      <c r="G7" s="9" t="inlineStr">
        <is>
          <t>날개가 자라기 시작 — 탑승 가능!</t>
        </is>
      </c>
    </row>
    <row r="8">
      <c r="A8" s="8" t="inlineStr">
        <is>
          <t>3</t>
        </is>
      </c>
      <c r="B8" s="8" t="inlineStr">
        <is>
          <t>성룡</t>
        </is>
      </c>
      <c r="C8" s="8" t="inlineStr">
        <is>
          <t>🐲</t>
        </is>
      </c>
      <c r="D8" s="8" t="n">
        <v>15</v>
      </c>
      <c r="E8" s="8" t="n">
        <v>60</v>
      </c>
      <c r="F8" s="8" t="inlineStr">
        <is>
          <t>0.8x</t>
        </is>
      </c>
      <c r="G8" s="8" t="inlineStr">
        <is>
          <t>하늘을 나는 성체 용</t>
        </is>
      </c>
    </row>
    <row r="9">
      <c r="A9" s="9" t="inlineStr">
        <is>
          <t>4</t>
        </is>
      </c>
      <c r="B9" s="9" t="inlineStr">
        <is>
          <t>고대룡</t>
        </is>
      </c>
      <c r="C9" s="9" t="inlineStr">
        <is>
          <t>👑</t>
        </is>
      </c>
      <c r="D9" s="9" t="n">
        <v>30</v>
      </c>
      <c r="E9" s="9" t="n">
        <v>100</v>
      </c>
      <c r="F9" s="9" t="inlineStr">
        <is>
          <t>1.0x</t>
        </is>
      </c>
      <c r="G9" s="9" t="inlineStr">
        <is>
          <t>수천 년을 살아온 고대의 존재</t>
        </is>
      </c>
    </row>
    <row r="10">
      <c r="A10" s="8" t="inlineStr">
        <is>
          <t>5</t>
        </is>
      </c>
      <c r="B10" s="8" t="inlineStr">
        <is>
          <t>신룡</t>
        </is>
      </c>
      <c r="C10" s="8" t="inlineStr">
        <is>
          <t>⭐</t>
        </is>
      </c>
      <c r="D10" s="8" t="n">
        <v>50</v>
      </c>
      <c r="E10" s="8" t="n">
        <v>200</v>
      </c>
      <c r="F10" s="8" t="inlineStr">
        <is>
          <t>1.5x</t>
        </is>
      </c>
      <c r="G10" s="8" t="inlineStr">
        <is>
          <t>신의 영역에 도달한 전설의 용</t>
        </is>
      </c>
    </row>
    <row r="11">
      <c r="A11" s="9" t="inlineStr"/>
      <c r="B11" s="9" t="inlineStr"/>
      <c r="C11" s="9" t="inlineStr"/>
      <c r="D11" s="9" t="inlineStr"/>
      <c r="E11" s="9" t="inlineStr"/>
      <c r="F11" s="9" t="inlineStr"/>
      <c r="G11" s="9" t="inlineStr"/>
    </row>
    <row r="12">
      <c r="A12" s="8">
        <f>== 먹이 아이템 ===</f>
        <v/>
      </c>
      <c r="B12" s="8" t="inlineStr"/>
      <c r="C12" s="8" t="inlineStr"/>
      <c r="D12" s="8" t="inlineStr"/>
      <c r="E12" s="8" t="inlineStr"/>
      <c r="F12" s="8" t="inlineStr"/>
      <c r="G12" s="8" t="inlineStr"/>
    </row>
    <row r="13">
      <c r="A13" s="9" t="inlineStr">
        <is>
          <t>dragon_meat</t>
        </is>
      </c>
      <c r="B13" s="9" t="inlineStr">
        <is>
          <t>용의 고기</t>
        </is>
      </c>
      <c r="C13" s="9" t="inlineStr"/>
      <c r="D13" s="9" t="inlineStr"/>
      <c r="E13" s="9" t="inlineStr">
        <is>
          <t>EXP 50</t>
        </is>
      </c>
      <c r="F13" s="9" t="inlineStr">
        <is>
          <t>500G</t>
        </is>
      </c>
      <c r="G13" s="9" t="inlineStr">
        <is>
          <t>기본 먹이</t>
        </is>
      </c>
    </row>
    <row r="14">
      <c r="A14" s="8" t="inlineStr">
        <is>
          <t>dragon_crystal</t>
        </is>
      </c>
      <c r="B14" s="8" t="inlineStr">
        <is>
          <t>마력 결정</t>
        </is>
      </c>
      <c r="C14" s="8" t="inlineStr"/>
      <c r="D14" s="8" t="inlineStr"/>
      <c r="E14" s="8" t="inlineStr">
        <is>
          <t>EXP 150</t>
        </is>
      </c>
      <c r="F14" s="8" t="inlineStr">
        <is>
          <t>2,000G</t>
        </is>
      </c>
      <c r="G14" s="8" t="inlineStr">
        <is>
          <t>마력이 응축된 결정</t>
        </is>
      </c>
    </row>
    <row r="15">
      <c r="A15" s="9" t="inlineStr">
        <is>
          <t>dragon_heart</t>
        </is>
      </c>
      <c r="B15" s="9" t="inlineStr">
        <is>
          <t>드래곤 하트</t>
        </is>
      </c>
      <c r="C15" s="9" t="inlineStr"/>
      <c r="D15" s="9" t="inlineStr"/>
      <c r="E15" s="9" t="inlineStr">
        <is>
          <t>EXP 500</t>
        </is>
      </c>
      <c r="F15" s="9" t="inlineStr">
        <is>
          <t>10,000G</t>
        </is>
      </c>
      <c r="G15" s="9" t="inlineStr">
        <is>
          <t>보스 드래곤의 심장</t>
        </is>
      </c>
    </row>
    <row r="16">
      <c r="A16" s="8" t="inlineStr">
        <is>
          <t>dragon_stardust</t>
        </is>
      </c>
      <c r="B16" s="8" t="inlineStr">
        <is>
          <t>별의 먹지</t>
        </is>
      </c>
      <c r="C16" s="8" t="inlineStr"/>
      <c r="D16" s="8" t="inlineStr"/>
      <c r="E16" s="8" t="inlineStr">
        <is>
          <t>EXP 1,000</t>
        </is>
      </c>
      <c r="F16" s="8" t="inlineStr">
        <is>
          <t>이벤트/레이드</t>
        </is>
      </c>
      <c r="G16" s="8" t="inlineStr">
        <is>
          <t>최상급 먹이</t>
        </is>
      </c>
    </row>
    <row r="17">
      <c r="A17" s="9" t="inlineStr"/>
      <c r="B17" s="9" t="inlineStr"/>
      <c r="C17" s="9" t="inlineStr"/>
      <c r="D17" s="9" t="inlineStr"/>
      <c r="E17" s="9" t="inlineStr"/>
      <c r="F17" s="9" t="inlineStr"/>
      <c r="G17" s="9" t="inlineStr"/>
    </row>
    <row r="18">
      <c r="A18" s="8">
        <f>== 비행 스킬 (탑승 시 사용) ===</f>
        <v/>
      </c>
      <c r="B18" s="8" t="inlineStr"/>
      <c r="C18" s="8" t="inlineStr"/>
      <c r="D18" s="8" t="inlineStr"/>
      <c r="E18" s="8" t="inlineStr"/>
      <c r="F18" s="8" t="inlineStr"/>
      <c r="G18" s="8" t="inlineStr"/>
    </row>
    <row r="19">
      <c r="A19" s="9" t="inlineStr">
        <is>
          <t>divebomb</t>
        </is>
      </c>
      <c r="B19" s="9" t="inlineStr">
        <is>
          <t>급강하 폭격</t>
        </is>
      </c>
      <c r="C19" s="9" t="inlineStr"/>
      <c r="D19" s="9" t="inlineStr">
        <is>
          <t>유룡(2단계)</t>
        </is>
      </c>
      <c r="E19" s="9" t="inlineStr">
        <is>
          <t>쿨 15초</t>
        </is>
      </c>
      <c r="F19" s="9" t="inlineStr">
        <is>
          <t>ATK×5 단일+스턴2초</t>
        </is>
      </c>
      <c r="G19" s="9" t="inlineStr"/>
    </row>
    <row r="20">
      <c r="A20" s="8" t="inlineStr">
        <is>
          <t>wingblade</t>
        </is>
      </c>
      <c r="B20" s="8" t="inlineStr">
        <is>
          <t>날개 칼바람</t>
        </is>
      </c>
      <c r="C20" s="8" t="inlineStr"/>
      <c r="D20" s="8" t="inlineStr">
        <is>
          <t>해츨링(1단계)</t>
        </is>
      </c>
      <c r="E20" s="8" t="inlineStr">
        <is>
          <t>쿨 10초</t>
        </is>
      </c>
      <c r="F20" s="8" t="inlineStr">
        <is>
          <t>주변 ATK×2 광역</t>
        </is>
      </c>
      <c r="G20" s="8" t="inlineStr"/>
    </row>
    <row r="21">
      <c r="A21" s="9" t="inlineStr">
        <is>
          <t>skydance</t>
        </is>
      </c>
      <c r="B21" s="9" t="inlineStr">
        <is>
          <t>하늘춤</t>
        </is>
      </c>
      <c r="C21" s="9" t="inlineStr"/>
      <c r="D21" s="9" t="inlineStr">
        <is>
          <t>성룡(3단계)</t>
        </is>
      </c>
      <c r="E21" s="9" t="inlineStr">
        <is>
          <t>쿨 20초</t>
        </is>
      </c>
      <c r="F21" s="9" t="inlineStr">
        <is>
          <t>5초 무적+회피100%</t>
        </is>
      </c>
      <c r="G21" s="9" t="inlineStr"/>
    </row>
    <row r="22">
      <c r="A22" s="8" t="inlineStr">
        <is>
          <t>dragonroar</t>
        </is>
      </c>
      <c r="B22" s="8" t="inlineStr">
        <is>
          <t>용의 포효</t>
        </is>
      </c>
      <c r="C22" s="8" t="inlineStr"/>
      <c r="D22" s="8" t="inlineStr">
        <is>
          <t>고대룡(4단계)</t>
        </is>
      </c>
      <c r="E22" s="8" t="inlineStr">
        <is>
          <t>쿨 30초</t>
        </is>
      </c>
      <c r="F22" s="8" t="inlineStr">
        <is>
          <t>적 전원 공포3초+DEF-30%</t>
        </is>
      </c>
      <c r="G22" s="8" t="inlineStr"/>
    </row>
    <row r="23">
      <c r="A23" s="9" t="inlineStr">
        <is>
          <t>dracosurge</t>
        </is>
      </c>
      <c r="B23" s="9" t="inlineStr">
        <is>
          <t>드래곤 서지</t>
        </is>
      </c>
      <c r="C23" s="9" t="inlineStr"/>
      <c r="D23" s="9" t="inlineStr">
        <is>
          <t>신룡(5단계)</t>
        </is>
      </c>
      <c r="E23" s="9" t="inlineStr">
        <is>
          <t>쿨 60초</t>
        </is>
      </c>
      <c r="F23" s="9" t="inlineStr">
        <is>
          <t>30초간 스탯2배+브레스 강화</t>
        </is>
      </c>
      <c r="G23" s="9" t="inlineStr"/>
    </row>
    <row r="24">
      <c r="A24" s="8" t="inlineStr"/>
      <c r="B24" s="8" t="inlineStr"/>
      <c r="C24" s="8" t="inlineStr"/>
      <c r="D24" s="8" t="inlineStr"/>
      <c r="E24" s="8" t="inlineStr"/>
      <c r="F24" s="8" t="inlineStr"/>
      <c r="G24" s="8" t="inlineStr"/>
    </row>
    <row r="25">
      <c r="A25" s="9">
        <f>== 친밀도 ===</f>
        <v/>
      </c>
      <c r="B25" s="9" t="inlineStr"/>
      <c r="C25" s="9" t="inlineStr"/>
      <c r="D25" s="9" t="inlineStr"/>
      <c r="E25" s="9" t="inlineStr"/>
      <c r="F25" s="9" t="inlineStr"/>
      <c r="G25" s="9" t="inlineStr"/>
    </row>
    <row r="26">
      <c r="A26" s="8" t="inlineStr">
        <is>
          <t>시스템</t>
        </is>
      </c>
      <c r="B26" s="8" t="inlineStr">
        <is>
          <t>먹이 1회당 +1 (최대 100)</t>
        </is>
      </c>
      <c r="C26" s="8" t="inlineStr"/>
      <c r="D26" s="8" t="inlineStr">
        <is>
          <t>친밀도 50+시 allStats 보너스</t>
        </is>
      </c>
      <c r="E26" s="8" t="inlineStr"/>
      <c r="F26" s="8" t="inlineStr">
        <is>
          <t>보너스 = (친밀도-50) × 0.001</t>
        </is>
      </c>
      <c r="G26" s="8" t="inlineStr">
        <is>
          <t>레벨업 시 스탯 × (1 + 레벨×0.03) × (1 + 친밀도×0.002)</t>
        </is>
      </c>
    </row>
  </sheetData>
  <mergeCells count="1">
    <mergeCell ref="A1:G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4" customWidth="1" min="1" max="1"/>
    <col width="24" customWidth="1" min="2" max="2"/>
    <col width="6" customWidth="1" min="3" max="3"/>
    <col width="10" customWidth="1" min="4" max="4"/>
    <col width="8" customWidth="1" min="5" max="5"/>
    <col width="8" customWidth="1" min="6" max="6"/>
    <col width="40" customWidth="1" min="7" max="7"/>
    <col width="22" customWidth="1" min="8" max="8"/>
    <col width="14" customWidth="1" min="9" max="9"/>
    <col width="22" customWidth="1" min="10" max="10"/>
    <col width="28" customWidth="1" min="11" max="11"/>
  </cols>
  <sheetData>
    <row r="1">
      <c r="A1" s="6" t="inlineStr">
        <is>
          <t>드래곤 레이드 보스</t>
        </is>
      </c>
    </row>
    <row r="3">
      <c r="A3" s="7" t="inlineStr">
        <is>
          <t>보스ID</t>
        </is>
      </c>
      <c r="B3" s="7" t="inlineStr">
        <is>
          <t>이름</t>
        </is>
      </c>
      <c r="C3" s="7" t="inlineStr">
        <is>
          <t>아이콘</t>
        </is>
      </c>
      <c r="D3" s="7" t="inlineStr">
        <is>
          <t>HP</t>
        </is>
      </c>
      <c r="E3" s="7" t="inlineStr">
        <is>
          <t>ATK</t>
        </is>
      </c>
      <c r="F3" s="7" t="inlineStr">
        <is>
          <t>DEF</t>
        </is>
      </c>
      <c r="G3" s="7" t="inlineStr">
        <is>
          <t>기믹</t>
        </is>
      </c>
      <c r="H3" s="7" t="inlineStr">
        <is>
          <t>보상</t>
        </is>
      </c>
      <c r="I3" s="7" t="inlineStr">
        <is>
          <t>필요 드래곤 수</t>
        </is>
      </c>
      <c r="J3" s="7" t="inlineStr">
        <is>
          <t>특수 드롭</t>
        </is>
      </c>
      <c r="K3" s="7" t="inlineStr">
        <is>
          <t>드롭 효과</t>
        </is>
      </c>
    </row>
    <row r="4">
      <c r="A4" s="8" t="inlineStr">
        <is>
          <t>ancient_wyrm</t>
        </is>
      </c>
      <c r="B4" s="8" t="inlineStr">
        <is>
          <t>태고의 대사 요르문간드</t>
        </is>
      </c>
      <c r="C4" s="8" t="inlineStr">
        <is>
          <t>🐍</t>
        </is>
      </c>
      <c r="D4" s="8" t="n">
        <v>500000</v>
      </c>
      <c r="E4" s="8" t="n">
        <v>800</v>
      </c>
      <c r="F4" s="8" t="n">
        <v>300</v>
      </c>
      <c r="G4" s="8" t="inlineStr">
        <is>
          <t>독 안개(전체DOT), 꼬리 휩쓸기(넉백), 삼킴(즉사판정)</t>
        </is>
      </c>
      <c r="H4" s="8" t="inlineStr">
        <is>
          <t>50,000G + 차원석20</t>
        </is>
      </c>
      <c r="I4" s="8" t="inlineStr">
        <is>
          <t>3마리 이상</t>
        </is>
      </c>
      <c r="J4" s="8" t="inlineStr">
        <is>
          <t>요르문간드의 비늘 갑옷</t>
        </is>
      </c>
      <c r="K4" s="8" t="inlineStr">
        <is>
          <t>DEF+80, HP+300, 독저항+50%</t>
        </is>
      </c>
    </row>
    <row r="5">
      <c r="A5" s="9" t="inlineStr">
        <is>
          <t>sky_titan</t>
        </is>
      </c>
      <c r="B5" s="9" t="inlineStr">
        <is>
          <t>하늘의 왕 바하무트</t>
        </is>
      </c>
      <c r="C5" s="9" t="inlineStr">
        <is>
          <t>👑</t>
        </is>
      </c>
      <c r="D5" s="9" t="n">
        <v>800000</v>
      </c>
      <c r="E5" s="9" t="n">
        <v>1200</v>
      </c>
      <c r="F5" s="9" t="n">
        <v>500</v>
      </c>
      <c r="G5" s="9" t="inlineStr">
        <is>
          <t>메가 플레어(카운트다운 전체), 차원 이동(페이즈), 브레스 반사</t>
        </is>
      </c>
      <c r="H5" s="9" t="inlineStr">
        <is>
          <t>100,000G + 차원석40</t>
        </is>
      </c>
      <c r="I5" s="9" t="inlineStr">
        <is>
          <t>5마리 이상</t>
        </is>
      </c>
      <c r="J5" s="9" t="inlineStr">
        <is>
          <t>바하무트의 날개</t>
        </is>
      </c>
      <c r="K5" s="9" t="inlineStr">
        <is>
          <t>SPD+10, ATK+50, 전체데미지+15%</t>
        </is>
      </c>
    </row>
    <row r="6">
      <c r="A6" s="8" t="inlineStr">
        <is>
          <t>void_dragon</t>
        </is>
      </c>
      <c r="B6" s="8" t="inlineStr">
        <is>
          <t>차원포식자 니드호그</t>
        </is>
      </c>
      <c r="C6" s="8" t="inlineStr">
        <is>
          <t>🕳️</t>
        </is>
      </c>
      <c r="D6" s="8" t="n">
        <v>1000000</v>
      </c>
      <c r="E6" s="8" t="n">
        <v>1500</v>
      </c>
      <c r="F6" s="8" t="n">
        <v>400</v>
      </c>
      <c r="G6" s="8" t="inlineStr">
        <is>
          <t>차원 붕괴(맵축소), 존재 삭제(HP비율), 공허 폭발(패턴회피)</t>
        </is>
      </c>
      <c r="H6" s="8" t="inlineStr">
        <is>
          <t>200,000G + 차원석80</t>
        </is>
      </c>
      <c r="I6" s="8" t="inlineStr">
        <is>
          <t>7종 전원</t>
        </is>
      </c>
      <c r="J6" s="8" t="inlineStr">
        <is>
          <t>니드호그의 이빨</t>
        </is>
      </c>
      <c r="K6" s="8" t="inlineStr">
        <is>
          <t>ATK+100, 크리티컬 데미지+30%</t>
        </is>
      </c>
    </row>
  </sheetData>
  <mergeCells count="1">
    <mergeCell ref="A1:K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14" customWidth="1" min="1" max="1"/>
    <col width="28" customWidth="1" min="2" max="2"/>
    <col width="52" customWidth="1" min="3" max="3"/>
    <col width="30" customWidth="1" min="4" max="4"/>
  </cols>
  <sheetData>
    <row r="1">
      <c r="A1" s="6" t="inlineStr">
        <is>
          <t>v2.37 ~ v2.57 패치노트 &amp; 버그 수정</t>
        </is>
      </c>
    </row>
    <row r="3">
      <c r="A3" s="7" t="inlineStr">
        <is>
          <t>버전</t>
        </is>
      </c>
      <c r="B3" s="7" t="inlineStr">
        <is>
          <t>제목</t>
        </is>
      </c>
      <c r="C3" s="7" t="inlineStr">
        <is>
          <t>주요 변경사항</t>
        </is>
      </c>
      <c r="D3" s="7" t="inlineStr">
        <is>
          <t>영향 범위</t>
        </is>
      </c>
    </row>
    <row r="4">
      <c r="A4" s="8" t="inlineStr">
        <is>
          <t>v2.37</t>
        </is>
      </c>
      <c r="B4" s="8" t="inlineStr">
        <is>
          <t>마법 연구소</t>
        </is>
      </c>
      <c r="C4" s="8" t="inlineStr">
        <is>
          <t>마법 연구 20종, 스킬 합성 4종, 마법서 시스템</t>
        </is>
      </c>
      <c r="D4" s="8" t="inlineStr">
        <is>
          <t>game/magic_lab.js</t>
        </is>
      </c>
    </row>
    <row r="5">
      <c r="A5" s="9" t="inlineStr">
        <is>
          <t>v2.38~v2.56</t>
        </is>
      </c>
      <c r="B5" s="9" t="inlineStr">
        <is>
          <t>19개 판타지 시스템</t>
        </is>
      </c>
      <c r="C5" s="9" t="inlineStr">
        <is>
          <t>달빛 성역, 무기 영혼, 부유 요새, 영체 이탈, 저주 던전, 운명의 결투, 영혼 대장간, 환영 투기장, 꿈의 건축가, 별자리 전쟁, 금서의 도서관, 거수 합체, 상인 캐러밴, 기억 궁전, 마왕의 옥좌, 천상 대장간, 살아있는 마도서, 세계의 씨앗, 운명의 직공</t>
        </is>
      </c>
      <c r="D5" s="9" t="inlineStr">
        <is>
          <t>game/*.js + handlers/</t>
        </is>
      </c>
    </row>
    <row r="6">
      <c r="A6" s="8" t="inlineStr">
        <is>
          <t>v2.57</t>
        </is>
      </c>
      <c r="B6" s="8" t="inlineStr">
        <is>
          <t>드래곤 라이딩</t>
        </is>
      </c>
      <c r="C6" s="8" t="inlineStr">
        <is>
          <t>8종 드래곤 (화/빙/뇌/암/광/지/공/혼), 6단계 성장, 비행 전투, 브레스/스킬, 레이드 보스 3종</t>
        </is>
      </c>
      <c r="D6" s="8" t="inlineStr">
        <is>
          <t>game/dragon_riding.js + handlers/</t>
        </is>
      </c>
    </row>
    <row r="7">
      <c r="A7" s="9" t="inlineStr">
        <is>
          <t>v2.57</t>
        </is>
      </c>
      <c r="B7" s="9" t="inlineStr">
        <is>
          <t>UI 판타지 테마</t>
        </is>
      </c>
      <c r="C7" s="9" t="inlineStr">
        <is>
          <t>Cinzel 판타지 폰트, 마법진 로딩 애니메이션, 아케인 글로우, 파티클 이펙트</t>
        </is>
      </c>
      <c r="D7" s="9" t="inlineStr">
        <is>
          <t>public/css/style.css + index.html</t>
        </is>
      </c>
    </row>
    <row r="8">
      <c r="A8" s="8" t="inlineStr">
        <is>
          <t>v2.57</t>
        </is>
      </c>
      <c r="B8" s="8" t="inlineStr">
        <is>
          <t>보너스 집계 연동</t>
        </is>
      </c>
      <c r="C8" s="8" t="inlineStr">
        <is>
          <t>드래곤 탑승 패시브 → bonus_aggregator 연동, 성장 단계 비례</t>
        </is>
      </c>
      <c r="D8" s="8" t="inlineStr">
        <is>
          <t>game/bonus_aggregator.js</t>
        </is>
      </c>
    </row>
    <row r="9">
      <c r="A9" s="9" t="inlineStr">
        <is>
          <t>v2.57</t>
        </is>
      </c>
      <c r="B9" s="9" t="inlineStr">
        <is>
          <t>NPC 대화 확장</t>
        </is>
      </c>
      <c r="C9" s="9" t="inlineStr">
        <is>
          <t>드래곤 탑승 시 NPC 반응 대사, 7종 마스터 특별 대사</t>
        </is>
      </c>
      <c r="D9" s="9" t="inlineStr">
        <is>
          <t>game/world.js</t>
        </is>
      </c>
    </row>
    <row r="10">
      <c r="A10" s="8" t="inlineStr"/>
      <c r="B10" s="8" t="inlineStr"/>
      <c r="C10" s="8" t="inlineStr"/>
      <c r="D10" s="8" t="inlineStr"/>
    </row>
    <row r="11">
      <c r="A11" s="9">
        <f>== 서버 안정화 (버그 수정) ===</f>
        <v/>
      </c>
      <c r="B11" s="9" t="inlineStr"/>
      <c r="C11" s="9" t="inlineStr"/>
      <c r="D11" s="9" t="inlineStr"/>
    </row>
    <row r="12">
      <c r="A12" s="8" t="inlineStr">
        <is>
          <t>v2.57-fix</t>
        </is>
      </c>
      <c r="B12" s="8" t="inlineStr">
        <is>
          <t>playerId 미정의</t>
        </is>
      </c>
      <c r="C12" s="8" t="inlineStr">
        <is>
          <t>sub-connection 핸들러에 playerId 주입 ($ctx)</t>
        </is>
      </c>
      <c r="D12" s="8" t="inlineStr">
        <is>
          <t>game/handlers/connection.js</t>
        </is>
      </c>
    </row>
    <row r="13">
      <c r="A13" s="9" t="inlineStr">
        <is>
          <t>v2.57-fix</t>
        </is>
      </c>
      <c r="B13" s="9" t="inlineStr">
        <is>
          <t>io 미정의</t>
        </is>
      </c>
      <c r="C13" s="9" t="inlineStr">
        <is>
          <t>$ctx에 io 주입 (채팅/broadcast 복구)</t>
        </is>
      </c>
      <c r="D13" s="9" t="inlineStr">
        <is>
          <t>game/handlers/connection.js</t>
        </is>
      </c>
    </row>
    <row r="14">
      <c r="A14" s="8" t="inlineStr">
        <is>
          <t>v2.57-fix</t>
        </is>
      </c>
      <c r="B14" s="8" t="inlineStr">
        <is>
          <t>TERRAIN_BARRIERS 미정의</t>
        </is>
      </c>
      <c r="C14" s="8" t="inlineStr">
        <is>
          <t>core_connection destructure에 추가</t>
        </is>
      </c>
      <c r="D14" s="8" t="inlineStr">
        <is>
          <t>game/handlers/core_connection.js</t>
        </is>
      </c>
    </row>
    <row r="15">
      <c r="A15" s="9" t="inlineStr">
        <is>
          <t>v2.57-fix</t>
        </is>
      </c>
      <c r="B15" s="9" t="inlineStr">
        <is>
          <t>registerLotteryHandlers 크래시</t>
        </is>
      </c>
      <c r="C15" s="9" t="inlineStr">
        <is>
          <t>inventory_connection.js 중복 핸들러 207줄 제거</t>
        </is>
      </c>
      <c r="D15" s="9" t="inlineStr">
        <is>
          <t>game/handlers/inventory_connection.js</t>
        </is>
      </c>
    </row>
    <row r="16">
      <c r="A16" s="8" t="inlineStr">
        <is>
          <t>v2.57-fix</t>
        </is>
      </c>
      <c r="B16" s="8" t="inlineStr">
        <is>
          <t>giveExp(owner) 버그</t>
        </is>
      </c>
      <c r="C16" s="8" t="inlineStr">
        <is>
          <t>봇 킬 시 경험치가 봇에게 → realOwner로 수정</t>
        </is>
      </c>
      <c r="D16" s="8" t="inlineStr">
        <is>
          <t>game/loops.js</t>
        </is>
      </c>
    </row>
    <row r="17">
      <c r="A17" s="9" t="inlineStr">
        <is>
          <t>v2.57-fix</t>
        </is>
      </c>
      <c r="B17" s="9" t="inlineStr">
        <is>
          <t>entityIdCounter undefined</t>
        </is>
      </c>
      <c r="C17" s="9" t="inlineStr">
        <is>
          <t>$.nextEntityId() 함수 사용으로 교체 (6곳)</t>
        </is>
      </c>
      <c r="D17" s="9" t="inlineStr">
        <is>
          <t>game/loops.js + handlers/</t>
        </is>
      </c>
    </row>
    <row r="18">
      <c r="A18" s="8" t="inlineStr">
        <is>
          <t>v2.57-fix</t>
        </is>
      </c>
      <c r="B18" s="8" t="inlineStr">
        <is>
          <t>worldBoss const 재할당</t>
        </is>
      </c>
      <c r="C18" s="8" t="inlineStr">
        <is>
          <t>$.setWorldBoss(null)로 변경</t>
        </is>
      </c>
      <c r="D18" s="8" t="inlineStr">
        <is>
          <t>game/loops.js</t>
        </is>
      </c>
    </row>
    <row r="19">
      <c r="A19" s="9" t="inlineStr">
        <is>
          <t>v2.57-fix</t>
        </is>
      </c>
      <c r="B19" s="9" t="inlineStr">
        <is>
          <t>투사체 이동 누락</t>
        </is>
      </c>
      <c r="C19" s="9" t="inlineStr">
        <is>
          <t>handleCollisions에 서버 측 투사체 위치 업데이트 추가</t>
        </is>
      </c>
      <c r="D19" s="9" t="inlineStr">
        <is>
          <t>game/loops.js</t>
        </is>
      </c>
    </row>
    <row r="20">
      <c r="A20" s="8" t="inlineStr">
        <is>
          <t>v2.57-fix</t>
        </is>
      </c>
      <c r="B20" s="8" t="inlineStr">
        <is>
          <t>monsterDelta null → Unity 크래시</t>
        </is>
      </c>
      <c r="C20" s="8" t="inlineStr">
        <is>
          <t>삭제 몬스터를 removedMonsters[] 배열로 분리</t>
        </is>
      </c>
      <c r="D20" s="8" t="inlineStr">
        <is>
          <t>game/loops.js</t>
        </is>
      </c>
    </row>
    <row r="21">
      <c r="A21" s="9" t="inlineStr">
        <is>
          <t>v2.57-fix</t>
        </is>
      </c>
      <c r="B21" s="9" t="inlineStr">
        <is>
          <t>minimap null 에러</t>
        </is>
      </c>
      <c r="C21" s="9" t="inlineStr">
        <is>
          <t>null 몬스터 건너뛰기 + delta merge 방식 변경</t>
        </is>
      </c>
      <c r="D21" s="9" t="inlineStr">
        <is>
          <t>public/js/minimap.js</t>
        </is>
      </c>
    </row>
    <row r="22">
      <c r="A22" s="8" t="inlineStr">
        <is>
          <t>v2.57-fix</t>
        </is>
      </c>
      <c r="B22" s="8" t="inlineStr">
        <is>
          <t>서브메뉴 JS 코드 노출</t>
        </is>
      </c>
      <c r="C22" s="8" t="inlineStr">
        <is>
          <t>innerHTML+onclick → createElement+addEventListener</t>
        </is>
      </c>
      <c r="D22" s="8" t="inlineStr">
        <is>
          <t>public/js/effects.js</t>
        </is>
      </c>
    </row>
    <row r="23">
      <c r="A23" s="9" t="inlineStr">
        <is>
          <t>v2.57-fix</t>
        </is>
      </c>
      <c r="B23" s="9" t="inlineStr">
        <is>
          <t>한글 폰트 깨짐</t>
        </is>
      </c>
      <c r="C23" s="9" t="inlineStr">
        <is>
          <t>Cinzel 한글 fallback Noto Sans KR 추가</t>
        </is>
      </c>
      <c r="D23" s="9" t="inlineStr">
        <is>
          <t>public/css/style.css + index.html</t>
        </is>
      </c>
    </row>
    <row r="24">
      <c r="A24" s="8" t="inlineStr">
        <is>
          <t>v2.57-fix</t>
        </is>
      </c>
      <c r="B24" s="8" t="inlineStr">
        <is>
          <t>savePlayer/getExpRequired 미정의</t>
        </is>
      </c>
      <c r="C24" s="8" t="inlineStr">
        <is>
          <t>handleCollisions에 $.savePlayer, $.getExpRequired 추가</t>
        </is>
      </c>
      <c r="D24" s="8" t="inlineStr">
        <is>
          <t>game/loops.js</t>
        </is>
      </c>
    </row>
    <row r="25">
      <c r="A25" s="9" t="inlineStr"/>
      <c r="B25" s="9" t="inlineStr"/>
      <c r="C25" s="9" t="inlineStr"/>
      <c r="D25" s="9" t="inlineStr"/>
    </row>
    <row r="26">
      <c r="A26" s="8">
        <f>== 디버그 시스템 ===</f>
        <v/>
      </c>
      <c r="B26" s="8" t="inlineStr"/>
      <c r="C26" s="8" t="inlineStr"/>
      <c r="D26" s="8" t="inlineStr"/>
    </row>
    <row r="27">
      <c r="A27" s="9" t="inlineStr">
        <is>
          <t>v2.57</t>
        </is>
      </c>
      <c r="B27" s="9" t="inlineStr">
        <is>
          <t>서버 로그 링 버퍼</t>
        </is>
      </c>
      <c r="C27" s="9" t="inlineStr">
        <is>
          <t>console.log/error/warn 200줄 캡처, GET /debug/logs</t>
        </is>
      </c>
      <c r="D27" s="9" t="inlineStr">
        <is>
          <t>server.js</t>
        </is>
      </c>
    </row>
    <row r="28">
      <c r="A28" s="8" t="inlineStr">
        <is>
          <t>v2.57</t>
        </is>
      </c>
      <c r="B28" s="8" t="inlineStr">
        <is>
          <t>클라이언트 에러 수집</t>
        </is>
      </c>
      <c r="C28" s="8" t="inlineStr">
        <is>
          <t>window.onerror → POST /debug/client-error → 오버레이</t>
        </is>
      </c>
      <c r="D28" s="8" t="inlineStr">
        <is>
          <t>public/index.html + server.js</t>
        </is>
      </c>
    </row>
    <row r="29">
      <c r="A29" s="9" t="inlineStr">
        <is>
          <t>v2.57</t>
        </is>
      </c>
      <c r="B29" s="9" t="inlineStr">
        <is>
          <t>크래시 핸들러</t>
        </is>
      </c>
      <c r="C29" s="9" t="inlineStr">
        <is>
          <t>unhandledRejection + uncaughtException 로깅</t>
        </is>
      </c>
      <c r="D29" s="9" t="inlineStr">
        <is>
          <t>server.js</t>
        </is>
      </c>
    </row>
  </sheetData>
  <mergeCells count="1">
    <mergeCell ref="A1:D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6" customWidth="1" min="2" max="2"/>
    <col width="36" customWidth="1" min="3" max="3"/>
    <col width="28" customWidth="1" min="4" max="4"/>
    <col width="20" customWidth="1" min="5" max="5"/>
  </cols>
  <sheetData>
    <row r="1">
      <c r="A1" s="6" t="inlineStr">
        <is>
          <t>시스템 간 시너지 맵</t>
        </is>
      </c>
    </row>
    <row r="3">
      <c r="A3" s="7" t="inlineStr">
        <is>
          <t>시스템 A</t>
        </is>
      </c>
      <c r="B3" s="7" t="inlineStr">
        <is>
          <t>시스템 B</t>
        </is>
      </c>
      <c r="C3" s="7" t="inlineStr">
        <is>
          <t>시너지 내용</t>
        </is>
      </c>
      <c r="D3" s="7" t="inlineStr">
        <is>
          <t>효과</t>
        </is>
      </c>
      <c r="E3" s="7" t="inlineStr">
        <is>
          <t>구현 파일</t>
        </is>
      </c>
    </row>
    <row r="4">
      <c r="A4" s="8" t="inlineStr">
        <is>
          <t>드래곤 라이딩</t>
        </is>
      </c>
      <c r="B4" s="8" t="inlineStr">
        <is>
          <t>보너스 집계</t>
        </is>
      </c>
      <c r="C4" s="8" t="inlineStr">
        <is>
          <t>드래곤 탑승 시 패시브 → 보너스 집계에 표시</t>
        </is>
      </c>
      <c r="D4" s="8" t="inlineStr">
        <is>
          <t>속성 데미지, 회피, 흡혈 등</t>
        </is>
      </c>
      <c r="E4" s="8" t="inlineStr">
        <is>
          <t>bonus_aggregator.js</t>
        </is>
      </c>
    </row>
    <row r="5">
      <c r="A5" s="9" t="inlineStr">
        <is>
          <t>드래곤 라이딩</t>
        </is>
      </c>
      <c r="B5" s="9" t="inlineStr">
        <is>
          <t>NPC 대화</t>
        </is>
      </c>
      <c r="C5" s="9" t="inlineStr">
        <is>
          <t>드래곤 탑승 시 NPC 특수 대사</t>
        </is>
      </c>
      <c r="D5" s="9" t="inlineStr">
        <is>
          <t>대장장이/힐러/상점 반응</t>
        </is>
      </c>
      <c r="E5" s="9" t="inlineStr">
        <is>
          <t>world.js</t>
        </is>
      </c>
    </row>
    <row r="6">
      <c r="A6" s="8" t="inlineStr">
        <is>
          <t>혈통</t>
        </is>
      </c>
      <c r="B6" s="8" t="inlineStr">
        <is>
          <t>PvP</t>
        </is>
      </c>
      <c r="C6" s="8" t="inlineStr">
        <is>
          <t>혈통 상성: 용&gt;정령&gt;천사&gt;악마&gt;용</t>
        </is>
      </c>
      <c r="D6" s="8" t="inlineStr">
        <is>
          <t>상성 유리 시 데미지 +20%</t>
        </is>
      </c>
      <c r="E6" s="8" t="inlineStr">
        <is>
          <t>bloodline.js</t>
        </is>
      </c>
    </row>
    <row r="7">
      <c r="A7" s="9" t="inlineStr">
        <is>
          <t>별자리</t>
        </is>
      </c>
      <c r="B7" s="9" t="inlineStr">
        <is>
          <t>계절</t>
        </is>
      </c>
      <c r="C7" s="9" t="inlineStr">
        <is>
          <t>현재 계절 별자리 = 전투력 1.5배</t>
        </is>
      </c>
      <c r="D7" s="9" t="inlineStr">
        <is>
          <t>봄(양/처녀), 여름(사자/전갈) 등</t>
        </is>
      </c>
      <c r="E7" s="9" t="inlineStr">
        <is>
          <t>constellation.js</t>
        </is>
      </c>
    </row>
    <row r="8">
      <c r="A8" s="8" t="inlineStr">
        <is>
          <t>무기 영혼</t>
        </is>
      </c>
      <c r="B8" s="8" t="inlineStr">
        <is>
          <t>몬스터 처치</t>
        </is>
      </c>
      <c r="C8" s="8" t="inlineStr">
        <is>
          <t>영혼 각인 시 해당 몬스터 스킬 획득</t>
        </is>
      </c>
      <c r="D8" s="8" t="inlineStr">
        <is>
          <t>키메라 무기(2영혼 합성)</t>
        </is>
      </c>
      <c r="E8" s="8" t="inlineStr">
        <is>
          <t>weapon_soul.js</t>
        </is>
      </c>
    </row>
    <row r="9">
      <c r="A9" s="9" t="inlineStr">
        <is>
          <t>저주 던전</t>
        </is>
      </c>
      <c r="B9" s="9" t="inlineStr">
        <is>
          <t>저주 장비</t>
        </is>
      </c>
      <c r="C9" s="9" t="inlineStr">
        <is>
          <t>던전 저주+장비 저주 시너지</t>
        </is>
      </c>
      <c r="D9" s="9" t="inlineStr">
        <is>
          <t>예: 유리몸+피의저주 = 광전사</t>
        </is>
      </c>
      <c r="E9" s="9" t="inlineStr">
        <is>
          <t>cursed_dungeon.js</t>
        </is>
      </c>
    </row>
    <row r="10">
      <c r="A10" s="8" t="inlineStr">
        <is>
          <t>살아있는 마도서</t>
        </is>
      </c>
      <c r="B10" s="8" t="inlineStr">
        <is>
          <t>금서 도서관</t>
        </is>
      </c>
      <c r="C10" s="8" t="inlineStr">
        <is>
          <t>마도서 숙련도 → 금서 시전 대가 감소</t>
        </is>
      </c>
      <c r="D10" s="8" t="inlineStr">
        <is>
          <t>최대 30% 대가 감소</t>
        </is>
      </c>
      <c r="E10" s="8" t="inlineStr">
        <is>
          <t>living_grimoire.js</t>
        </is>
      </c>
    </row>
    <row r="11">
      <c r="A11" s="9" t="inlineStr">
        <is>
          <t>꿈의 건축가</t>
        </is>
      </c>
      <c r="B11" s="9" t="inlineStr">
        <is>
          <t>기억 궁전</t>
        </is>
      </c>
      <c r="C11" s="9" t="inlineStr">
        <is>
          <t>자신의 기억을 던전으로 재현</t>
        </is>
      </c>
      <c r="D11" s="9" t="inlineStr">
        <is>
          <t>악몽 난이도 보상 2.5배</t>
        </is>
      </c>
      <c r="E11" s="9" t="inlineStr">
        <is>
          <t>dream_architect.js</t>
        </is>
      </c>
    </row>
    <row r="12">
      <c r="A12" s="8" t="inlineStr">
        <is>
          <t>영혼 계약</t>
        </is>
      </c>
      <c r="B12" s="8" t="inlineStr">
        <is>
          <t>보스 소환</t>
        </is>
      </c>
      <c r="C12" s="8" t="inlineStr">
        <is>
          <t>보스 영혼 파편 → 계약 → 소환수</t>
        </is>
      </c>
      <c r="D12" s="8" t="inlineStr">
        <is>
          <t>소환수 레벨업 가능</t>
        </is>
      </c>
      <c r="E12" s="8" t="inlineStr">
        <is>
          <t>soul_contract.js</t>
        </is>
      </c>
    </row>
    <row r="13">
      <c r="A13" s="9" t="inlineStr">
        <is>
          <t>고대 언어</t>
        </is>
      </c>
      <c r="B13" s="9" t="inlineStr">
        <is>
          <t>마법 연구소</t>
        </is>
      </c>
      <c r="C13" s="9" t="inlineStr">
        <is>
          <t>6문자 조합 커스텀 마법</t>
        </is>
      </c>
      <c r="D13" s="9" t="inlineStr">
        <is>
          <t>4문자 궁극 주문 "창세의 빛"</t>
        </is>
      </c>
      <c r="E13" s="9" t="inlineStr">
        <is>
          <t>ancient_language.js</t>
        </is>
      </c>
    </row>
    <row r="14">
      <c r="A14" s="8" t="inlineStr">
        <is>
          <t>운명의 직공</t>
        </is>
      </c>
      <c r="B14" s="8" t="inlineStr">
        <is>
          <t>PvP</t>
        </is>
      </c>
      <c r="C14" s="8" t="inlineStr">
        <is>
          <t>저주 실 사용 시 카르마 감소</t>
        </is>
      </c>
      <c r="D14" s="8" t="inlineStr">
        <is>
          <t>반작용: 시전자에게도 디버프</t>
        </is>
      </c>
      <c r="E14" s="8" t="inlineStr">
        <is>
          <t>fate_weaver.js</t>
        </is>
      </c>
    </row>
    <row r="15">
      <c r="A15" s="9" t="inlineStr">
        <is>
          <t>환생</t>
        </is>
      </c>
      <c r="B15" s="9" t="inlineStr">
        <is>
          <t>기억 궁전</t>
        </is>
      </c>
      <c r="C15" s="9" t="inlineStr">
        <is>
          <t>전생 기억 → 던전화</t>
        </is>
      </c>
      <c r="D15" s="9" t="inlineStr">
        <is>
          <t>같은 클래스 환생 시 기억 중첩 (최대 x2.5)</t>
        </is>
      </c>
      <c r="E15" s="9" t="inlineStr">
        <is>
          <t>past_life.js</t>
        </is>
      </c>
    </row>
  </sheetData>
  <mergeCells count="1">
    <mergeCell ref="A1:E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2" customWidth="1" min="1" max="1"/>
    <col width="22" customWidth="1" min="2" max="2"/>
    <col width="42" customWidth="1" min="3" max="3"/>
    <col width="28" customWidth="1" min="4" max="4"/>
  </cols>
  <sheetData>
    <row r="1">
      <c r="A1" s="6" t="inlineStr">
        <is>
          <t>기술 아키텍처</t>
        </is>
      </c>
    </row>
    <row r="3">
      <c r="A3" s="7" t="inlineStr">
        <is>
          <t>구분</t>
        </is>
      </c>
      <c r="B3" s="7" t="inlineStr">
        <is>
          <t>항목</t>
        </is>
      </c>
      <c r="C3" s="7" t="inlineStr">
        <is>
          <t>설명</t>
        </is>
      </c>
      <c r="D3" s="7" t="inlineStr">
        <is>
          <t>파일 경로</t>
        </is>
      </c>
    </row>
    <row r="4">
      <c r="A4" s="8" t="inlineStr">
        <is>
          <t>서버</t>
        </is>
      </c>
      <c r="B4" s="8" t="inlineStr">
        <is>
          <t>Node.js + Express</t>
        </is>
      </c>
      <c r="C4" s="8" t="inlineStr">
        <is>
          <t>게임 서버 + 정적 파일 서빙</t>
        </is>
      </c>
      <c r="D4" s="8" t="inlineStr">
        <is>
          <t>server.js</t>
        </is>
      </c>
    </row>
    <row r="5">
      <c r="A5" s="9" t="inlineStr">
        <is>
          <t>서버</t>
        </is>
      </c>
      <c r="B5" s="9" t="inlineStr">
        <is>
          <t>Socket.IO</t>
        </is>
      </c>
      <c r="C5" s="9" t="inlineStr">
        <is>
          <t>실시간 양방향 통신</t>
        </is>
      </c>
      <c r="D5" s="9" t="inlineStr">
        <is>
          <t>server.js + handlers/</t>
        </is>
      </c>
    </row>
    <row r="6">
      <c r="A6" s="8" t="inlineStr">
        <is>
          <t>서버</t>
        </is>
      </c>
      <c r="B6" s="8" t="inlineStr">
        <is>
          <t>MySQL (Railway)</t>
        </is>
      </c>
      <c r="C6" s="8" t="inlineStr">
        <is>
          <t>플레이어 저장, 우편함</t>
        </is>
      </c>
      <c r="D6" s="8" t="inlineStr">
        <is>
          <t>server/db.js</t>
        </is>
      </c>
    </row>
    <row r="7">
      <c r="A7" s="9" t="inlineStr">
        <is>
          <t>서버</t>
        </is>
      </c>
      <c r="B7" s="9" t="inlineStr">
        <is>
          <t>게임 루프</t>
        </is>
      </c>
      <c r="C7" s="9" t="inlineStr">
        <is>
          <t>33ms 틱 (30fps): 이동/충돌/AI/스킬</t>
        </is>
      </c>
      <c r="D7" s="9" t="inlineStr">
        <is>
          <t>game/loops.js</t>
        </is>
      </c>
    </row>
    <row r="8">
      <c r="A8" s="8" t="inlineStr">
        <is>
          <t>서버</t>
        </is>
      </c>
      <c r="B8" s="8" t="inlineStr">
        <is>
          <t>핸들러 구조</t>
        </is>
      </c>
      <c r="C8" s="8" t="inlineStr">
        <is>
          <t>connection.js → 6개 sub-connection + 100+ 모듈 핸들러</t>
        </is>
      </c>
      <c r="D8" s="8" t="inlineStr">
        <is>
          <t>game/handlers/</t>
        </is>
      </c>
    </row>
    <row r="9">
      <c r="A9" s="9" t="inlineStr">
        <is>
          <t>서버</t>
        </is>
      </c>
      <c r="B9" s="9" t="inlineStr">
        <is>
          <t>디버그</t>
        </is>
      </c>
      <c r="C9" s="9" t="inlineStr">
        <is>
          <t>GET /debug/logs, /debug/client-errors, /status</t>
        </is>
      </c>
      <c r="D9" s="9" t="inlineStr">
        <is>
          <t>server.js</t>
        </is>
      </c>
    </row>
    <row r="10">
      <c r="A10" s="8" t="inlineStr"/>
      <c r="B10" s="8" t="inlineStr"/>
      <c r="C10" s="8" t="inlineStr"/>
      <c r="D10" s="8" t="inlineStr"/>
    </row>
    <row r="11">
      <c r="A11" s="9" t="inlineStr">
        <is>
          <t>클라이언트</t>
        </is>
      </c>
      <c r="B11" s="9" t="inlineStr">
        <is>
          <t>Unity WebGL</t>
        </is>
      </c>
      <c r="C11" s="9" t="inlineStr">
        <is>
          <t>3D 렌더링, 캐릭터/몬스터 표시</t>
        </is>
      </c>
      <c r="D11" s="9" t="inlineStr">
        <is>
          <t>Assets/Script/GameManager.cs</t>
        </is>
      </c>
    </row>
    <row r="12">
      <c r="A12" s="8" t="inlineStr">
        <is>
          <t>클라이언트</t>
        </is>
      </c>
      <c r="B12" s="8" t="inlineStr">
        <is>
          <t>HTML UI</t>
        </is>
      </c>
      <c r="C12" s="8" t="inlineStr">
        <is>
          <t>메뉴, 인벤토리, 상점, 채팅, 미니맵</t>
        </is>
      </c>
      <c r="D12" s="8" t="inlineStr">
        <is>
          <t>public/index.html + js/</t>
        </is>
      </c>
    </row>
    <row r="13">
      <c r="A13" s="9" t="inlineStr">
        <is>
          <t>클라이언트</t>
        </is>
      </c>
      <c r="B13" s="9" t="inlineStr">
        <is>
          <t>CSS</t>
        </is>
      </c>
      <c r="C13" s="9" t="inlineStr">
        <is>
          <t>다크 판타지 테마 (Cinzel + Noto Sans KR)</t>
        </is>
      </c>
      <c r="D13" s="9" t="inlineStr">
        <is>
          <t>public/css/style.css</t>
        </is>
      </c>
    </row>
    <row r="14">
      <c r="A14" s="8" t="inlineStr"/>
      <c r="B14" s="8" t="inlineStr"/>
      <c r="C14" s="8" t="inlineStr"/>
      <c r="D14" s="8" t="inlineStr"/>
    </row>
    <row r="15">
      <c r="A15" s="9" t="inlineStr">
        <is>
          <t>배포</t>
        </is>
      </c>
      <c r="B15" s="9" t="inlineStr">
        <is>
          <t>Railway</t>
        </is>
      </c>
      <c r="C15" s="9" t="inlineStr">
        <is>
          <t>자동 배포 (git push → build → deploy)</t>
        </is>
      </c>
      <c r="D15" s="9" t="inlineStr">
        <is>
          <t>package.json</t>
        </is>
      </c>
    </row>
    <row r="16">
      <c r="A16" s="8" t="inlineStr">
        <is>
          <t>배포</t>
        </is>
      </c>
      <c r="B16" s="8" t="inlineStr">
        <is>
          <t>MySQL</t>
        </is>
      </c>
      <c r="C16" s="8" t="inlineStr">
        <is>
          <t>Railway MySQL 플러그인 (${{MySQL.MYSQL_URL}})</t>
        </is>
      </c>
      <c r="D16" s="8" t="inlineStr">
        <is>
          <t>환경변수</t>
        </is>
      </c>
    </row>
    <row r="17">
      <c r="A17" s="9" t="inlineStr">
        <is>
          <t>배포</t>
        </is>
      </c>
      <c r="B17" s="9" t="inlineStr">
        <is>
          <t>도메인</t>
        </is>
      </c>
      <c r="C17" s="9" t="inlineStr">
        <is>
          <t>baduk-marble-production.up.railway.app</t>
        </is>
      </c>
      <c r="D17" s="9" t="inlineStr">
        <is>
          <t>Railway 설정</t>
        </is>
      </c>
    </row>
    <row r="18">
      <c r="A18" s="8" t="inlineStr"/>
      <c r="B18" s="8" t="inlineStr"/>
      <c r="C18" s="8" t="inlineStr"/>
      <c r="D18" s="8" t="inlineStr"/>
    </row>
    <row r="19">
      <c r="A19" s="9" t="inlineStr">
        <is>
          <t>모듈 수</t>
        </is>
      </c>
      <c r="B19" s="9" t="inlineStr">
        <is>
          <t>게임 모듈</t>
        </is>
      </c>
      <c r="C19" s="9" t="inlineStr">
        <is>
          <t>140+ .js 파일</t>
        </is>
      </c>
      <c r="D19" s="9" t="inlineStr">
        <is>
          <t>game/</t>
        </is>
      </c>
    </row>
    <row r="20">
      <c r="A20" s="8" t="inlineStr">
        <is>
          <t>모듈 수</t>
        </is>
      </c>
      <c r="B20" s="8" t="inlineStr">
        <is>
          <t>소켓 핸들러</t>
        </is>
      </c>
      <c r="C20" s="8" t="inlineStr">
        <is>
          <t>118+ handler 파일</t>
        </is>
      </c>
      <c r="D20" s="8" t="inlineStr">
        <is>
          <t>game/handlers/</t>
        </is>
      </c>
    </row>
    <row r="21">
      <c r="A21" s="9" t="inlineStr">
        <is>
          <t>모듈 수</t>
        </is>
      </c>
      <c r="B21" s="9" t="inlineStr">
        <is>
          <t>데이터 모듈</t>
        </is>
      </c>
      <c r="C21" s="9" t="inlineStr">
        <is>
          <t>6개 (zones, equipment, quests, economy, world_data, server_data)</t>
        </is>
      </c>
      <c r="D21" s="9" t="inlineStr">
        <is>
          <t>game/data/</t>
        </is>
      </c>
    </row>
  </sheetData>
  <mergeCells count="1">
    <mergeCell ref="A1:D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8" customWidth="1" min="1" max="1"/>
    <col width="35" customWidth="1" min="2" max="2"/>
    <col width="35" customWidth="1" min="3" max="3"/>
    <col width="16" customWidth="1" min="4" max="4"/>
  </cols>
  <sheetData>
    <row r="1">
      <c r="A1" s="6" t="inlineStr">
        <is>
          <t>판타지 이펙트 시스템 (v2.58)</t>
        </is>
      </c>
    </row>
    <row r="3">
      <c r="A3" s="7" t="inlineStr">
        <is>
          <t>시스템</t>
        </is>
      </c>
      <c r="B3" s="7" t="inlineStr">
        <is>
          <t>상세</t>
        </is>
      </c>
      <c r="C3" s="7" t="inlineStr">
        <is>
          <t>효과</t>
        </is>
      </c>
      <c r="D3" s="7" t="inlineStr">
        <is>
          <t>파일</t>
        </is>
      </c>
    </row>
    <row r="4">
      <c r="A4" s="8" t="inlineStr">
        <is>
          <t>속성 데미지</t>
        </is>
      </c>
      <c r="B4" s="8" t="inlineStr">
        <is>
          <t>6종: 화염/빙결/번개/암흑/신성/독</t>
        </is>
      </c>
      <c r="C4" s="8" t="inlineStr">
        <is>
          <t>속성별 고유 컬러+글로우+아이콘</t>
        </is>
      </c>
      <c r="D4" s="8" t="inlineStr">
        <is>
          <t>effects.js, style.css</t>
        </is>
      </c>
    </row>
    <row r="5">
      <c r="A5" s="9" t="inlineStr">
        <is>
          <t>마법진</t>
        </is>
      </c>
      <c r="B5" s="9" t="inlineStr">
        <is>
          <t>스킬 시전 시 속성별 회전 마법진</t>
        </is>
      </c>
      <c r="C5" s="9" t="inlineStr">
        <is>
          <t>fire/ice/lightning/dark/holy 5종</t>
        </is>
      </c>
      <c r="D5" s="9" t="inlineStr">
        <is>
          <t>effects.js</t>
        </is>
      </c>
    </row>
    <row r="6">
      <c r="A6" s="8" t="inlineStr">
        <is>
          <t>크리티컬 슬래시</t>
        </is>
      </c>
      <c r="B6" s="8" t="inlineStr">
        <is>
          <t>크리 히트 시 X자 베기 + 스파크 파티클</t>
        </is>
      </c>
      <c r="C6" s="8" t="inlineStr">
        <is>
          <t>6~10개 파티클 비산</t>
        </is>
      </c>
      <c r="D6" s="8" t="inlineStr">
        <is>
          <t>effects.js</t>
        </is>
      </c>
    </row>
    <row r="7">
      <c r="A7" s="9" t="inlineStr">
        <is>
          <t>보스 시네마틱</t>
        </is>
      </c>
      <c r="B7" s="9" t="inlineStr">
        <is>
          <t>보스 등장 시 검은 바 + 이름 팝업</t>
        </is>
      </c>
      <c r="C7" s="9" t="inlineStr">
        <is>
          <t>3초간 연출, 포효 SFX</t>
        </is>
      </c>
      <c r="D7" s="9" t="inlineStr">
        <is>
          <t>effects.js</t>
        </is>
      </c>
    </row>
    <row r="8">
      <c r="A8" s="8" t="inlineStr">
        <is>
          <t>존별 환경파티클</t>
        </is>
      </c>
      <c r="B8" s="8" t="inlineStr">
        <is>
          <t>25개 존에 고유 파티클</t>
        </is>
      </c>
      <c r="C8" s="8" t="inlineStr">
        <is>
          <t>반딧불/잔불/안개/낙엽/보석빛/눈</t>
        </is>
      </c>
      <c r="D8" s="8" t="inlineStr">
        <is>
          <t>effects.js</t>
        </is>
      </c>
    </row>
    <row r="9">
      <c r="A9" s="9" t="inlineStr">
        <is>
          <t>낮/밤 오버레이</t>
        </is>
      </c>
      <c r="B9" s="9" t="inlineStr">
        <is>
          <t>새벽→낮→석양→밤 4단계</t>
        </is>
      </c>
      <c r="C9" s="9" t="inlineStr">
        <is>
          <t>5초 부드러운 전환</t>
        </is>
      </c>
      <c r="D9" s="9" t="inlineStr">
        <is>
          <t>effects.js</t>
        </is>
      </c>
    </row>
    <row r="10">
      <c r="A10" s="8" t="inlineStr">
        <is>
          <t>비네팅</t>
        </is>
      </c>
      <c r="B10" s="8" t="inlineStr">
        <is>
          <t>위험지대/보스존 화면 가장자리 어둡게</t>
        </is>
      </c>
      <c r="C10" s="8" t="inlineStr">
        <is>
          <t>safe/boss/danger 3단계</t>
        </is>
      </c>
      <c r="D10" s="8" t="inlineStr">
        <is>
          <t>effects.js</t>
        </is>
      </c>
    </row>
    <row r="11">
      <c r="A11" s="9" t="inlineStr">
        <is>
          <t>폭풍우 번개</t>
        </is>
      </c>
      <c r="B11" s="9" t="inlineStr">
        <is>
          <t>storm 날씨 시 자동 번쩍임+천둥</t>
        </is>
      </c>
      <c r="C11" s="9" t="inlineStr">
        <is>
          <t>3초 간격, 랜덤 30%</t>
        </is>
      </c>
      <c r="D11" s="9" t="inlineStr">
        <is>
          <t>effects.js</t>
        </is>
      </c>
    </row>
    <row r="12">
      <c r="A12" s="8" t="inlineStr">
        <is>
          <t>아이템 글로우</t>
        </is>
      </c>
      <c r="B12" s="8" t="inlineStr">
        <is>
          <t>에픽/전설/신화 등급별 빛나는 효과</t>
        </is>
      </c>
      <c r="C12" s="8" t="inlineStr">
        <is>
          <t>CSS 애니메이션 맥동</t>
        </is>
      </c>
      <c r="D12" s="8" t="inlineStr">
        <is>
          <t>style.css</t>
        </is>
      </c>
    </row>
    <row r="13">
      <c r="A13" s="9" t="inlineStr">
        <is>
          <t>강화 SFX</t>
        </is>
      </c>
      <c r="B13" s="9" t="inlineStr">
        <is>
          <t>fireball/ice/thunder/dark/holy/boss/equip/enchant 8종</t>
        </is>
      </c>
      <c r="C13" s="9" t="inlineStr">
        <is>
          <t>Web Audio API 프로시저럴</t>
        </is>
      </c>
      <c r="D13" s="9" t="inlineStr">
        <is>
          <t>effects.js</t>
        </is>
      </c>
    </row>
  </sheetData>
  <mergeCells count="1">
    <mergeCell ref="A1:D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6" customWidth="1" min="1" max="1"/>
    <col width="30" customWidth="1" min="2" max="2"/>
    <col width="25" customWidth="1" min="3" max="3"/>
  </cols>
  <sheetData>
    <row r="1">
      <c r="A1" s="6" t="inlineStr">
        <is>
          <t>배틀로얄 (v2.58)</t>
        </is>
      </c>
    </row>
    <row r="3">
      <c r="A3" s="7" t="inlineStr">
        <is>
          <t>항목</t>
        </is>
      </c>
      <c r="B3" s="7" t="inlineStr">
        <is>
          <t>상세</t>
        </is>
      </c>
      <c r="C3" s="7" t="inlineStr">
        <is>
          <t>값</t>
        </is>
      </c>
    </row>
    <row r="4">
      <c r="A4" s="8" t="inlineStr">
        <is>
          <t>모드</t>
        </is>
      </c>
      <c r="B4" s="8" t="inlineStr">
        <is>
          <t>자유 전투 (FFA)</t>
        </is>
      </c>
      <c r="C4" s="8" t="inlineStr">
        <is>
          <t>최후 1인 승리</t>
        </is>
      </c>
    </row>
    <row r="5">
      <c r="A5" s="9" t="inlineStr">
        <is>
          <t>인원</t>
        </is>
      </c>
      <c r="B5" s="9" t="inlineStr">
        <is>
          <t>최소 6명, 최대 20명</t>
        </is>
      </c>
      <c r="C5" s="9" t="inlineStr">
        <is>
          <t>5분마다 자동 개최</t>
        </is>
      </c>
    </row>
    <row r="6">
      <c r="A6" s="8" t="inlineStr">
        <is>
          <t>참가비</t>
        </is>
      </c>
      <c r="B6" s="8" t="inlineStr">
        <is>
          <t>2,000G</t>
        </is>
      </c>
      <c r="C6" s="8" t="inlineStr">
        <is>
          <t>상금 풀에 적립</t>
        </is>
      </c>
    </row>
    <row r="7">
      <c r="A7" s="9" t="inlineStr">
        <is>
          <t>안전지대</t>
        </is>
      </c>
      <c r="B7" s="9" t="inlineStr">
        <is>
          <t>30초마다 축소</t>
        </is>
      </c>
      <c r="C7" s="9" t="inlineStr">
        <is>
          <t>시작 400 → 최소 50</t>
        </is>
      </c>
    </row>
    <row r="8">
      <c r="A8" s="8" t="inlineStr">
        <is>
          <t>안전지대 데미지</t>
        </is>
      </c>
      <c r="B8" s="8" t="inlineStr">
        <is>
          <t>밖에서 초당 15</t>
        </is>
      </c>
      <c r="C8" s="8" t="inlineStr">
        <is>
          <t>점차 위험</t>
        </is>
      </c>
    </row>
    <row r="9">
      <c r="A9" s="9" t="inlineStr">
        <is>
          <t>보급 상자</t>
        </is>
      </c>
      <c r="B9" s="9" t="inlineStr">
        <is>
          <t>45초마다 투하</t>
        </is>
      </c>
      <c r="C9" s="9" t="inlineStr">
        <is>
          <t>체력/ATK/DEF/SPD/투명/폭탄 6종</t>
        </is>
      </c>
    </row>
    <row r="10">
      <c r="A10" s="8" t="inlineStr">
        <is>
          <t>보상 1위</t>
        </is>
      </c>
      <c r="B10" s="8" t="inlineStr">
        <is>
          <t>상금풀 50%</t>
        </is>
      </c>
      <c r="C10" s="8" t="inlineStr">
        <is>
          <t>다이아 200 + 칭호</t>
        </is>
      </c>
    </row>
    <row r="11">
      <c r="A11" s="9" t="inlineStr">
        <is>
          <t>보상 2위</t>
        </is>
      </c>
      <c r="B11" s="9" t="inlineStr">
        <is>
          <t>상금풀 25%</t>
        </is>
      </c>
      <c r="C11" s="9" t="inlineStr">
        <is>
          <t>다이아 100</t>
        </is>
      </c>
    </row>
    <row r="12">
      <c r="A12" s="8" t="inlineStr">
        <is>
          <t>보상 3위</t>
        </is>
      </c>
      <c r="B12" s="8" t="inlineStr">
        <is>
          <t>상금풀 15%</t>
        </is>
      </c>
      <c r="C12" s="8" t="inlineStr">
        <is>
          <t>다이아 50</t>
        </is>
      </c>
    </row>
    <row r="13">
      <c r="A13" s="9" t="inlineStr">
        <is>
          <t>참가 보상</t>
        </is>
      </c>
      <c r="B13" s="9" t="inlineStr">
        <is>
          <t>나머지 10% 분배</t>
        </is>
      </c>
      <c r="C13" s="9" t="inlineStr">
        <is>
          <t>EXP 1000</t>
        </is>
      </c>
    </row>
  </sheetData>
  <mergeCells count="1">
    <mergeCell ref="A1:C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4" customWidth="1" min="1" max="1"/>
    <col width="18" customWidth="1" min="2" max="2"/>
    <col width="14" customWidth="1" min="3" max="3"/>
    <col width="10" customWidth="1" min="4" max="4"/>
    <col width="25" customWidth="1" min="5" max="5"/>
  </cols>
  <sheetData>
    <row r="1">
      <c r="A1" s="6" t="inlineStr">
        <is>
          <t>NPC 대화 시스템 (v2.58)</t>
        </is>
      </c>
    </row>
    <row r="3">
      <c r="A3" s="7" t="inlineStr">
        <is>
          <t>마을</t>
        </is>
      </c>
      <c r="B3" s="7" t="inlineStr">
        <is>
          <t>NPC명</t>
        </is>
      </c>
      <c r="C3" s="7" t="inlineStr">
        <is>
          <t>직함</t>
        </is>
      </c>
      <c r="D3" s="7" t="inlineStr">
        <is>
          <t>타입</t>
        </is>
      </c>
      <c r="E3" s="7" t="inlineStr">
        <is>
          <t>서비스</t>
        </is>
      </c>
    </row>
    <row r="4">
      <c r="A4" s="8" t="inlineStr">
        <is>
          <t>바람개비 마을</t>
        </is>
      </c>
      <c r="B4" s="8" t="inlineStr">
        <is>
          <t>촌장 아르덴</t>
        </is>
      </c>
      <c r="C4" s="8" t="inlineStr">
        <is>
          <t>마을 촌장</t>
        </is>
      </c>
      <c r="D4" s="8" t="inlineStr">
        <is>
          <t>quest</t>
        </is>
      </c>
      <c r="E4" s="8" t="inlineStr">
        <is>
          <t>스토리/일일선물</t>
        </is>
      </c>
    </row>
    <row r="5">
      <c r="A5" s="9" t="inlineStr">
        <is>
          <t>바람개비 마을</t>
        </is>
      </c>
      <c r="B5" s="9" t="inlineStr">
        <is>
          <t>대장장이 볼칸</t>
        </is>
      </c>
      <c r="C5" s="9" t="inlineStr">
        <is>
          <t>전설의 제련사</t>
        </is>
      </c>
      <c r="D5" s="9" t="inlineStr">
        <is>
          <t>smith</t>
        </is>
      </c>
      <c r="E5" s="9" t="inlineStr">
        <is>
          <t>강화/제작/감정</t>
        </is>
      </c>
    </row>
    <row r="6">
      <c r="A6" s="8" t="inlineStr">
        <is>
          <t>바람개비 마을</t>
        </is>
      </c>
      <c r="B6" s="8" t="inlineStr">
        <is>
          <t>신관 루미아</t>
        </is>
      </c>
      <c r="C6" s="8" t="inlineStr">
        <is>
          <t>빛의 사제</t>
        </is>
      </c>
      <c r="D6" s="8" t="inlineStr">
        <is>
          <t>healer</t>
        </is>
      </c>
      <c r="E6" s="8" t="inlineStr">
        <is>
          <t>힐/축복/저주해제</t>
        </is>
      </c>
    </row>
    <row r="7">
      <c r="A7" s="9" t="inlineStr">
        <is>
          <t>바람개비 마을</t>
        </is>
      </c>
      <c r="B7" s="9" t="inlineStr">
        <is>
          <t>창고지기 하겐</t>
        </is>
      </c>
      <c r="C7" s="9" t="inlineStr">
        <is>
          <t>창고 관리인</t>
        </is>
      </c>
      <c r="D7" s="9" t="inlineStr">
        <is>
          <t>storage</t>
        </is>
      </c>
      <c r="E7" s="9" t="inlineStr">
        <is>
          <t>보관/인출/확장</t>
        </is>
      </c>
    </row>
    <row r="8">
      <c r="A8" s="8" t="inlineStr">
        <is>
          <t>바람개비 마을</t>
        </is>
      </c>
      <c r="B8" s="8" t="inlineStr">
        <is>
          <t>마법사 텔라</t>
        </is>
      </c>
      <c r="C8" s="8" t="inlineStr">
        <is>
          <t>공간 마법사</t>
        </is>
      </c>
      <c r="D8" s="8" t="inlineStr">
        <is>
          <t>teleporter</t>
        </is>
      </c>
      <c r="E8" s="8" t="inlineStr">
        <is>
          <t>6개 마을 텔레포트</t>
        </is>
      </c>
    </row>
    <row r="9">
      <c r="A9" s="9" t="inlineStr">
        <is>
          <t>바람개비 마을</t>
        </is>
      </c>
      <c r="B9" s="9" t="inlineStr">
        <is>
          <t>여관주인 마르타</t>
        </is>
      </c>
      <c r="C9" s="9" t="inlineStr">
        <is>
          <t>따뜻한 쉼터</t>
        </is>
      </c>
      <c r="D9" s="9" t="inlineStr">
        <is>
          <t>inn</t>
        </is>
      </c>
      <c r="E9" s="9" t="inlineStr">
        <is>
          <t>휴식/식사/게시판/소문</t>
        </is>
      </c>
    </row>
    <row r="10">
      <c r="A10" s="8" t="inlineStr">
        <is>
          <t>별빛 항구</t>
        </is>
      </c>
      <c r="B10" s="8" t="inlineStr">
        <is>
          <t>선장 네모</t>
        </is>
      </c>
      <c r="C10" s="8" t="inlineStr">
        <is>
          <t>항해의 달인</t>
        </is>
      </c>
      <c r="D10" s="8" t="inlineStr">
        <is>
          <t>travel</t>
        </is>
      </c>
      <c r="E10" s="8" t="inlineStr">
        <is>
          <t>3개 해안 이동</t>
        </is>
      </c>
    </row>
    <row r="11">
      <c r="A11" s="9" t="inlineStr">
        <is>
          <t>별빛 항구</t>
        </is>
      </c>
      <c r="B11" s="9" t="inlineStr">
        <is>
          <t>상인 길드장 로제</t>
        </is>
      </c>
      <c r="C11" s="9" t="inlineStr">
        <is>
          <t>무역의 여왕</t>
        </is>
      </c>
      <c r="D11" s="9" t="inlineStr">
        <is>
          <t>shop</t>
        </is>
      </c>
      <c r="E11" s="9" t="inlineStr">
        <is>
          <t>상점/희귀품/시세</t>
        </is>
      </c>
    </row>
    <row r="12">
      <c r="A12" s="8" t="inlineStr">
        <is>
          <t>별빛 항구</t>
        </is>
      </c>
      <c r="B12" s="8" t="inlineStr">
        <is>
          <t>창고지기 바르도</t>
        </is>
      </c>
      <c r="C12" s="8" t="inlineStr">
        <is>
          <t>항구 창고</t>
        </is>
      </c>
      <c r="D12" s="8" t="inlineStr">
        <is>
          <t>storage</t>
        </is>
      </c>
      <c r="E12" s="8" t="inlineStr">
        <is>
          <t>보관/인출</t>
        </is>
      </c>
    </row>
    <row r="13">
      <c r="A13" s="9" t="inlineStr">
        <is>
          <t>별빛 항구</t>
        </is>
      </c>
      <c r="B13" s="9" t="inlineStr">
        <is>
          <t>의사 히포</t>
        </is>
      </c>
      <c r="C13" s="9" t="inlineStr">
        <is>
          <t>의원</t>
        </is>
      </c>
      <c r="D13" s="9" t="inlineStr">
        <is>
          <t>healer</t>
        </is>
      </c>
      <c r="E13" s="9" t="inlineStr">
        <is>
          <t>힐/해독</t>
        </is>
      </c>
    </row>
    <row r="14">
      <c r="A14" s="8" t="inlineStr">
        <is>
          <t>별빛 항구</t>
        </is>
      </c>
      <c r="B14" s="8" t="inlineStr">
        <is>
          <t>마법사 포르타</t>
        </is>
      </c>
      <c r="C14" s="8" t="inlineStr">
        <is>
          <t>차원 문지기</t>
        </is>
      </c>
      <c r="D14" s="8" t="inlineStr">
        <is>
          <t>teleporter</t>
        </is>
      </c>
      <c r="E14" s="8" t="inlineStr">
        <is>
          <t>텔레포트</t>
        </is>
      </c>
    </row>
    <row r="15">
      <c r="A15" s="9" t="inlineStr">
        <is>
          <t>신전 마을</t>
        </is>
      </c>
      <c r="B15" s="9" t="inlineStr">
        <is>
          <t>대신관 엘리아스</t>
        </is>
      </c>
      <c r="C15" s="9" t="inlineStr">
        <is>
          <t>신전 수호자</t>
        </is>
      </c>
      <c r="D15" s="9" t="inlineStr">
        <is>
          <t>quest</t>
        </is>
      </c>
      <c r="E15" s="9" t="inlineStr">
        <is>
          <t>기도/축복/퀘스트/전직</t>
        </is>
      </c>
    </row>
    <row r="16">
      <c r="A16" s="8" t="inlineStr">
        <is>
          <t>신전 마을</t>
        </is>
      </c>
      <c r="B16" s="8" t="inlineStr">
        <is>
          <t>검술 교관 발두르</t>
        </is>
      </c>
      <c r="C16" s="8" t="inlineStr">
        <is>
          <t>전장의 노장</t>
        </is>
      </c>
      <c r="D16" s="8" t="inlineStr">
        <is>
          <t>trainer</t>
        </is>
      </c>
      <c r="E16" s="8" t="inlineStr">
        <is>
          <t>스킬훈련/전투분석</t>
        </is>
      </c>
    </row>
    <row r="17">
      <c r="A17" s="9" t="inlineStr">
        <is>
          <t>달빛 오아시스</t>
        </is>
      </c>
      <c r="B17" s="9" t="inlineStr">
        <is>
          <t>현자 오시리스</t>
        </is>
      </c>
      <c r="C17" s="9" t="inlineStr">
        <is>
          <t>사막의 지혜</t>
        </is>
      </c>
      <c r="D17" s="9" t="inlineStr">
        <is>
          <t>quest</t>
        </is>
      </c>
      <c r="E17" s="9" t="inlineStr">
        <is>
          <t>이야기/운세/마법연구</t>
        </is>
      </c>
    </row>
    <row r="18">
      <c r="A18" s="8" t="inlineStr">
        <is>
          <t>달빛 오아시스</t>
        </is>
      </c>
      <c r="B18" s="8" t="inlineStr">
        <is>
          <t>대상인 카심</t>
        </is>
      </c>
      <c r="C18" s="8" t="inlineStr">
        <is>
          <t>상회 주인</t>
        </is>
      </c>
      <c r="D18" s="8" t="inlineStr">
        <is>
          <t>shop</t>
        </is>
      </c>
      <c r="E18" s="8" t="inlineStr">
        <is>
          <t>상점/캐러밴/교역정보</t>
        </is>
      </c>
    </row>
    <row r="19">
      <c r="A19" s="9" t="inlineStr">
        <is>
          <t>사막 시장</t>
        </is>
      </c>
      <c r="B19" s="9" t="inlineStr">
        <is>
          <t>경매사 알리</t>
        </is>
      </c>
      <c r="C19" s="9" t="inlineStr">
        <is>
          <t>경매장</t>
        </is>
      </c>
      <c r="D19" s="9" t="inlineStr">
        <is>
          <t>shop</t>
        </is>
      </c>
      <c r="E19" s="9" t="inlineStr">
        <is>
          <t>경매장/시장소식</t>
        </is>
      </c>
    </row>
    <row r="20">
      <c r="A20" s="8" t="inlineStr">
        <is>
          <t>사막 시장</t>
        </is>
      </c>
      <c r="B20" s="8" t="inlineStr">
        <is>
          <t>요리왕 하산</t>
        </is>
      </c>
      <c r="C20" s="8" t="inlineStr">
        <is>
          <t>최고 요리사</t>
        </is>
      </c>
      <c r="D20" s="8" t="inlineStr">
        <is>
          <t>cook</t>
        </is>
      </c>
      <c r="E20" s="8" t="inlineStr">
        <is>
          <t>요리/레시피</t>
        </is>
      </c>
    </row>
  </sheetData>
  <mergeCells count="1">
    <mergeCell ref="A1:E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0" customWidth="1" min="1" max="1"/>
    <col width="16" customWidth="1" min="2" max="2"/>
    <col width="10" customWidth="1" min="3" max="3"/>
    <col width="35" customWidth="1" min="4" max="4"/>
  </cols>
  <sheetData>
    <row r="1">
      <c r="A1" s="6" t="inlineStr">
        <is>
          <t>전투 강화 시스템 (v2.58)</t>
        </is>
      </c>
    </row>
    <row r="3">
      <c r="A3" s="7" t="inlineStr">
        <is>
          <t>시스템</t>
        </is>
      </c>
      <c r="B3" s="7" t="inlineStr">
        <is>
          <t>이름</t>
        </is>
      </c>
      <c r="C3" s="7" t="inlineStr">
        <is>
          <t>클래스</t>
        </is>
      </c>
      <c r="D3" s="7" t="inlineStr">
        <is>
          <t>효과</t>
        </is>
      </c>
    </row>
    <row r="4">
      <c r="A4" s="8" t="inlineStr">
        <is>
          <t>콤보</t>
        </is>
      </c>
      <c r="B4" s="8" t="inlineStr">
        <is>
          <t>암살 연쇄</t>
        </is>
      </c>
      <c r="C4" s="8" t="inlineStr">
        <is>
          <t>Assassin</t>
        </is>
      </c>
      <c r="D4" s="8" t="inlineStr">
        <is>
          <t>그림자+독+연속 → ×2.5+출혈</t>
        </is>
      </c>
    </row>
    <row r="5">
      <c r="A5" s="9" t="inlineStr">
        <is>
          <t>콤보</t>
        </is>
      </c>
      <c r="B5" s="9" t="inlineStr">
        <is>
          <t>그림자 처형</t>
        </is>
      </c>
      <c r="C5" s="9" t="inlineStr">
        <is>
          <t>Assassin</t>
        </is>
      </c>
      <c r="D5" s="9" t="inlineStr">
        <is>
          <t>은신+그림자 → ×3.0+확정크리</t>
        </is>
      </c>
    </row>
    <row r="6">
      <c r="A6" s="8" t="inlineStr">
        <is>
          <t>콤보</t>
        </is>
      </c>
      <c r="B6" s="8" t="inlineStr">
        <is>
          <t>광전사의 분노</t>
        </is>
      </c>
      <c r="C6" s="8" t="inlineStr">
        <is>
          <t>Warrior</t>
        </is>
      </c>
      <c r="D6" s="8" t="inlineStr">
        <is>
          <t>함성+파워+회전 → ×2.0+기절</t>
        </is>
      </c>
    </row>
    <row r="7">
      <c r="A7" s="9" t="inlineStr">
        <is>
          <t>콤보</t>
        </is>
      </c>
      <c r="B7" s="9" t="inlineStr">
        <is>
          <t>연속 강타</t>
        </is>
      </c>
      <c r="C7" s="9" t="inlineStr">
        <is>
          <t>Warrior</t>
        </is>
      </c>
      <c r="D7" s="9" t="inlineStr">
        <is>
          <t>파워+회전 → ×1.8</t>
        </is>
      </c>
    </row>
    <row r="8">
      <c r="A8" s="8" t="inlineStr">
        <is>
          <t>콤보</t>
        </is>
      </c>
      <c r="B8" s="8" t="inlineStr">
        <is>
          <t>철벽 반격</t>
        </is>
      </c>
      <c r="C8" s="8" t="inlineStr">
        <is>
          <t>Knight</t>
        </is>
      </c>
      <c r="D8" s="8" t="inlineStr">
        <is>
          <t>철벽+방패 → ×2.2+기절</t>
        </is>
      </c>
    </row>
    <row r="9">
      <c r="A9" s="9" t="inlineStr">
        <is>
          <t>콤보</t>
        </is>
      </c>
      <c r="B9" s="9" t="inlineStr">
        <is>
          <t>원소 폭풍</t>
        </is>
      </c>
      <c r="C9" s="9" t="inlineStr">
        <is>
          <t>Mage</t>
        </is>
      </c>
      <c r="D9" s="9" t="inlineStr">
        <is>
          <t>빙+화+뇌 → ×3.0+화상+AoE</t>
        </is>
      </c>
    </row>
    <row r="10">
      <c r="A10" s="8" t="inlineStr">
        <is>
          <t>콤보</t>
        </is>
      </c>
      <c r="B10" s="8" t="inlineStr">
        <is>
          <t>절대영도</t>
        </is>
      </c>
      <c r="C10" s="8" t="inlineStr">
        <is>
          <t>Mage</t>
        </is>
      </c>
      <c r="D10" s="8" t="inlineStr">
        <is>
          <t>빙+빙 → ×1.5+빙결</t>
        </is>
      </c>
    </row>
    <row r="11">
      <c r="A11" s="9" t="inlineStr">
        <is>
          <t>콤보</t>
        </is>
      </c>
      <c r="B11" s="9" t="inlineStr">
        <is>
          <t>신성 심판</t>
        </is>
      </c>
      <c r="C11" s="9" t="inlineStr">
        <is>
          <t>Cleric</t>
        </is>
      </c>
      <c r="D11" s="9" t="inlineStr">
        <is>
          <t>홀리+축복+정화 → ×2.0+아군힐</t>
        </is>
      </c>
    </row>
    <row r="12">
      <c r="A12" s="8" t="inlineStr">
        <is>
          <t>상태이상</t>
        </is>
      </c>
      <c r="B12" s="8" t="inlineStr">
        <is>
          <t>화상 🔥</t>
        </is>
      </c>
      <c r="C12" s="8" t="inlineStr"/>
      <c r="D12" s="8" t="inlineStr">
        <is>
          <t>초당8, 5초, DEF-5</t>
        </is>
      </c>
    </row>
    <row r="13">
      <c r="A13" s="9" t="inlineStr">
        <is>
          <t>상태이상</t>
        </is>
      </c>
      <c r="B13" s="9" t="inlineStr">
        <is>
          <t>빙결 ❄</t>
        </is>
      </c>
      <c r="C13" s="9" t="inlineStr"/>
      <c r="D13" s="9" t="inlineStr">
        <is>
          <t>3초 이동불가, DEF-30%</t>
        </is>
      </c>
    </row>
    <row r="14">
      <c r="A14" s="8" t="inlineStr">
        <is>
          <t>상태이상</t>
        </is>
      </c>
      <c r="B14" s="8" t="inlineStr">
        <is>
          <t>출혈 🩸</t>
        </is>
      </c>
      <c r="C14" s="8" t="inlineStr"/>
      <c r="D14" s="8" t="inlineStr">
        <is>
          <t>초당12, 6초, 회복-50%, 중첩3</t>
        </is>
      </c>
    </row>
    <row r="15">
      <c r="A15" s="9" t="inlineStr">
        <is>
          <t>상태이상</t>
        </is>
      </c>
      <c r="B15" s="9" t="inlineStr">
        <is>
          <t>저주 ☠</t>
        </is>
      </c>
      <c r="C15" s="9" t="inlineStr"/>
      <c r="D15" s="9" t="inlineStr">
        <is>
          <t>초당5, 8초, ATK-20%</t>
        </is>
      </c>
    </row>
    <row r="16">
      <c r="A16" s="8" t="inlineStr">
        <is>
          <t>상태이상</t>
        </is>
      </c>
      <c r="B16" s="8" t="inlineStr">
        <is>
          <t>기절 💫</t>
        </is>
      </c>
      <c r="C16" s="8" t="inlineStr"/>
      <c r="D16" s="8" t="inlineStr">
        <is>
          <t>2초 행동불가</t>
        </is>
      </c>
    </row>
    <row r="17">
      <c r="A17" s="9" t="inlineStr">
        <is>
          <t>상태이상</t>
        </is>
      </c>
      <c r="B17" s="9" t="inlineStr">
        <is>
          <t>중독 🐍</t>
        </is>
      </c>
      <c r="C17" s="9" t="inlineStr"/>
      <c r="D17" s="9" t="inlineStr">
        <is>
          <t>초당6, 10초, 중첩5</t>
        </is>
      </c>
    </row>
    <row r="18">
      <c r="A18" s="8" t="inlineStr">
        <is>
          <t>궁극기</t>
        </is>
      </c>
      <c r="B18" s="8" t="inlineStr">
        <is>
          <t>사신의 낫</t>
        </is>
      </c>
      <c r="C18" s="8" t="inlineStr">
        <is>
          <t>Assassin</t>
        </is>
      </c>
      <c r="D18" s="8" t="inlineStr">
        <is>
          <t>ATK×10 암흑 광역+출혈</t>
        </is>
      </c>
    </row>
    <row r="19">
      <c r="A19" s="9" t="inlineStr">
        <is>
          <t>궁극기</t>
        </is>
      </c>
      <c r="B19" s="9" t="inlineStr">
        <is>
          <t>대지의 분노</t>
        </is>
      </c>
      <c r="C19" s="9" t="inlineStr">
        <is>
          <t>Warrior</t>
        </is>
      </c>
      <c r="D19" s="9" t="inlineStr">
        <is>
          <t>ATK×8 화염 광역+기절</t>
        </is>
      </c>
    </row>
    <row r="20">
      <c r="A20" s="8" t="inlineStr">
        <is>
          <t>궁극기</t>
        </is>
      </c>
      <c r="B20" s="8" t="inlineStr">
        <is>
          <t>신성 방벽</t>
        </is>
      </c>
      <c r="C20" s="8" t="inlineStr">
        <is>
          <t>Knight</t>
        </is>
      </c>
      <c r="D20" s="8" t="inlineStr">
        <is>
          <t>10초 무적+아군 50%힐</t>
        </is>
      </c>
    </row>
    <row r="21">
      <c r="A21" s="9" t="inlineStr">
        <is>
          <t>궁극기</t>
        </is>
      </c>
      <c r="B21" s="9" t="inlineStr">
        <is>
          <t>메테오 스톰</t>
        </is>
      </c>
      <c r="C21" s="9" t="inlineStr">
        <is>
          <t>Mage</t>
        </is>
      </c>
      <c r="D21" s="9" t="inlineStr">
        <is>
          <t>ATK×12 화염 광역+화상</t>
        </is>
      </c>
    </row>
    <row r="22">
      <c r="A22" s="8" t="inlineStr">
        <is>
          <t>궁극기</t>
        </is>
      </c>
      <c r="B22" s="8" t="inlineStr">
        <is>
          <t>대천사 강림</t>
        </is>
      </c>
      <c r="C22" s="8" t="inlineStr">
        <is>
          <t>Cleric</t>
        </is>
      </c>
      <c r="D22" s="8" t="inlineStr">
        <is>
          <t>아군 부활+전체 힐+축복</t>
        </is>
      </c>
    </row>
    <row r="23">
      <c r="A23" s="9" t="inlineStr">
        <is>
          <t>세트</t>
        </is>
      </c>
      <c r="B23" s="9" t="inlineStr">
        <is>
          <t>그림자 세트</t>
        </is>
      </c>
      <c r="C23" s="9" t="inlineStr">
        <is>
          <t>5피스</t>
        </is>
      </c>
      <c r="D23" s="9" t="inlineStr">
        <is>
          <t>ATK+50, 크리+15%, 회피+10%</t>
        </is>
      </c>
    </row>
    <row r="24">
      <c r="A24" s="8" t="inlineStr">
        <is>
          <t>세트</t>
        </is>
      </c>
      <c r="B24" s="8" t="inlineStr">
        <is>
          <t>서리 세트</t>
        </is>
      </c>
      <c r="C24" s="8" t="inlineStr">
        <is>
          <t>5피스</t>
        </is>
      </c>
      <c r="D24" s="8" t="inlineStr">
        <is>
          <t>DEF+40, HP+600, 빙결 10%</t>
        </is>
      </c>
    </row>
    <row r="25">
      <c r="A25" s="9" t="inlineStr">
        <is>
          <t>세트</t>
        </is>
      </c>
      <c r="B25" s="9" t="inlineStr">
        <is>
          <t>뇌전 세트</t>
        </is>
      </c>
      <c r="C25" s="9" t="inlineStr">
        <is>
          <t>5피스</t>
        </is>
      </c>
      <c r="D25" s="9" t="inlineStr">
        <is>
          <t>ATK+60, 공속+30%, 연쇄번개</t>
        </is>
      </c>
    </row>
    <row r="26">
      <c r="A26" s="8" t="inlineStr">
        <is>
          <t>세트</t>
        </is>
      </c>
      <c r="B26" s="8" t="inlineStr">
        <is>
          <t>신성 세트</t>
        </is>
      </c>
      <c r="C26" s="8" t="inlineStr">
        <is>
          <t>5피스</t>
        </is>
      </c>
      <c r="D26" s="8" t="inlineStr">
        <is>
          <t>DEF+50, HP+1000, 크리무효25%</t>
        </is>
      </c>
    </row>
  </sheetData>
  <mergeCells count="1">
    <mergeCell ref="A1:D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2" customWidth="1" min="1" max="1"/>
    <col width="5" customWidth="1" min="2" max="2"/>
    <col width="16" customWidth="1" min="3" max="3"/>
    <col width="10" customWidth="1" min="4" max="4"/>
    <col width="12" customWidth="1" min="5" max="5"/>
    <col width="30" customWidth="1" min="6" max="6"/>
  </cols>
  <sheetData>
    <row r="1">
      <c r="A1" s="6" t="inlineStr">
        <is>
          <t>심층 던전 시스템 (v2.58)</t>
        </is>
      </c>
    </row>
    <row r="3">
      <c r="A3" s="7" t="inlineStr">
        <is>
          <t>던전</t>
        </is>
      </c>
      <c r="B3" s="7" t="inlineStr">
        <is>
          <t>층</t>
        </is>
      </c>
      <c r="C3" s="7" t="inlineStr">
        <is>
          <t>이름</t>
        </is>
      </c>
      <c r="D3" s="7" t="inlineStr">
        <is>
          <t>테마</t>
        </is>
      </c>
      <c r="E3" s="7" t="inlineStr">
        <is>
          <t>함정</t>
        </is>
      </c>
      <c r="F3" s="7" t="inlineStr">
        <is>
          <t>보스</t>
        </is>
      </c>
    </row>
    <row r="4">
      <c r="A4" s="8" t="inlineStr">
        <is>
          <t>심연의 탑</t>
        </is>
      </c>
      <c r="B4" s="8" t="inlineStr">
        <is>
          <t>1</t>
        </is>
      </c>
      <c r="C4" s="8" t="inlineStr">
        <is>
          <t>망자의 회랑</t>
        </is>
      </c>
      <c r="D4" s="8" t="inlineStr">
        <is>
          <t>undead</t>
        </is>
      </c>
      <c r="E4" s="8" t="inlineStr">
        <is>
          <t>-</t>
        </is>
      </c>
      <c r="F4" s="8" t="inlineStr">
        <is>
          <t>-</t>
        </is>
      </c>
    </row>
    <row r="5">
      <c r="A5" s="9" t="inlineStr">
        <is>
          <t>심연의 탑</t>
        </is>
      </c>
      <c r="B5" s="9" t="inlineStr">
        <is>
          <t>2</t>
        </is>
      </c>
      <c r="C5" s="9" t="inlineStr">
        <is>
          <t>독거미의 둥지</t>
        </is>
      </c>
      <c r="D5" s="9" t="inlineStr">
        <is>
          <t>spider</t>
        </is>
      </c>
      <c r="E5" s="9" t="inlineStr">
        <is>
          <t>독가스</t>
        </is>
      </c>
      <c r="F5" s="9" t="inlineStr">
        <is>
          <t>-</t>
        </is>
      </c>
    </row>
    <row r="6">
      <c r="A6" s="8" t="inlineStr">
        <is>
          <t>심연의 탑</t>
        </is>
      </c>
      <c r="B6" s="8" t="inlineStr">
        <is>
          <t>3</t>
        </is>
      </c>
      <c r="C6" s="8" t="inlineStr">
        <is>
          <t>무너진 성벽</t>
        </is>
      </c>
      <c r="D6" s="8" t="inlineStr">
        <is>
          <t>golem</t>
        </is>
      </c>
      <c r="E6" s="8" t="inlineStr">
        <is>
          <t>낙석</t>
        </is>
      </c>
      <c r="F6" s="8" t="inlineStr">
        <is>
          <t>-</t>
        </is>
      </c>
    </row>
    <row r="7">
      <c r="A7" s="9" t="inlineStr">
        <is>
          <t>심연의 탑</t>
        </is>
      </c>
      <c r="B7" s="9" t="inlineStr">
        <is>
          <t>4</t>
        </is>
      </c>
      <c r="C7" s="9" t="inlineStr">
        <is>
          <t>화염의 방</t>
        </is>
      </c>
      <c r="D7" s="9" t="inlineStr">
        <is>
          <t>fire</t>
        </is>
      </c>
      <c r="E7" s="9" t="inlineStr">
        <is>
          <t>용암바닥</t>
        </is>
      </c>
      <c r="F7" s="9" t="inlineStr">
        <is>
          <t>-</t>
        </is>
      </c>
    </row>
    <row r="8">
      <c r="A8" s="8" t="inlineStr">
        <is>
          <t>심연의 탑</t>
        </is>
      </c>
      <c r="B8" s="8" t="inlineStr">
        <is>
          <t>5</t>
        </is>
      </c>
      <c r="C8" s="8" t="inlineStr">
        <is>
          <t>수호자의 방</t>
        </is>
      </c>
      <c r="D8" s="8" t="inlineStr">
        <is>
          <t>boss</t>
        </is>
      </c>
      <c r="E8" s="8" t="inlineStr">
        <is>
          <t>-</t>
        </is>
      </c>
      <c r="F8" s="8" t="inlineStr">
        <is>
          <t>심연의 수호자 가디안 (2페이즈)</t>
        </is>
      </c>
    </row>
    <row r="9">
      <c r="A9" s="9" t="inlineStr">
        <is>
          <t>심연의 탑</t>
        </is>
      </c>
      <c r="B9" s="9" t="inlineStr">
        <is>
          <t>6</t>
        </is>
      </c>
      <c r="C9" s="9" t="inlineStr">
        <is>
          <t>환영의 미궁</t>
        </is>
      </c>
      <c r="D9" s="9" t="inlineStr">
        <is>
          <t>illusion</t>
        </is>
      </c>
      <c r="E9" s="9" t="inlineStr">
        <is>
          <t>혼란</t>
        </is>
      </c>
      <c r="F9" s="9" t="inlineStr">
        <is>
          <t>-</t>
        </is>
      </c>
    </row>
    <row r="10">
      <c r="A10" s="8" t="inlineStr">
        <is>
          <t>심연의 탑</t>
        </is>
      </c>
      <c r="B10" s="8" t="inlineStr">
        <is>
          <t>7</t>
        </is>
      </c>
      <c r="C10" s="8" t="inlineStr">
        <is>
          <t>빙결의 감옥</t>
        </is>
      </c>
      <c r="D10" s="8" t="inlineStr">
        <is>
          <t>ice</t>
        </is>
      </c>
      <c r="E10" s="8" t="inlineStr">
        <is>
          <t>빙결함정</t>
        </is>
      </c>
      <c r="F10" s="8" t="inlineStr">
        <is>
          <t>-</t>
        </is>
      </c>
    </row>
    <row r="11">
      <c r="A11" s="9" t="inlineStr">
        <is>
          <t>심연의 탑</t>
        </is>
      </c>
      <c r="B11" s="9" t="inlineStr">
        <is>
          <t>8</t>
        </is>
      </c>
      <c r="C11" s="9" t="inlineStr">
        <is>
          <t>암흑의 제단</t>
        </is>
      </c>
      <c r="D11" s="9" t="inlineStr">
        <is>
          <t>dark</t>
        </is>
      </c>
      <c r="E11" s="9" t="inlineStr">
        <is>
          <t>마법봉인</t>
        </is>
      </c>
      <c r="F11" s="9" t="inlineStr">
        <is>
          <t>-</t>
        </is>
      </c>
    </row>
    <row r="12">
      <c r="A12" s="8" t="inlineStr">
        <is>
          <t>심연의 탑</t>
        </is>
      </c>
      <c r="B12" s="8" t="inlineStr">
        <is>
          <t>9</t>
        </is>
      </c>
      <c r="C12" s="8" t="inlineStr">
        <is>
          <t>용의 거처</t>
        </is>
      </c>
      <c r="D12" s="8" t="inlineStr">
        <is>
          <t>dragon</t>
        </is>
      </c>
      <c r="E12" s="8" t="inlineStr">
        <is>
          <t>드래곤브레스</t>
        </is>
      </c>
      <c r="F12" s="8" t="inlineStr">
        <is>
          <t>-</t>
        </is>
      </c>
    </row>
    <row r="13">
      <c r="A13" s="9" t="inlineStr">
        <is>
          <t>심연의 탑</t>
        </is>
      </c>
      <c r="B13" s="9" t="inlineStr">
        <is>
          <t>10</t>
        </is>
      </c>
      <c r="C13" s="9" t="inlineStr">
        <is>
          <t>심연의 왕좌</t>
        </is>
      </c>
      <c r="D13" s="9" t="inlineStr">
        <is>
          <t>final_boss</t>
        </is>
      </c>
      <c r="E13" s="9" t="inlineStr">
        <is>
          <t>-</t>
        </is>
      </c>
      <c r="F13" s="9" t="inlineStr">
        <is>
          <t>심연의 군주 아비스 (3페이즈)</t>
        </is>
      </c>
    </row>
    <row r="14">
      <c r="A14" s="8" t="inlineStr">
        <is>
          <t>천공의 첨탑</t>
        </is>
      </c>
      <c r="B14" s="8" t="inlineStr">
        <is>
          <t>1</t>
        </is>
      </c>
      <c r="C14" s="8" t="inlineStr">
        <is>
          <t>구름의 정원</t>
        </is>
      </c>
      <c r="D14" s="8" t="inlineStr">
        <is>
          <t>wind</t>
        </is>
      </c>
      <c r="E14" s="8" t="inlineStr">
        <is>
          <t>돌풍</t>
        </is>
      </c>
      <c r="F14" s="8" t="inlineStr">
        <is>
          <t>-</t>
        </is>
      </c>
    </row>
    <row r="15">
      <c r="A15" s="9" t="inlineStr">
        <is>
          <t>천공의 첨탑</t>
        </is>
      </c>
      <c r="B15" s="9" t="inlineStr">
        <is>
          <t>2</t>
        </is>
      </c>
      <c r="C15" s="9" t="inlineStr">
        <is>
          <t>번개의 회랑</t>
        </is>
      </c>
      <c r="D15" s="9" t="inlineStr">
        <is>
          <t>lightning</t>
        </is>
      </c>
      <c r="E15" s="9" t="inlineStr">
        <is>
          <t>벼락</t>
        </is>
      </c>
      <c r="F15" s="9" t="inlineStr">
        <is>
          <t>-</t>
        </is>
      </c>
    </row>
    <row r="16">
      <c r="A16" s="8" t="inlineStr">
        <is>
          <t>천공의 첨탑</t>
        </is>
      </c>
      <c r="B16" s="8" t="inlineStr">
        <is>
          <t>3</t>
        </is>
      </c>
      <c r="C16" s="8" t="inlineStr">
        <is>
          <t>빛의 시련</t>
        </is>
      </c>
      <c r="D16" s="8" t="inlineStr">
        <is>
          <t>holy</t>
        </is>
      </c>
      <c r="E16" s="8" t="inlineStr">
        <is>
          <t>-</t>
        </is>
      </c>
      <c r="F16" s="8" t="inlineStr">
        <is>
          <t>-</t>
        </is>
      </c>
    </row>
    <row r="17">
      <c r="A17" s="9" t="inlineStr">
        <is>
          <t>천공의 첨탑</t>
        </is>
      </c>
      <c r="B17" s="9" t="inlineStr">
        <is>
          <t>4</t>
        </is>
      </c>
      <c r="C17" s="9" t="inlineStr">
        <is>
          <t>별의 도서관</t>
        </is>
      </c>
      <c r="D17" s="9" t="inlineStr">
        <is>
          <t>arcane</t>
        </is>
      </c>
      <c r="E17" s="9" t="inlineStr">
        <is>
          <t>마나흡수</t>
        </is>
      </c>
      <c r="F17" s="9" t="inlineStr">
        <is>
          <t>-</t>
        </is>
      </c>
    </row>
    <row r="18">
      <c r="A18" s="8" t="inlineStr">
        <is>
          <t>천공의 첨탑</t>
        </is>
      </c>
      <c r="B18" s="8" t="inlineStr">
        <is>
          <t>5</t>
        </is>
      </c>
      <c r="C18" s="8" t="inlineStr">
        <is>
          <t>천사장의 옥좌</t>
        </is>
      </c>
      <c r="D18" s="8" t="inlineStr">
        <is>
          <t>boss</t>
        </is>
      </c>
      <c r="E18" s="8" t="inlineStr">
        <is>
          <t>-</t>
        </is>
      </c>
      <c r="F18" s="8" t="inlineStr">
        <is>
          <t>천사장 미카엘 (3페이즈)</t>
        </is>
      </c>
    </row>
  </sheetData>
  <mergeCells count="1">
    <mergeCell ref="A1:F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18" customWidth="1" min="2" max="2"/>
    <col width="14" customWidth="1" min="3" max="3"/>
    <col width="18" customWidth="1" min="4" max="4"/>
    <col width="25" customWidth="1" min="5" max="5"/>
  </cols>
  <sheetData>
    <row r="1">
      <c r="A1" s="6" t="inlineStr">
        <is>
          <t>메인 스토리라인 (v2.58)</t>
        </is>
      </c>
    </row>
    <row r="3">
      <c r="A3" s="7" t="inlineStr">
        <is>
          <t>막</t>
        </is>
      </c>
      <c r="B3" s="7" t="inlineStr">
        <is>
          <t>퀘스트</t>
        </is>
      </c>
      <c r="C3" s="7" t="inlineStr">
        <is>
          <t>NPC</t>
        </is>
      </c>
      <c r="D3" s="7" t="inlineStr">
        <is>
          <t>목표</t>
        </is>
      </c>
      <c r="E3" s="7" t="inlineStr">
        <is>
          <t>보상</t>
        </is>
      </c>
    </row>
    <row r="4">
      <c r="A4" s="8" t="inlineStr">
        <is>
          <t>프롤로그</t>
        </is>
      </c>
      <c r="B4" s="8" t="inlineStr">
        <is>
          <t>잊혀진 기억</t>
        </is>
      </c>
      <c r="C4" s="8" t="inlineStr">
        <is>
          <t>촌장 아르덴</t>
        </is>
      </c>
      <c r="D4" s="8" t="inlineStr">
        <is>
          <t>슬라임 5마리</t>
        </is>
      </c>
      <c r="E4" s="8" t="inlineStr">
        <is>
          <t>200G, 기본검</t>
        </is>
      </c>
    </row>
    <row r="5">
      <c r="A5" s="9" t="inlineStr">
        <is>
          <t>프롤로그</t>
        </is>
      </c>
      <c r="B5" s="9" t="inlineStr">
        <is>
          <t>촌장의 부탁</t>
        </is>
      </c>
      <c r="C5" s="9" t="inlineStr">
        <is>
          <t>촌장 아르덴</t>
        </is>
      </c>
      <c r="D5" s="9" t="inlineStr">
        <is>
          <t>엘리트 3마리</t>
        </is>
      </c>
      <c r="E5" s="9" t="inlineStr">
        <is>
          <t>500G</t>
        </is>
      </c>
    </row>
    <row r="6">
      <c r="A6" s="8" t="inlineStr">
        <is>
          <t>프롤로그</t>
        </is>
      </c>
      <c r="B6" s="8" t="inlineStr">
        <is>
          <t>예언의 시작</t>
        </is>
      </c>
      <c r="C6" s="8" t="inlineStr">
        <is>
          <t>대신관 엘리아스</t>
        </is>
      </c>
      <c r="D6" s="8" t="inlineStr">
        <is>
          <t>Lv.10 달성</t>
        </is>
      </c>
      <c r="E6" s="8" t="inlineStr">
        <is>
          <t>1000G, 50💎, 칭호</t>
        </is>
      </c>
    </row>
    <row r="7">
      <c r="A7" s="9" t="inlineStr">
        <is>
          <t>1막</t>
        </is>
      </c>
      <c r="B7" s="9" t="inlineStr">
        <is>
          <t>불꽃산으로의 여정</t>
        </is>
      </c>
      <c r="C7" s="9" t="inlineStr">
        <is>
          <t>촌장</t>
        </is>
      </c>
      <c r="D7" s="9" t="inlineStr">
        <is>
          <t>장비+5 강화</t>
        </is>
      </c>
      <c r="E7" s="9" t="inlineStr">
        <is>
          <t>1000G</t>
        </is>
      </c>
    </row>
    <row r="8">
      <c r="A8" s="8" t="inlineStr">
        <is>
          <t>1막</t>
        </is>
      </c>
      <c r="B8" s="8" t="inlineStr">
        <is>
          <t>화염의 수호자</t>
        </is>
      </c>
      <c r="C8" s="8" t="inlineStr">
        <is>
          <t>-</t>
        </is>
      </c>
      <c r="D8" s="8" t="inlineStr">
        <is>
          <t>불꽃산 몬스터 20</t>
        </is>
      </c>
      <c r="E8" s="8" t="inlineStr">
        <is>
          <t>2000G</t>
        </is>
      </c>
    </row>
    <row r="9">
      <c r="A9" s="9" t="inlineStr">
        <is>
          <t>1막</t>
        </is>
      </c>
      <c r="B9" s="9" t="inlineStr">
        <is>
          <t>불의 봉인석</t>
        </is>
      </c>
      <c r="C9" s="9" t="inlineStr">
        <is>
          <t>-</t>
        </is>
      </c>
      <c r="D9" s="9" t="inlineStr">
        <is>
          <t>던전 클리어</t>
        </is>
      </c>
      <c r="E9" s="9" t="inlineStr">
        <is>
          <t>5000G, 100💎, 🔥봉인석</t>
        </is>
      </c>
    </row>
    <row r="10">
      <c r="A10" s="8" t="inlineStr">
        <is>
          <t>2막</t>
        </is>
      </c>
      <c r="B10" s="8" t="inlineStr">
        <is>
          <t>얼어붙은 진실</t>
        </is>
      </c>
      <c r="C10" s="8" t="inlineStr">
        <is>
          <t>대신관</t>
        </is>
      </c>
      <c r="D10" s="8" t="inlineStr">
        <is>
          <t>혈맹 가입</t>
        </is>
      </c>
      <c r="E10" s="8" t="inlineStr">
        <is>
          <t>2000G</t>
        </is>
      </c>
    </row>
    <row r="11">
      <c r="A11" s="9" t="inlineStr">
        <is>
          <t>2막</t>
        </is>
      </c>
      <c r="B11" s="9" t="inlineStr">
        <is>
          <t>빙결의 마녀</t>
        </is>
      </c>
      <c r="C11" s="9" t="inlineStr">
        <is>
          <t>-</t>
        </is>
      </c>
      <c r="D11" s="9" t="inlineStr">
        <is>
          <t>보스 처치</t>
        </is>
      </c>
      <c r="E11" s="9" t="inlineStr">
        <is>
          <t>3000G</t>
        </is>
      </c>
    </row>
    <row r="12">
      <c r="A12" s="8" t="inlineStr">
        <is>
          <t>2막</t>
        </is>
      </c>
      <c r="B12" s="8" t="inlineStr">
        <is>
          <t>선택의 순간</t>
        </is>
      </c>
      <c r="C12" s="8" t="inlineStr">
        <is>
          <t>-</t>
        </is>
      </c>
      <c r="D12" s="8" t="inlineStr">
        <is>
          <t>자비/정의 선택</t>
        </is>
      </c>
      <c r="E12" s="8" t="inlineStr">
        <is>
          <t>8000G, 150💎, ❄봉인석</t>
        </is>
      </c>
    </row>
    <row r="13">
      <c r="A13" s="9" t="inlineStr">
        <is>
          <t>3막</t>
        </is>
      </c>
      <c r="B13" s="9" t="inlineStr">
        <is>
          <t>배신</t>
        </is>
      </c>
      <c r="C13" s="9" t="inlineStr">
        <is>
          <t>-</t>
        </is>
      </c>
      <c r="D13" s="9" t="inlineStr">
        <is>
          <t>그림자숲 30처치</t>
        </is>
      </c>
      <c r="E13" s="9" t="inlineStr">
        <is>
          <t>5000G</t>
        </is>
      </c>
    </row>
    <row r="14">
      <c r="A14" s="8" t="inlineStr">
        <is>
          <t>3막</t>
        </is>
      </c>
      <c r="B14" s="8" t="inlineStr">
        <is>
          <t>마왕성 침입</t>
        </is>
      </c>
      <c r="C14" s="8" t="inlineStr">
        <is>
          <t>-</t>
        </is>
      </c>
      <c r="D14" s="8" t="inlineStr">
        <is>
          <t>심연의 탑 5층</t>
        </is>
      </c>
      <c r="E14" s="8" t="inlineStr">
        <is>
          <t>10000G, 200💎, ☠봉인석</t>
        </is>
      </c>
    </row>
    <row r="15">
      <c r="A15" s="9" t="inlineStr">
        <is>
          <t>4막</t>
        </is>
      </c>
      <c r="B15" s="9" t="inlineStr">
        <is>
          <t>봉인의 의식</t>
        </is>
      </c>
      <c r="C15" s="9" t="inlineStr">
        <is>
          <t>대신관</t>
        </is>
      </c>
      <c r="D15" s="9" t="inlineStr">
        <is>
          <t>Lv.45 달성</t>
        </is>
      </c>
      <c r="E15" s="9" t="inlineStr">
        <is>
          <t>15000G, 300💎</t>
        </is>
      </c>
    </row>
    <row r="16">
      <c r="A16" s="8" t="inlineStr">
        <is>
          <t>4막</t>
        </is>
      </c>
      <c r="B16" s="8" t="inlineStr">
        <is>
          <t>심연의 군주</t>
        </is>
      </c>
      <c r="C16" s="8" t="inlineStr">
        <is>
          <t>-</t>
        </is>
      </c>
      <c r="D16" s="8" t="inlineStr">
        <is>
          <t>심연의 탑 10층 클리어</t>
        </is>
      </c>
      <c r="E16" s="8" t="inlineStr">
        <is>
          <t>50000G, 1000💎, ✨완성된봉인</t>
        </is>
      </c>
    </row>
    <row r="17">
      <c r="A17" s="9" t="inlineStr">
        <is>
          <t>에필로그</t>
        </is>
      </c>
      <c r="B17" s="9" t="inlineStr">
        <is>
          <t>새로운 시작</t>
        </is>
      </c>
      <c r="C17" s="9" t="inlineStr">
        <is>
          <t>대신관</t>
        </is>
      </c>
      <c r="D17" s="9" t="inlineStr">
        <is>
          <t>보고</t>
        </is>
      </c>
      <c r="E17" s="9" t="inlineStr">
        <is>
          <t>100000G, 2000💎, 전설칭호</t>
        </is>
      </c>
    </row>
  </sheetData>
  <mergeCells count="1">
    <mergeCell ref="A1:E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12" customWidth="1" min="2" max="2"/>
    <col width="8" customWidth="1" min="3" max="3"/>
    <col width="10" customWidth="1" min="4" max="4"/>
    <col width="40" customWidth="1" min="5" max="5"/>
    <col width="25" customWidth="1" min="6" max="6"/>
  </cols>
  <sheetData>
    <row r="1">
      <c r="A1" s="6" t="inlineStr">
        <is>
          <t>월드 레이드 보스 (v2.58)</t>
        </is>
      </c>
    </row>
    <row r="3">
      <c r="A3" s="7" t="inlineStr">
        <is>
          <t>보스명</t>
        </is>
      </c>
      <c r="B3" s="7" t="inlineStr">
        <is>
          <t>HP</t>
        </is>
      </c>
      <c r="C3" s="7" t="inlineStr">
        <is>
          <t>ATK</t>
        </is>
      </c>
      <c r="D3" s="7" t="inlineStr">
        <is>
          <t>최소인원</t>
        </is>
      </c>
      <c r="E3" s="7" t="inlineStr">
        <is>
          <t>페이즈</t>
        </is>
      </c>
      <c r="F3" s="7" t="inlineStr">
        <is>
          <t>MVP 보상</t>
        </is>
      </c>
    </row>
    <row r="4">
      <c r="A4" s="8" t="inlineStr">
        <is>
          <t>바하무트 🐲</t>
        </is>
      </c>
      <c r="B4" s="8" t="inlineStr">
        <is>
          <t>500,000</t>
        </is>
      </c>
      <c r="C4" s="8" t="inlineStr">
        <is>
          <t>200</t>
        </is>
      </c>
      <c r="D4" s="8" t="inlineStr">
        <is>
          <t>5명</t>
        </is>
      </c>
      <c r="E4" s="8" t="inlineStr">
        <is>
          <t>4단계: 브레스→날개폭풍→메테오+소환→멸망</t>
        </is>
      </c>
      <c r="F4" s="8" t="inlineStr">
        <is>
          <t>10만G, 500💎, 전설장비, 칭호</t>
        </is>
      </c>
    </row>
    <row r="5">
      <c r="A5" s="9" t="inlineStr">
        <is>
          <t>오메가 👿</t>
        </is>
      </c>
      <c r="B5" s="9" t="inlineStr">
        <is>
          <t>800,000</t>
        </is>
      </c>
      <c r="C5" s="9" t="inlineStr">
        <is>
          <t>250</t>
        </is>
      </c>
      <c r="D5" s="9" t="inlineStr">
        <is>
          <t>10명</t>
        </is>
      </c>
      <c r="E5" s="9" t="inlineStr">
        <is>
          <t>4단계: 칼날→차원왜곡→소멸광선+소환→절대소멸</t>
        </is>
      </c>
      <c r="F5" s="9" t="inlineStr">
        <is>
          <t>20만G, 1000💎, 전설장비, 칭호</t>
        </is>
      </c>
    </row>
    <row r="6">
      <c r="A6" s="8" t="inlineStr">
        <is>
          <t>이그드라실 🌳</t>
        </is>
      </c>
      <c r="B6" s="8" t="inlineStr">
        <is>
          <t>300,000</t>
        </is>
      </c>
      <c r="C6" s="8" t="inlineStr">
        <is>
          <t>150</t>
        </is>
      </c>
      <c r="D6" s="8" t="inlineStr">
        <is>
          <t>3명</t>
        </is>
      </c>
      <c r="E6" s="8" t="inlineStr">
        <is>
          <t>3단계: 뿌리속박→자가회복→정령심판</t>
        </is>
      </c>
      <c r="F6" s="8" t="inlineStr">
        <is>
          <t>6만G, 300💎, 전설장비, 칭호</t>
        </is>
      </c>
    </row>
  </sheetData>
  <mergeCells count="1">
    <mergeCell ref="A1:F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6" customWidth="1" min="1" max="1"/>
    <col width="8" customWidth="1" min="2" max="2"/>
    <col width="8" customWidth="1" min="3" max="3"/>
    <col width="35" customWidth="1" min="4" max="4"/>
  </cols>
  <sheetData>
    <row r="1">
      <c r="A1" s="6" t="inlineStr">
        <is>
          <t>시즌 이벤트 (v2.58)</t>
        </is>
      </c>
    </row>
    <row r="3">
      <c r="A3" s="7" t="inlineStr">
        <is>
          <t>이벤트</t>
        </is>
      </c>
      <c r="B3" s="7" t="inlineStr">
        <is>
          <t>아이콘</t>
        </is>
      </c>
      <c r="C3" s="7" t="inlineStr">
        <is>
          <t>지속</t>
        </is>
      </c>
      <c r="D3" s="7" t="inlineStr">
        <is>
          <t>효과</t>
        </is>
      </c>
    </row>
    <row r="4">
      <c r="A4" s="8" t="inlineStr">
        <is>
          <t>핏빛 달의 밤</t>
        </is>
      </c>
      <c r="B4" s="8" t="inlineStr">
        <is>
          <t>🌑</t>
        </is>
      </c>
      <c r="C4" s="8" t="inlineStr">
        <is>
          <t>60분</t>
        </is>
      </c>
      <c r="D4" s="8" t="inlineStr">
        <is>
          <t>몬스터 강화 + 골드/EXP 2배</t>
        </is>
      </c>
    </row>
    <row r="5">
      <c r="A5" s="9" t="inlineStr">
        <is>
          <t>황금비</t>
        </is>
      </c>
      <c r="B5" s="9" t="inlineStr">
        <is>
          <t>🌧️</t>
        </is>
      </c>
      <c r="C5" s="9" t="inlineStr">
        <is>
          <t>30분</t>
        </is>
      </c>
      <c r="D5" s="9" t="inlineStr">
        <is>
          <t>골드 3배, EXP 1.5배</t>
        </is>
      </c>
    </row>
    <row r="6">
      <c r="A6" s="8" t="inlineStr">
        <is>
          <t>정령 축제</t>
        </is>
      </c>
      <c r="B6" s="8" t="inlineStr">
        <is>
          <t>🧚</t>
        </is>
      </c>
      <c r="C6" s="8" t="inlineStr">
        <is>
          <t>40분</t>
        </is>
      </c>
      <c r="D6" s="8" t="inlineStr">
        <is>
          <t>EXP 2.5배, 드롭 2배</t>
        </is>
      </c>
    </row>
    <row r="7">
      <c r="A7" s="9" t="inlineStr">
        <is>
          <t>혼돈의 균열</t>
        </is>
      </c>
      <c r="B7" s="9" t="inlineStr">
        <is>
          <t>🌀</t>
        </is>
      </c>
      <c r="C7" s="9" t="inlineStr">
        <is>
          <t>45분</t>
        </is>
      </c>
      <c r="D7" s="9" t="inlineStr">
        <is>
          <t>몬스터 2배 강화 + 희귀드롭 3배</t>
        </is>
      </c>
    </row>
    <row r="8">
      <c r="A8" s="8" t="inlineStr">
        <is>
          <t>PvP 카니발</t>
        </is>
      </c>
      <c r="B8" s="8" t="inlineStr">
        <is>
          <t>⚔️</t>
        </is>
      </c>
      <c r="C8" s="8" t="inlineStr">
        <is>
          <t>60분</t>
        </is>
      </c>
      <c r="D8" s="8" t="inlineStr">
        <is>
          <t>PvP 보상 3배, 아레나 무료</t>
        </is>
      </c>
    </row>
  </sheetData>
  <mergeCells count="1">
    <mergeCell ref="A1:D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6" customWidth="1" min="1" max="1"/>
    <col width="10" customWidth="1" min="2" max="2"/>
    <col width="14" customWidth="1" min="3" max="3"/>
    <col width="10" customWidth="1" min="4" max="4"/>
    <col width="8" customWidth="1" min="5" max="5"/>
    <col width="35" customWidth="1" min="6" max="6"/>
  </cols>
  <sheetData>
    <row r="1">
      <c r="A1" s="6" t="inlineStr">
        <is>
          <t>하우징 시스템 (v2.58)</t>
        </is>
      </c>
    </row>
    <row r="3">
      <c r="A3" s="7" t="inlineStr">
        <is>
          <t>등급</t>
        </is>
      </c>
      <c r="B3" s="7" t="inlineStr">
        <is>
          <t>이름</t>
        </is>
      </c>
      <c r="C3" s="7" t="inlineStr">
        <is>
          <t>비용</t>
        </is>
      </c>
      <c r="D3" s="7" t="inlineStr">
        <is>
          <t>가구슬롯</t>
        </is>
      </c>
      <c r="E3" s="7" t="inlineStr">
        <is>
          <t>수비대</t>
        </is>
      </c>
      <c r="F3" s="7" t="inlineStr">
        <is>
          <t>보너스</t>
        </is>
      </c>
    </row>
    <row r="4">
      <c r="A4" s="8" t="inlineStr">
        <is>
          <t>1</t>
        </is>
      </c>
      <c r="B4" s="8" t="inlineStr">
        <is>
          <t>텐트 ⛺</t>
        </is>
      </c>
      <c r="C4" s="8" t="inlineStr">
        <is>
          <t>1,000G</t>
        </is>
      </c>
      <c r="D4" s="8" t="inlineStr">
        <is>
          <t>3</t>
        </is>
      </c>
      <c r="E4" s="8" t="inlineStr">
        <is>
          <t>0</t>
        </is>
      </c>
      <c r="F4" s="8" t="inlineStr">
        <is>
          <t>휴식EXP+5%</t>
        </is>
      </c>
    </row>
    <row r="5">
      <c r="A5" s="9" t="inlineStr">
        <is>
          <t>2</t>
        </is>
      </c>
      <c r="B5" s="9" t="inlineStr">
        <is>
          <t>오두막 🏠</t>
        </is>
      </c>
      <c r="C5" s="9" t="inlineStr">
        <is>
          <t>10,000G</t>
        </is>
      </c>
      <c r="D5" s="9" t="inlineStr">
        <is>
          <t>8</t>
        </is>
      </c>
      <c r="E5" s="9" t="inlineStr">
        <is>
          <t>1</t>
        </is>
      </c>
      <c r="F5" s="9" t="inlineStr">
        <is>
          <t>EXP+10%, HP회복+2</t>
        </is>
      </c>
    </row>
    <row r="6">
      <c r="A6" s="8" t="inlineStr">
        <is>
          <t>3</t>
        </is>
      </c>
      <c r="B6" s="8" t="inlineStr">
        <is>
          <t>주택 🏡</t>
        </is>
      </c>
      <c r="C6" s="8" t="inlineStr">
        <is>
          <t>50,000G</t>
        </is>
      </c>
      <c r="D6" s="8" t="inlineStr">
        <is>
          <t>15</t>
        </is>
      </c>
      <c r="E6" s="8" t="inlineStr">
        <is>
          <t>2</t>
        </is>
      </c>
      <c r="F6" s="8" t="inlineStr">
        <is>
          <t>EXP+15%, HP+5, 골드+50/h</t>
        </is>
      </c>
    </row>
    <row r="7">
      <c r="A7" s="9" t="inlineStr">
        <is>
          <t>4</t>
        </is>
      </c>
      <c r="B7" s="9" t="inlineStr">
        <is>
          <t>저택 🏰</t>
        </is>
      </c>
      <c r="C7" s="9" t="inlineStr">
        <is>
          <t>200,000G</t>
        </is>
      </c>
      <c r="D7" s="9" t="inlineStr">
        <is>
          <t>25</t>
        </is>
      </c>
      <c r="E7" s="9" t="inlineStr">
        <is>
          <t>4</t>
        </is>
      </c>
      <c r="F7" s="9" t="inlineStr">
        <is>
          <t>EXP+25%, HP+10, 골드+200/h, EXP+5%</t>
        </is>
      </c>
    </row>
    <row r="8">
      <c r="A8" s="8" t="inlineStr">
        <is>
          <t>5</t>
        </is>
      </c>
      <c r="B8" s="8" t="inlineStr">
        <is>
          <t>성 🏯</t>
        </is>
      </c>
      <c r="C8" s="8" t="inlineStr">
        <is>
          <t>1,000,000G</t>
        </is>
      </c>
      <c r="D8" s="8" t="inlineStr">
        <is>
          <t>40</t>
        </is>
      </c>
      <c r="E8" s="8" t="inlineStr">
        <is>
          <t>8</t>
        </is>
      </c>
      <c r="F8" s="8" t="inlineStr">
        <is>
          <t>EXP+40%, HP+20, 골드+500/h, EXP+10%, DEF+10</t>
        </is>
      </c>
    </row>
  </sheetData>
  <mergeCells count="1">
    <mergeCell ref="A1:F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4" customWidth="1" min="1" max="1"/>
    <col width="50" customWidth="1" min="2" max="2"/>
  </cols>
  <sheetData>
    <row r="1">
      <c r="A1" s="6" t="inlineStr">
        <is>
          <t>드래곤 레이스 (v2.58)</t>
        </is>
      </c>
    </row>
    <row r="3">
      <c r="A3" s="7" t="inlineStr">
        <is>
          <t>항목</t>
        </is>
      </c>
      <c r="B3" s="7" t="inlineStr">
        <is>
          <t>상세</t>
        </is>
      </c>
    </row>
    <row r="4">
      <c r="A4" s="8" t="inlineStr">
        <is>
          <t>인원</t>
        </is>
      </c>
      <c r="B4" s="8" t="inlineStr">
        <is>
          <t>3~10명</t>
        </is>
      </c>
    </row>
    <row r="5">
      <c r="A5" s="9" t="inlineStr">
        <is>
          <t>참가비</t>
        </is>
      </c>
      <c r="B5" s="9" t="inlineStr">
        <is>
          <t>1,000G</t>
        </is>
      </c>
    </row>
    <row r="6">
      <c r="A6" s="8" t="inlineStr">
        <is>
          <t>코스</t>
        </is>
      </c>
      <c r="B6" s="8" t="inlineStr">
        <is>
          <t>1,000m</t>
        </is>
      </c>
    </row>
    <row r="7">
      <c r="A7" s="9" t="inlineStr">
        <is>
          <t>장애물</t>
        </is>
      </c>
      <c r="B7" s="9" t="inlineStr">
        <is>
          <t>돌풍(감속)/번개(스턴)/화염기둥/좁은협곡/마력기류(가속) 5종</t>
        </is>
      </c>
    </row>
    <row r="8">
      <c r="A8" s="8" t="inlineStr">
        <is>
          <t>체크포인트</t>
        </is>
      </c>
      <c r="B8" s="8" t="inlineStr">
        <is>
          <t>250m/500m/750m/1000m 4개</t>
        </is>
      </c>
    </row>
    <row r="9">
      <c r="A9" s="9" t="inlineStr">
        <is>
          <t>1위 보상</t>
        </is>
      </c>
      <c r="B9" s="9" t="inlineStr">
        <is>
          <t>20,000G + 100💎 + 칭호</t>
        </is>
      </c>
    </row>
    <row r="10">
      <c r="A10" s="8" t="inlineStr">
        <is>
          <t>자동 개최</t>
        </is>
      </c>
      <c r="B10" s="8" t="inlineStr">
        <is>
          <t>1시간마다</t>
        </is>
      </c>
    </row>
    <row r="11">
      <c r="A11" s="9" t="inlineStr">
        <is>
          <t>필요 드래곤</t>
        </is>
      </c>
      <c r="B11" s="9" t="inlineStr">
        <is>
          <t>유룡(Lv.5) 이상</t>
        </is>
      </c>
    </row>
  </sheetData>
  <mergeCells count="1">
    <mergeCell ref="A1:B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0" customWidth="1" min="1" max="1"/>
    <col width="18" customWidth="1" min="2" max="2"/>
    <col width="20" customWidth="1" min="3" max="3"/>
    <col width="35" customWidth="1" min="4" max="4"/>
  </cols>
  <sheetData>
    <row r="1">
      <c r="A1" s="6" t="inlineStr">
        <is>
          <t>업적 &amp; 전설 변신 (v2.58)</t>
        </is>
      </c>
    </row>
    <row r="3">
      <c r="A3" s="7" t="inlineStr">
        <is>
          <t>카테고리</t>
        </is>
      </c>
      <c r="B3" s="7" t="inlineStr">
        <is>
          <t>이름</t>
        </is>
      </c>
      <c r="C3" s="7" t="inlineStr">
        <is>
          <t>조건</t>
        </is>
      </c>
      <c r="D3" s="7" t="inlineStr">
        <is>
          <t>보상</t>
        </is>
      </c>
    </row>
    <row r="4">
      <c r="A4" s="8" t="inlineStr">
        <is>
          <t>전투</t>
        </is>
      </c>
      <c r="B4" s="8" t="inlineStr">
        <is>
          <t>첫 번째 피 🗡️</t>
        </is>
      </c>
      <c r="C4" s="8" t="inlineStr">
        <is>
          <t>1킬</t>
        </is>
      </c>
      <c r="D4" s="8" t="inlineStr">
        <is>
          <t>100G</t>
        </is>
      </c>
    </row>
    <row r="5">
      <c r="A5" s="9" t="inlineStr">
        <is>
          <t>전투</t>
        </is>
      </c>
      <c r="B5" s="9" t="inlineStr">
        <is>
          <t>백인참 💀</t>
        </is>
      </c>
      <c r="C5" s="9" t="inlineStr">
        <is>
          <t>100킬</t>
        </is>
      </c>
      <c r="D5" s="9" t="inlineStr">
        <is>
          <t>1000G, 10💎</t>
        </is>
      </c>
    </row>
    <row r="6">
      <c r="A6" s="8" t="inlineStr">
        <is>
          <t>전투</t>
        </is>
      </c>
      <c r="B6" s="8" t="inlineStr">
        <is>
          <t>천인참 ☠️</t>
        </is>
      </c>
      <c r="C6" s="8" t="inlineStr">
        <is>
          <t>1000킬</t>
        </is>
      </c>
      <c r="D6" s="8" t="inlineStr">
        <is>
          <t>5000G, 50💎, 칭호</t>
        </is>
      </c>
    </row>
    <row r="7">
      <c r="A7" s="9" t="inlineStr">
        <is>
          <t>전투</t>
        </is>
      </c>
      <c r="B7" s="9" t="inlineStr">
        <is>
          <t>만인참 🔥</t>
        </is>
      </c>
      <c r="C7" s="9" t="inlineStr">
        <is>
          <t>10000킬</t>
        </is>
      </c>
      <c r="D7" s="9" t="inlineStr">
        <is>
          <t>50000G, 200💎, 화염칭호</t>
        </is>
      </c>
    </row>
    <row r="8">
      <c r="A8" s="8" t="inlineStr">
        <is>
          <t>탐험</t>
        </is>
      </c>
      <c r="B8" s="8" t="inlineStr">
        <is>
          <t>탐험가 🗺️</t>
        </is>
      </c>
      <c r="C8" s="8" t="inlineStr">
        <is>
          <t>10존 방문</t>
        </is>
      </c>
      <c r="D8" s="8" t="inlineStr">
        <is>
          <t>2000G, 칭호</t>
        </is>
      </c>
    </row>
    <row r="9">
      <c r="A9" s="9" t="inlineStr">
        <is>
          <t>탐험</t>
        </is>
      </c>
      <c r="B9" s="9" t="inlineStr">
        <is>
          <t>세계 여행자 🌐</t>
        </is>
      </c>
      <c r="C9" s="9" t="inlineStr">
        <is>
          <t>30존 방문</t>
        </is>
      </c>
      <c r="D9" s="9" t="inlineStr">
        <is>
          <t>10000G, 100💎, 반짝이칭호</t>
        </is>
      </c>
    </row>
    <row r="10">
      <c r="A10" s="8" t="inlineStr">
        <is>
          <t>성장</t>
        </is>
      </c>
      <c r="B10" s="8" t="inlineStr">
        <is>
          <t>전설의 경지 👑</t>
        </is>
      </c>
      <c r="C10" s="8" t="inlineStr">
        <is>
          <t>Lv.50</t>
        </is>
      </c>
      <c r="D10" s="8" t="inlineStr">
        <is>
          <t>30000G, 300💎, 황금칭호</t>
        </is>
      </c>
    </row>
    <row r="11">
      <c r="A11" s="9" t="inlineStr">
        <is>
          <t>수집</t>
        </is>
      </c>
      <c r="B11" s="9" t="inlineStr">
        <is>
          <t>용왕 👑</t>
        </is>
      </c>
      <c r="C11" s="9" t="inlineStr">
        <is>
          <t>드래곤 8종</t>
        </is>
      </c>
      <c r="D11" s="9" t="inlineStr">
        <is>
          <t>100000G, 1000💎, 화염칭호</t>
        </is>
      </c>
    </row>
    <row r="12">
      <c r="A12" s="8" t="inlineStr">
        <is>
          <t>스토리</t>
        </is>
      </c>
      <c r="B12" s="8" t="inlineStr">
        <is>
          <t>세계의 구원자 ✨</t>
        </is>
      </c>
      <c r="C12" s="8" t="inlineStr">
        <is>
          <t>스토리 완료</t>
        </is>
      </c>
      <c r="D12" s="8" t="inlineStr">
        <is>
          <t>100000G, 2000💎, 신성칭호</t>
        </is>
      </c>
    </row>
    <row r="13">
      <c r="A13" s="9" t="inlineStr">
        <is>
          <t>특수</t>
        </is>
      </c>
      <c r="B13" s="9" t="inlineStr">
        <is>
          <t>최후의 생존자 🏟️</t>
        </is>
      </c>
      <c r="C13" s="9" t="inlineStr">
        <is>
          <t>배틀로얄 우승</t>
        </is>
      </c>
      <c r="D13" s="9" t="inlineStr">
        <is>
          <t>20000G, 200💎, 화염칭호</t>
        </is>
      </c>
    </row>
    <row r="14">
      <c r="A14" s="8" t="inlineStr">
        <is>
          <t>특수</t>
        </is>
      </c>
      <c r="B14" s="8" t="inlineStr">
        <is>
          <t>백만장자 💰</t>
        </is>
      </c>
      <c r="C14" s="8" t="inlineStr">
        <is>
          <t>100만G 보유</t>
        </is>
      </c>
      <c r="D14" s="8" t="inlineStr">
        <is>
          <t>500💎, 황금칭호</t>
        </is>
      </c>
    </row>
    <row r="15">
      <c r="A15" s="9" t="inlineStr"/>
      <c r="B15" s="9" t="inlineStr"/>
      <c r="C15" s="9" t="inlineStr"/>
      <c r="D15" s="9" t="inlineStr"/>
    </row>
    <row r="16">
      <c r="A16" s="8" t="inlineStr">
        <is>
          <t>전설변신</t>
        </is>
      </c>
      <c r="B16" s="8" t="inlineStr">
        <is>
          <t>마왕 👿</t>
        </is>
      </c>
      <c r="C16" s="8" t="inlineStr">
        <is>
          <t>Lv.40, 5000킬</t>
        </is>
      </c>
      <c r="D16" s="8" t="inlineStr">
        <is>
          <t>ATK+50, DEF+30, HP+500, 공포오라 (5분)</t>
        </is>
      </c>
    </row>
    <row r="17">
      <c r="A17" s="9" t="inlineStr">
        <is>
          <t>전설변신</t>
        </is>
      </c>
      <c r="B17" s="9" t="inlineStr">
        <is>
          <t>대천사 👼</t>
        </is>
      </c>
      <c r="C17" s="9" t="inlineStr">
        <is>
          <t>Lv.40</t>
        </is>
      </c>
      <c r="D17" s="9" t="inlineStr">
        <is>
          <t>DEF+40, HP+800, 힐오라 (5분)</t>
        </is>
      </c>
    </row>
    <row r="18">
      <c r="A18" s="8" t="inlineStr">
        <is>
          <t>전설변신</t>
        </is>
      </c>
      <c r="B18" s="8" t="inlineStr">
        <is>
          <t>태고용 🐲</t>
        </is>
      </c>
      <c r="C18" s="8" t="inlineStr">
        <is>
          <t>Lv.50, 드래곤5종</t>
        </is>
      </c>
      <c r="D18" s="8" t="inlineStr">
        <is>
          <t>ATK+80, DEF+50, HP+1000 (3분, mythic)</t>
        </is>
      </c>
    </row>
    <row r="19">
      <c r="A19" s="9" t="inlineStr">
        <is>
          <t>전설변신</t>
        </is>
      </c>
      <c r="B19" s="9" t="inlineStr">
        <is>
          <t>그림자왕 🌑</t>
        </is>
      </c>
      <c r="C19" s="9" t="inlineStr">
        <is>
          <t>PvP킬 100</t>
        </is>
      </c>
      <c r="D19" s="9" t="inlineStr">
        <is>
          <t>ATK+60, 크리+25, 분신소환 (4분)</t>
        </is>
      </c>
    </row>
    <row r="20">
      <c r="A20" s="8" t="inlineStr">
        <is>
          <t>전설변신</t>
        </is>
      </c>
      <c r="B20" s="8" t="inlineStr">
        <is>
          <t>타이탄 ⛰️</t>
        </is>
      </c>
      <c r="C20" s="8" t="inlineStr">
        <is>
          <t>Lv.45, 던전30</t>
        </is>
      </c>
      <c r="D20" s="8" t="inlineStr">
        <is>
          <t>DEF+80, HP+2000, 지진 (5분)</t>
        </is>
      </c>
    </row>
  </sheetData>
  <mergeCells count="1">
    <mergeCell ref="A1:D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8" customWidth="1" min="1" max="1"/>
    <col width="8" customWidth="1" min="2" max="2"/>
    <col width="60" customWidth="1" min="3" max="3"/>
    <col width="16" customWidth="1" min="4" max="4"/>
  </cols>
  <sheetData>
    <row r="1">
      <c r="A1" s="6" t="inlineStr">
        <is>
          <t>게임 에셋 목록 (v2.58)</t>
        </is>
      </c>
    </row>
    <row r="3">
      <c r="A3" s="7" t="inlineStr">
        <is>
          <t>카테고리</t>
        </is>
      </c>
      <c r="B3" s="7" t="inlineStr">
        <is>
          <t>수량</t>
        </is>
      </c>
      <c r="C3" s="7" t="inlineStr">
        <is>
          <t>대표 에셋</t>
        </is>
      </c>
      <c r="D3" s="7" t="inlineStr">
        <is>
          <t>생성 방식</t>
        </is>
      </c>
    </row>
    <row r="4">
      <c r="A4" s="8" t="inlineStr">
        <is>
          <t>존 배경</t>
        </is>
      </c>
      <c r="B4" s="8" t="inlineStr">
        <is>
          <t>68</t>
        </is>
      </c>
      <c r="C4" s="8" t="inlineStr">
        <is>
          <t>마을/숲/던전/화산/설원/사막/동굴/묘지/천공/심연/늪/도서관/수중/옥좌/벚꽃/전장/달빛/하늘섬/드래곤묘지/버섯/광산/타락숲/모래폭풍/엘프유적/항구/콜로세움/빙결호수/세계수/마왕성/초원/유령저택/산호/전쟁터/강변/태고숲/하늘유적/훈련장/피투기장/수정궁/해적선/영혼계/드워프/마법호수/사령도시/가을/비/폭발/요정정원/주점/왕좌방/학원/지옥/검투장/보스방/보물창고/집내부/저택내부</t>
        </is>
      </c>
      <c r="D4" s="8" t="inlineStr">
        <is>
          <t>Stable Diffusion</t>
        </is>
      </c>
    </row>
    <row r="5">
      <c r="A5" s="9" t="inlineStr">
        <is>
          <t>맵 오브젝트</t>
        </is>
      </c>
      <c r="B5" s="9" t="inlineStr">
        <is>
          <t>110</t>
        </is>
      </c>
      <c r="C5" s="9" t="inlineStr">
        <is>
          <t>나무/바위/건물/다리/문/수정구/용뼈/검/부두/왕좌/마도서/모루/우물/감옥/마차/버섯/깃발/가마솥/풍차/보트/가로등/둥지/광산수레/거울/처형대/토템/얼음왕좌/사다리/횃불/신전/크리스탈/함정/지도/계단/잠긴상자/오브/기둥/레버/룬석/성문/세계수/용굴/소환진/난파선/거대검/마법대장간/감옥/망루/샹들리에/지도테이블/보물더미/포탈문/타락천사/오벨리스크/해골왕좌/마법갑옷/모래시계/수중상자/불사조둥지/시계탑/소원분수/차원균열/침대/무기걸이/요리솥/트로피/텃밭/훈련인형/폭포/벚꽃나무/산호/스톤서클</t>
        </is>
      </c>
      <c r="D5" s="9" t="inlineStr">
        <is>
          <t>SD + Pillow</t>
        </is>
      </c>
    </row>
    <row r="6">
      <c r="A6" s="8" t="inlineStr">
        <is>
          <t>몬스터+보스</t>
        </is>
      </c>
      <c r="B6" s="8" t="inlineStr">
        <is>
          <t>24</t>
        </is>
      </c>
      <c r="C6" s="8" t="inlineStr">
        <is>
          <t>슬라임/스켈레톤/드래곤/거미/데몬로드/아이스골렘/오크/뱀파이어/고블린/리치/늑대/미노타우르/하피/네크로맨서/트렌트/불사조 + 바하무트/심연군주/천사장/세계수</t>
        </is>
      </c>
      <c r="D6" s="8" t="inlineStr">
        <is>
          <t>Stable Diffusion</t>
        </is>
      </c>
    </row>
    <row r="7">
      <c r="A7" s="9" t="inlineStr">
        <is>
          <t>캐릭터 (HD 4방향)</t>
        </is>
      </c>
      <c r="B7" s="9" t="inlineStr">
        <is>
          <t>20</t>
        </is>
      </c>
      <c r="C7" s="9" t="inlineStr">
        <is>
          <t>워리어/어쌔신/메이지/나이트/클레릭 × front/back/left/right</t>
        </is>
      </c>
      <c r="D7" s="9" t="inlineStr">
        <is>
          <t>SD 128×128</t>
        </is>
      </c>
    </row>
    <row r="8">
      <c r="A8" s="8" t="inlineStr">
        <is>
          <t>캐릭터 (기본)</t>
        </is>
      </c>
      <c r="B8" s="8" t="inlineStr">
        <is>
          <t>5</t>
        </is>
      </c>
      <c r="C8" s="8" t="inlineStr">
        <is>
          <t>워리어/어쌔신/메이지/나이트/클레릭 정면</t>
        </is>
      </c>
      <c r="D8" s="8" t="inlineStr">
        <is>
          <t>SD 256×256</t>
        </is>
      </c>
    </row>
    <row r="9">
      <c r="A9" s="9" t="inlineStr">
        <is>
          <t>NPC</t>
        </is>
      </c>
      <c r="B9" s="9" t="inlineStr">
        <is>
          <t>6</t>
        </is>
      </c>
      <c r="C9" s="9" t="inlineStr">
        <is>
          <t>대장장이/상인/힐러/촌장/펫상인/점쟁이</t>
        </is>
      </c>
      <c r="D9" s="9" t="inlineStr">
        <is>
          <t>Stable Diffusion</t>
        </is>
      </c>
    </row>
    <row r="10">
      <c r="A10" s="8" t="inlineStr">
        <is>
          <t>걷기 시트</t>
        </is>
      </c>
      <c r="B10" s="8" t="inlineStr">
        <is>
          <t>5</t>
        </is>
      </c>
      <c r="C10" s="8" t="inlineStr">
        <is>
          <t>5클래스 × 4방향 × 4프레임 = 16프레임/시트</t>
        </is>
      </c>
      <c r="D10" s="8" t="inlineStr">
        <is>
          <t>SD + Pillow 합성</t>
        </is>
      </c>
    </row>
    <row r="11">
      <c r="A11" s="9" t="inlineStr">
        <is>
          <t>몬스터 아이들 시트</t>
        </is>
      </c>
      <c r="B11" s="9" t="inlineStr">
        <is>
          <t>12</t>
        </is>
      </c>
      <c r="C11" s="9" t="inlineStr">
        <is>
          <t>12종 × 2프레임 숨쉬기</t>
        </is>
      </c>
      <c r="D11" s="9" t="inlineStr">
        <is>
          <t>Pillow 합성</t>
        </is>
      </c>
    </row>
    <row r="12">
      <c r="A12" s="8" t="inlineStr">
        <is>
          <t>보스 시트</t>
        </is>
      </c>
      <c r="B12" s="8" t="inlineStr">
        <is>
          <t>4</t>
        </is>
      </c>
      <c r="C12" s="8" t="inlineStr">
        <is>
          <t>4종 × 3프레임 위엄 바운스</t>
        </is>
      </c>
      <c r="D12" s="8" t="inlineStr">
        <is>
          <t>Pillow 합성</t>
        </is>
      </c>
    </row>
    <row r="13">
      <c r="A13" s="9" t="inlineStr">
        <is>
          <t>이펙트</t>
        </is>
      </c>
      <c r="B13" s="9" t="inlineStr">
        <is>
          <t>6</t>
        </is>
      </c>
      <c r="C13" s="9" t="inlineStr">
        <is>
          <t>화염/빙결/번개/암흑/신성/독</t>
        </is>
      </c>
      <c r="D13" s="9" t="inlineStr">
        <is>
          <t>Stable Diffusion</t>
        </is>
      </c>
    </row>
    <row r="14">
      <c r="A14" s="8" t="inlineStr">
        <is>
          <t>타일셋</t>
        </is>
      </c>
      <c r="B14" s="8" t="inlineStr">
        <is>
          <t>14</t>
        </is>
      </c>
      <c r="C14" s="8" t="inlineStr">
        <is>
          <t>잔디/흙/돌/모래/눈/물/용암/암석/크리스탈/대리석 + SD 4종</t>
        </is>
      </c>
      <c r="D14" s="8" t="inlineStr">
        <is>
          <t>SD + Pillow</t>
        </is>
      </c>
    </row>
    <row r="15">
      <c r="A15" s="9" t="inlineStr">
        <is>
          <t>UI</t>
        </is>
      </c>
      <c r="B15" s="9" t="inlineStr">
        <is>
          <t>16</t>
        </is>
      </c>
      <c r="C15" s="9" t="inlineStr">
        <is>
          <t>패널프레임/금색버튼/HP바/스킬아이콘/아이템아이콘/무기/방어구/물약/로고/타이틀/로딩/미니맵프레임/채팅프레임</t>
        </is>
      </c>
      <c r="D15" s="9" t="inlineStr">
        <is>
          <t>Stable Diffusion</t>
        </is>
      </c>
    </row>
    <row r="16">
      <c r="A16" s="8" t="inlineStr">
        <is>
          <t>프로시저럴 배경</t>
        </is>
      </c>
      <c r="B16" s="8" t="inlineStr">
        <is>
          <t>8</t>
        </is>
      </c>
      <c r="C16" s="8" t="inlineStr">
        <is>
          <t>숲/던전/화산/눈/사막/어둠/마을/평원</t>
        </is>
      </c>
      <c r="D16" s="8" t="inlineStr">
        <is>
          <t>Python Pillow</t>
        </is>
      </c>
    </row>
    <row r="17">
      <c r="A17" s="9" t="inlineStr">
        <is>
          <t>프로시저럴 타일</t>
        </is>
      </c>
      <c r="B17" s="9" t="inlineStr">
        <is>
          <t>10</t>
        </is>
      </c>
      <c r="C17" s="9" t="inlineStr">
        <is>
          <t>잔디/흙/돌/모래/눈/물/용암/암석/크리스탈/대리석</t>
        </is>
      </c>
      <c r="D17" s="9" t="inlineStr">
        <is>
          <t>Python Pillow</t>
        </is>
      </c>
    </row>
    <row r="18">
      <c r="A18" s="8" t="inlineStr">
        <is>
          <t>프로시저럴 오브젝트</t>
        </is>
      </c>
      <c r="B18" s="8" t="inlineStr">
        <is>
          <t>16</t>
        </is>
      </c>
      <c r="C18" s="8" t="inlineStr">
        <is>
          <t>참나무/소나무/고사목/벚꽃/바위3종/건물4종/장식5종</t>
        </is>
      </c>
      <c r="D18" s="8" t="inlineStr">
        <is>
          <t>Python Pillow</t>
        </is>
      </c>
    </row>
    <row r="19">
      <c r="A19" s="9" t="inlineStr"/>
      <c r="B19" s="9" t="inlineStr"/>
      <c r="C19" s="9" t="inlineStr"/>
      <c r="D19" s="9" t="inlineStr"/>
    </row>
    <row r="20">
      <c r="A20" s="8" t="inlineStr">
        <is>
          <t>총합</t>
        </is>
      </c>
      <c r="B20" s="8" t="inlineStr">
        <is>
          <t>318개</t>
        </is>
      </c>
      <c r="C20" s="8" t="inlineStr">
        <is>
          <t>SD: 약200 + 프로시저럴: 약100 + 합성: 약20</t>
        </is>
      </c>
      <c r="D20" s="8" t="inlineStr"/>
    </row>
  </sheetData>
  <mergeCells count="1">
    <mergeCell ref="A1:D1"/>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20" customWidth="1" min="4" max="4"/>
    <col width="30" customWidth="1" min="5" max="5"/>
  </cols>
  <sheetData>
    <row r="1">
      <c r="A1" s="6" t="inlineStr">
        <is>
          <t>미니게임 (v2.58)</t>
        </is>
      </c>
    </row>
    <row r="3">
      <c r="A3" s="7" t="inlineStr">
        <is>
          <t>게임</t>
        </is>
      </c>
      <c r="B3" s="7" t="inlineStr">
        <is>
          <t>참가비</t>
        </is>
      </c>
      <c r="C3" s="7" t="inlineStr">
        <is>
          <t>시간</t>
        </is>
      </c>
      <c r="D3" s="7" t="inlineStr">
        <is>
          <t>보상</t>
        </is>
      </c>
      <c r="E3" s="7" t="inlineStr">
        <is>
          <t>설명</t>
        </is>
      </c>
    </row>
    <row r="4">
      <c r="A4" s="8" t="inlineStr">
        <is>
          <t>낚시 대회 🎣</t>
        </is>
      </c>
      <c r="B4" s="8" t="inlineStr">
        <is>
          <t>500G</t>
        </is>
      </c>
      <c r="C4" s="8" t="inlineStr">
        <is>
          <t>5분</t>
        </is>
      </c>
      <c r="D4" s="8" t="inlineStr">
        <is>
          <t>1위: 15000G+80💎</t>
        </is>
      </c>
      <c r="E4" s="8" t="inlineStr">
        <is>
          <t>포인트제 경쟁, 6종 물고기</t>
        </is>
      </c>
    </row>
    <row r="5">
      <c r="A5" s="9" t="inlineStr">
        <is>
          <t>보물지도 🗺️</t>
        </is>
      </c>
      <c r="B5" s="9" t="inlineStr">
        <is>
          <t>무료</t>
        </is>
      </c>
      <c r="C5" s="9" t="inlineStr">
        <is>
          <t>무제한</t>
        </is>
      </c>
      <c r="D5" s="9" t="inlineStr">
        <is>
          <t>3000~30000G</t>
        </is>
      </c>
      <c r="E5" s="9" t="inlineStr">
        <is>
          <t>4종 지도, 단서 따라 탐험</t>
        </is>
      </c>
    </row>
    <row r="6">
      <c r="A6" s="8" t="inlineStr">
        <is>
          <t>카드 뒤집기 🃏</t>
        </is>
      </c>
      <c r="B6" s="8" t="inlineStr">
        <is>
          <t>300G</t>
        </is>
      </c>
      <c r="C6" s="8" t="inlineStr">
        <is>
          <t>60초</t>
        </is>
      </c>
      <c r="D6" s="8" t="inlineStr">
        <is>
          <t>최대 5000G+30💎</t>
        </is>
      </c>
      <c r="E6" s="8" t="inlineStr">
        <is>
          <t>4×4 짝맞추기</t>
        </is>
      </c>
    </row>
    <row r="7">
      <c r="A7" s="9" t="inlineStr">
        <is>
          <t>몬스터 퀴즈 ❓</t>
        </is>
      </c>
      <c r="B7" s="9" t="inlineStr">
        <is>
          <t>무료</t>
        </is>
      </c>
      <c r="C7" s="9" t="inlineStr">
        <is>
          <t>15초</t>
        </is>
      </c>
      <c r="D7" s="9" t="inlineStr">
        <is>
          <t>최대 2500G+500EXP</t>
        </is>
      </c>
      <c r="E7" s="9" t="inlineStr">
        <is>
          <t>10문제 랜덤 출제</t>
        </is>
      </c>
    </row>
  </sheetData>
  <mergeCells count="1">
    <mergeCell ref="A1:E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6" customWidth="1" min="1" max="1"/>
    <col width="50" customWidth="1" min="2" max="2"/>
    <col width="16" customWidth="1" min="3" max="3"/>
  </cols>
  <sheetData>
    <row r="1">
      <c r="A1" s="6" t="inlineStr">
        <is>
          <t>v2.59 업데이트</t>
        </is>
      </c>
    </row>
    <row r="3">
      <c r="A3" s="7" t="inlineStr">
        <is>
          <t>시스템</t>
        </is>
      </c>
      <c r="B3" s="7" t="inlineStr">
        <is>
          <t>핵심 내용</t>
        </is>
      </c>
      <c r="C3" s="7" t="inlineStr">
        <is>
          <t>보상</t>
        </is>
      </c>
    </row>
    <row r="4">
      <c r="A4" s="8" t="inlineStr">
        <is>
          <t>전투 화려 연출</t>
        </is>
      </c>
      <c r="B4" s="8" t="inlineStr">
        <is>
          <t>멀티킬/오버킬/영혼흡수/HP흔들림/궁극기글로우/광역이펙트/히트콤보</t>
        </is>
      </c>
      <c r="C4" s="8" t="inlineStr">
        <is>
          <t>시각 효과</t>
        </is>
      </c>
    </row>
    <row r="5">
      <c r="A5" s="9" t="inlineStr">
        <is>
          <t>펫 진화 3단계</t>
        </is>
      </c>
      <c r="B5" s="9" t="inlineStr">
        <is>
          <t>슬라임→킹→엠퍼러 / 늑대→다이어→펜리르 / 드래곤→고대→신룡 / 요정→대요정→여왕</t>
        </is>
      </c>
      <c r="C5" s="9" t="inlineStr">
        <is>
          <t>스탯 대폭 상승</t>
        </is>
      </c>
    </row>
    <row r="6">
      <c r="A6" s="8" t="inlineStr">
        <is>
          <t>친구 대전</t>
        </is>
      </c>
      <c r="B6" s="8" t="inlineStr">
        <is>
          <t>1:1 베팅 대전, 관전 모드, 시네마틱 연출</t>
        </is>
      </c>
      <c r="C6" s="8" t="inlineStr">
        <is>
          <t>베팅금 2배</t>
        </is>
      </c>
    </row>
    <row r="7">
      <c r="A7" s="9" t="inlineStr">
        <is>
          <t>던전 랜덤 이벤트</t>
        </is>
      </c>
      <c r="B7" s="9" t="inlineStr">
        <is>
          <t>상인/보물방/함정방/미니보스/치유샘/저주상자/강화제단/유령 8종 (30%)</t>
        </is>
      </c>
      <c r="C7" s="9" t="inlineStr">
        <is>
          <t>다양한 보상</t>
        </is>
      </c>
    </row>
    <row r="8">
      <c r="A8" s="8" t="inlineStr">
        <is>
          <t>던전 난이도</t>
        </is>
      </c>
      <c r="B8" s="8" t="inlineStr">
        <is>
          <t>일반/하드(HP×1.8 보상×2)/지옥(HP×3 보상×4 회복불가)</t>
        </is>
      </c>
      <c r="C8" s="8" t="inlineStr">
        <is>
          <t>난이도별 보상</t>
        </is>
      </c>
    </row>
    <row r="9">
      <c r="A9" s="9" t="inlineStr">
        <is>
          <t>길드 공성전</t>
        </is>
      </c>
      <c r="B9" s="9" t="inlineStr">
        <is>
          <t>실시간 점령 3포인트, 킬 포인트, 5분 제한</t>
        </is>
      </c>
      <c r="C9" s="9" t="inlineStr">
        <is>
          <t>50000G+200💎</t>
        </is>
      </c>
    </row>
    <row r="10">
      <c r="A10" s="8" t="inlineStr">
        <is>
          <t>PvP 현상수배</t>
        </is>
      </c>
      <c r="B10" s="8" t="inlineStr">
        <is>
          <t>3~20킬 스트릭, 현상금 500~15000G, 처치 시 획득</t>
        </is>
      </c>
      <c r="C10" s="8" t="inlineStr">
        <is>
          <t>현상금</t>
        </is>
      </c>
    </row>
    <row r="11">
      <c r="A11" s="9" t="inlineStr">
        <is>
          <t>전장 버프 5종</t>
        </is>
      </c>
      <c r="B11" s="9" t="inlineStr">
        <is>
          <t>광전사/수호자/암살자/흡혈귀/저거너트</t>
        </is>
      </c>
      <c r="C11" s="9" t="inlineStr">
        <is>
          <t>PvP 스타일</t>
        </is>
      </c>
    </row>
    <row r="12">
      <c r="A12" s="8" t="inlineStr">
        <is>
          <t>튜토리얼 10단계</t>
        </is>
      </c>
      <c r="B12" s="8" t="inlineStr">
        <is>
          <t>NPC 대화 기반, 하이라이트, 단계별 보상</t>
        </is>
      </c>
      <c r="C12" s="8" t="inlineStr">
        <is>
          <t>1000G+50💎+칭호</t>
        </is>
      </c>
    </row>
    <row r="13">
      <c r="A13" s="9" t="inlineStr">
        <is>
          <t>가챠 소환</t>
        </is>
      </c>
      <c r="B13" s="9" t="inlineStr">
        <is>
          <t>영웅9종/장비8종, 천장 40~50회, 전설 서버공지</t>
        </is>
      </c>
      <c r="C13" s="9" t="inlineStr">
        <is>
          <t>전설 영웅/장비</t>
        </is>
      </c>
    </row>
    <row r="14">
      <c r="A14" s="8" t="inlineStr">
        <is>
          <t>일일/주간 미션</t>
        </is>
      </c>
      <c r="B14" s="8" t="inlineStr">
        <is>
          <t>매일 3개+매주 2개 랜덤, 자동 진행, 보상 수령</t>
        </is>
      </c>
      <c r="C14" s="8" t="inlineStr">
        <is>
          <t>골드/다이아/EXP</t>
        </is>
      </c>
    </row>
    <row r="15">
      <c r="A15" s="9" t="inlineStr">
        <is>
          <t>마케팅 페이지</t>
        </is>
      </c>
      <c r="B15" s="9" t="inlineStr">
        <is>
          <t>/landing.html, 반응형, 9기능 소개, CTA</t>
        </is>
      </c>
      <c r="C15" s="9" t="inlineStr">
        <is>
          <t>신규 유저 유입</t>
        </is>
      </c>
    </row>
    <row r="16">
      <c r="A16" s="8" t="inlineStr">
        <is>
          <t>랭크 시즌</t>
        </is>
      </c>
      <c r="B16" s="8" t="inlineStr">
        <is>
          <t>8단계 랭크(브론즈~전설), 리더보드, 시즌 보상</t>
        </is>
      </c>
      <c r="C16" s="8" t="inlineStr">
        <is>
          <t>최대 200000G+2000💎</t>
        </is>
      </c>
    </row>
    <row r="17">
      <c r="A17" s="9" t="inlineStr">
        <is>
          <t>채팅 이모트</t>
        </is>
      </c>
      <c r="B17" s="9" t="inlineStr">
        <is>
          <t>3팩 20개 이모티콘, 귓속말, 칭찬</t>
        </is>
      </c>
      <c r="C17" s="9" t="inlineStr">
        <is>
          <t>소셜 기능</t>
        </is>
      </c>
    </row>
    <row r="18">
      <c r="A18" s="8" t="inlineStr">
        <is>
          <t>요일별 이벤트</t>
        </is>
      </c>
      <c r="B18" s="8" t="inlineStr">
        <is>
          <t>7요일 각 다른 보너스 + 날씨 전투 보너스</t>
        </is>
      </c>
      <c r="C18" s="8" t="inlineStr">
        <is>
          <t>매일 접속 동기</t>
        </is>
      </c>
    </row>
    <row r="19">
      <c r="A19" s="9" t="inlineStr">
        <is>
          <t>칭호 컬렉션</t>
        </is>
      </c>
      <c r="B19" s="9" t="inlineStr">
        <is>
          <t>15종 수집형 칭호, 장착 시 스탯 보너스</t>
        </is>
      </c>
      <c r="C19" s="9" t="inlineStr">
        <is>
          <t>ATK/DEF/HP 등</t>
        </is>
      </c>
    </row>
    <row r="20">
      <c r="A20" s="8" t="inlineStr">
        <is>
          <t>로그라이크 던전</t>
        </is>
      </c>
      <c r="B20" s="8" t="inlineStr">
        <is>
          <t>15층 랜덤 생성, 업그레이드 선택, 영구 사망</t>
        </is>
      </c>
      <c r="C20" s="8" t="inlineStr">
        <is>
          <t>골드+다이아</t>
        </is>
      </c>
    </row>
    <row r="21">
      <c r="A21" s="9" t="inlineStr">
        <is>
          <t>출석 체크</t>
        </is>
      </c>
      <c r="B21" s="9" t="inlineStr">
        <is>
          <t>30일 캘린더, 연속 접속 보너스(3/7/14/30일)</t>
        </is>
      </c>
      <c r="C21" s="9" t="inlineStr">
        <is>
          <t>총 ~100000G+700💎</t>
        </is>
      </c>
    </row>
    <row r="22">
      <c r="A22" s="8" t="inlineStr">
        <is>
          <t>랭크 시즌</t>
        </is>
      </c>
      <c r="B22" s="8" t="inlineStr">
        <is>
          <t>8단계 랭크(브론즈~전설), 리더보드, 시즌 보상</t>
        </is>
      </c>
      <c r="C22" s="8" t="inlineStr">
        <is>
          <t>최대 200000G+2000💎</t>
        </is>
      </c>
    </row>
    <row r="23">
      <c r="A23" s="9" t="inlineStr">
        <is>
          <t>채팅 이모트</t>
        </is>
      </c>
      <c r="B23" s="9" t="inlineStr">
        <is>
          <t>3팩 20개 이모티콘, 귓속말, 칭찬</t>
        </is>
      </c>
      <c r="C23" s="9" t="inlineStr">
        <is>
          <t>소셜 기능</t>
        </is>
      </c>
    </row>
    <row r="24">
      <c r="A24" s="8" t="inlineStr">
        <is>
          <t>요일별 이벤트</t>
        </is>
      </c>
      <c r="B24" s="8" t="inlineStr">
        <is>
          <t>7요일 각 다른 보너스 + 날씨 전투 보너스</t>
        </is>
      </c>
      <c r="C24" s="8" t="inlineStr">
        <is>
          <t>매일 접속 동기</t>
        </is>
      </c>
    </row>
    <row r="25">
      <c r="A25" s="9" t="inlineStr">
        <is>
          <t>칭호 컬렉션</t>
        </is>
      </c>
      <c r="B25" s="9" t="inlineStr">
        <is>
          <t>15종 수집형 칭호, 장착 시 스탯 보너스</t>
        </is>
      </c>
      <c r="C25" s="9" t="inlineStr">
        <is>
          <t>ATK/DEF/HP 등</t>
        </is>
      </c>
    </row>
    <row r="26">
      <c r="A26" s="8" t="inlineStr">
        <is>
          <t>로그라이크 던전</t>
        </is>
      </c>
      <c r="B26" s="8" t="inlineStr">
        <is>
          <t>15층 랜덤 생성, 업그레이드 선택, 영구 사망</t>
        </is>
      </c>
      <c r="C26" s="8" t="inlineStr">
        <is>
          <t>골드+다이아</t>
        </is>
      </c>
    </row>
    <row r="27">
      <c r="A27" s="9" t="inlineStr">
        <is>
          <t>출석 체크</t>
        </is>
      </c>
      <c r="B27" s="9" t="inlineStr">
        <is>
          <t>30일 캘린더, 연속 접속 보너스(3/7/14/30일)</t>
        </is>
      </c>
      <c r="C27" s="9" t="inlineStr">
        <is>
          <t>총 ~100000G+700💎</t>
        </is>
      </c>
    </row>
  </sheetData>
  <mergeCells count="1">
    <mergeCell ref="A1:C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0" customWidth="1" min="1" max="1"/>
    <col width="40" customWidth="1" min="2" max="2"/>
    <col width="20" customWidth="1" min="3" max="3"/>
  </cols>
  <sheetData>
    <row r="1">
      <c r="A1" s="6" t="inlineStr">
        <is>
          <t>오토배틀 서바이벌 IO (v2.60)</t>
        </is>
      </c>
    </row>
    <row r="3">
      <c r="A3" s="7" t="inlineStr">
        <is>
          <t>항목</t>
        </is>
      </c>
      <c r="B3" s="7" t="inlineStr">
        <is>
          <t>상세</t>
        </is>
      </c>
      <c r="C3" s="7" t="inlineStr">
        <is>
          <t>수치</t>
        </is>
      </c>
    </row>
    <row r="4">
      <c r="A4" s="8" t="inlineStr">
        <is>
          <t>컨셉</t>
        </is>
      </c>
      <c r="B4" s="8" t="inlineStr">
        <is>
          <t>Vampire Survivors × .io — 이동만 조작, 공격 자동</t>
        </is>
      </c>
      <c r="C4" s="8" t="inlineStr">
        <is>
          <t>10분 매치</t>
        </is>
      </c>
    </row>
    <row r="5">
      <c r="A5" s="9" t="inlineStr">
        <is>
          <t>무기 🗡️ 회전 검</t>
        </is>
      </c>
      <c r="B5" s="9" t="inlineStr">
        <is>
          <t>주변을 도는 검 (orbit)</t>
        </is>
      </c>
      <c r="C5" s="9" t="inlineStr">
        <is>
          <t>DMG 10, CD 1.0초</t>
        </is>
      </c>
    </row>
    <row r="6">
      <c r="A6" s="8" t="inlineStr">
        <is>
          <t>무기 🔥 파이어볼</t>
        </is>
      </c>
      <c r="B6" s="8" t="inlineStr">
        <is>
          <t>전방 화염구 (projectile)</t>
        </is>
      </c>
      <c r="C6" s="8" t="inlineStr">
        <is>
          <t>DMG 15, CD 1.4초</t>
        </is>
      </c>
    </row>
    <row r="7">
      <c r="A7" s="9" t="inlineStr">
        <is>
          <t>무기 ⚡ 낙뢰</t>
        </is>
      </c>
      <c r="B7" s="9" t="inlineStr">
        <is>
          <t>랜덤 위치 번개 (random)</t>
        </is>
      </c>
      <c r="C7" s="9" t="inlineStr">
        <is>
          <t>DMG 18, CD 1.8초</t>
        </is>
      </c>
    </row>
    <row r="8">
      <c r="A8" s="8" t="inlineStr">
        <is>
          <t>무기 ❄️ 얼음 고리</t>
        </is>
      </c>
      <c r="B8" s="8" t="inlineStr">
        <is>
          <t>주변 원형 빙결 (aoe)</t>
        </is>
      </c>
      <c r="C8" s="8" t="inlineStr">
        <is>
          <t>DMG 7, CD 1.6초</t>
        </is>
      </c>
    </row>
    <row r="9">
      <c r="A9" s="9" t="inlineStr">
        <is>
          <t>무기 🏹 연속 화살</t>
        </is>
      </c>
      <c r="B9" s="9" t="inlineStr">
        <is>
          <t>빠른 연사 (multi)</t>
        </is>
      </c>
      <c r="C9" s="9" t="inlineStr">
        <is>
          <t>DMG 6, CD 0.5초</t>
        </is>
      </c>
    </row>
    <row r="10">
      <c r="A10" s="8" t="inlineStr">
        <is>
          <t>무기 ✨ 신성 폭발</t>
        </is>
      </c>
      <c r="B10" s="8" t="inlineStr">
        <is>
          <t>전방위 폭발 (nova)</t>
        </is>
      </c>
      <c r="C10" s="8" t="inlineStr">
        <is>
          <t>DMG 22, CD 2.8초</t>
        </is>
      </c>
    </row>
    <row r="11">
      <c r="A11" s="9" t="inlineStr">
        <is>
          <t>무기 ☠️ 독 안개</t>
        </is>
      </c>
      <c r="B11" s="9" t="inlineStr">
        <is>
          <t>지속 데미지 장판 (dot)</t>
        </is>
      </c>
      <c r="C11" s="9" t="inlineStr">
        <is>
          <t>DMG 4, CD 2.2초</t>
        </is>
      </c>
    </row>
    <row r="12">
      <c r="A12" s="8" t="inlineStr">
        <is>
          <t>무기 🛡️ 가시 방패</t>
        </is>
      </c>
      <c r="B12" s="8" t="inlineStr">
        <is>
          <t>피격 시 반사 (reflect)</t>
        </is>
      </c>
      <c r="C12" s="8" t="inlineStr">
        <is>
          <t>DMG 5, 상시</t>
        </is>
      </c>
    </row>
    <row r="13">
      <c r="A13" s="9" t="inlineStr">
        <is>
          <t>패시브 💪 완력</t>
        </is>
      </c>
      <c r="B13" s="9" t="inlineStr">
        <is>
          <t>데미지 +10%</t>
        </is>
      </c>
      <c r="C13" s="9" t="inlineStr">
        <is>
          <t>중첩 가능</t>
        </is>
      </c>
    </row>
    <row r="14">
      <c r="A14" s="8" t="inlineStr">
        <is>
          <t>패시브 🦺 갑옷</t>
        </is>
      </c>
      <c r="B14" s="8" t="inlineStr">
        <is>
          <t>DEF +3</t>
        </is>
      </c>
      <c r="C14" s="8" t="inlineStr">
        <is>
          <t>중첩 가능</t>
        </is>
      </c>
    </row>
    <row r="15">
      <c r="A15" s="9" t="inlineStr">
        <is>
          <t>패시브 👢 장화</t>
        </is>
      </c>
      <c r="B15" s="9" t="inlineStr">
        <is>
          <t>이동속도 +1</t>
        </is>
      </c>
      <c r="C15" s="9" t="inlineStr">
        <is>
          <t>중첩 가능</t>
        </is>
      </c>
    </row>
    <row r="16">
      <c r="A16" s="8" t="inlineStr">
        <is>
          <t>패시브 ❤️ 생명력</t>
        </is>
      </c>
      <c r="B16" s="8" t="inlineStr">
        <is>
          <t>HP +25</t>
        </is>
      </c>
      <c r="C16" s="8" t="inlineStr">
        <is>
          <t>중첩 가능</t>
        </is>
      </c>
    </row>
    <row r="17">
      <c r="A17" s="9" t="inlineStr">
        <is>
          <t>패시브 💚 재생</t>
        </is>
      </c>
      <c r="B17" s="9" t="inlineStr">
        <is>
          <t>HP재생 +1/초</t>
        </is>
      </c>
      <c r="C17" s="9" t="inlineStr">
        <is>
          <t>중첩 가능</t>
        </is>
      </c>
    </row>
    <row r="18">
      <c r="A18" s="8" t="inlineStr">
        <is>
          <t>패시브 🍀 행운</t>
        </is>
      </c>
      <c r="B18" s="8" t="inlineStr">
        <is>
          <t>드롭률 +5%</t>
        </is>
      </c>
      <c r="C18" s="8" t="inlineStr">
        <is>
          <t>중첩 가능</t>
        </is>
      </c>
    </row>
    <row r="19">
      <c r="A19" s="9" t="inlineStr">
        <is>
          <t>패시브 🧲 자석</t>
        </is>
      </c>
      <c r="B19" s="9" t="inlineStr">
        <is>
          <t>경험치 흡수 범위↑</t>
        </is>
      </c>
      <c r="C19" s="9" t="inlineStr">
        <is>
          <t>중첩 가능</t>
        </is>
      </c>
    </row>
    <row r="20">
      <c r="A20" s="8" t="inlineStr">
        <is>
          <t>패시브 ⏱️ 쿨다운</t>
        </is>
      </c>
      <c r="B20" s="8" t="inlineStr">
        <is>
          <t>쿨다운 -8%</t>
        </is>
      </c>
      <c r="C20" s="8" t="inlineStr">
        <is>
          <t>중첩 가능</t>
        </is>
      </c>
    </row>
    <row r="21">
      <c r="A21" s="9" t="inlineStr">
        <is>
          <t>웨이브</t>
        </is>
      </c>
      <c r="B21" s="9" t="inlineStr">
        <is>
          <t>15초마다, 인원수 비례 난이도</t>
        </is>
      </c>
      <c r="C21" s="9" t="inlineStr">
        <is>
          <t>최대 40웨이브</t>
        </is>
      </c>
    </row>
    <row r="22">
      <c r="A22" s="8" t="inlineStr">
        <is>
          <t>보스</t>
        </is>
      </c>
      <c r="B22" s="8" t="inlineStr">
        <is>
          <t>5웨이브마다 보스 등장</t>
        </is>
      </c>
      <c r="C22" s="8" t="inlineStr">
        <is>
          <t>슬라임킹→골렘→드래곤→마왕→세계의적</t>
        </is>
      </c>
    </row>
    <row r="23">
      <c r="A23" s="9" t="inlineStr">
        <is>
          <t>밸런스</t>
        </is>
      </c>
      <c r="B23" s="9" t="inlineStr">
        <is>
          <t>초반 쉬움 → 후반 급격 어려움</t>
        </is>
      </c>
      <c r="C23" s="9" t="inlineStr">
        <is>
          <t>HP/ATK 지수 스케일링</t>
        </is>
      </c>
    </row>
    <row r="24">
      <c r="A24" s="8" t="inlineStr">
        <is>
          <t>레벨업</t>
        </is>
      </c>
      <c r="B24" s="8" t="inlineStr">
        <is>
          <t>무기 추가 / 무기 강화 / 패시브 중 택1</t>
        </is>
      </c>
      <c r="C24" s="8" t="inlineStr">
        <is>
          <t>매 레벨마다</t>
        </is>
      </c>
    </row>
    <row r="25">
      <c r="A25" s="9" t="inlineStr">
        <is>
          <t>보상</t>
        </is>
      </c>
      <c r="B25" s="9" t="inlineStr">
        <is>
          <t>1위: 10000G+100💎, 순위별</t>
        </is>
      </c>
      <c r="C25" s="9" t="inlineStr">
        <is>
          <t>영구 계정 누적</t>
        </is>
      </c>
    </row>
  </sheetData>
  <mergeCells count="1">
    <mergeCell ref="A1:C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4" customWidth="1" min="1" max="1"/>
    <col width="60" customWidth="1" min="2" max="2"/>
  </cols>
  <sheetData>
    <row r="1">
      <c r="A1" s="6" t="inlineStr">
        <is>
          <t>IO-RPG 코어 (v2.60)</t>
        </is>
      </c>
    </row>
    <row r="3">
      <c r="A3" s="7" t="inlineStr">
        <is>
          <t>항목</t>
        </is>
      </c>
      <c r="B3" s="7" t="inlineStr">
        <is>
          <t>상세</t>
        </is>
      </c>
    </row>
    <row r="4">
      <c r="A4" s="8" t="inlineStr">
        <is>
          <t>컨셉</t>
        </is>
      </c>
      <c r="B4" s="8" t="inlineStr">
        <is>
          <t>접속 즉시 10분 매치, 클래스 선택, Lv.1부터 성장, PvP 경쟁</t>
        </is>
      </c>
    </row>
    <row r="5">
      <c r="A5" s="9" t="inlineStr">
        <is>
          <t>클래스</t>
        </is>
      </c>
      <c r="B5" s="9" t="inlineStr">
        <is>
          <t>워리어/어쌔신/나이트/메이지/클레릭 (고유 스킬)</t>
        </is>
      </c>
    </row>
    <row r="6">
      <c r="A6" s="8" t="inlineStr">
        <is>
          <t>몬스터</t>
        </is>
      </c>
      <c r="B6" s="8" t="inlineStr">
        <is>
          <t>5종 (슬라임~드래곤), 시간에 따라 강화</t>
        </is>
      </c>
    </row>
    <row r="7">
      <c r="A7" s="9" t="inlineStr">
        <is>
          <t>장비 루팅</t>
        </is>
      </c>
      <c r="B7" s="9" t="inlineStr">
        <is>
          <t>처치 시 15% 확률 드롭, 일반~전설 11종</t>
        </is>
      </c>
    </row>
    <row r="8">
      <c r="A8" s="8" t="inlineStr">
        <is>
          <t>PvP</t>
        </is>
      </c>
      <c r="B8" s="8" t="inlineStr">
        <is>
          <t>다른 플레이어 공격 가능, 킬 시 장비 떨어짐</t>
        </is>
      </c>
    </row>
    <row r="9">
      <c r="A9" s="9" t="inlineStr">
        <is>
          <t>안전지대</t>
        </is>
      </c>
      <c r="B9" s="9" t="inlineStr">
        <is>
          <t>5분 후 축소 시작, 강제 접전</t>
        </is>
      </c>
    </row>
    <row r="10">
      <c r="A10" s="8" t="inlineStr">
        <is>
          <t>보스</t>
        </is>
      </c>
      <c r="B10" s="8" t="inlineStr">
        <is>
          <t>2분마다 서버 보스 (전체 공유)</t>
        </is>
      </c>
    </row>
    <row r="11">
      <c r="A11" s="9" t="inlineStr">
        <is>
          <t>리더보드</t>
        </is>
      </c>
      <c r="B11" s="9" t="inlineStr">
        <is>
          <t>5초마다 갱신, 상위 10명 표시</t>
        </is>
      </c>
    </row>
    <row r="12">
      <c r="A12" s="8" t="inlineStr">
        <is>
          <t>보상</t>
        </is>
      </c>
      <c r="B12" s="8" t="inlineStr">
        <is>
          <t>순위별 골드+다이아 영구 지급</t>
        </is>
      </c>
    </row>
    <row r="13">
      <c r="A13" s="9" t="inlineStr">
        <is>
          <t>자동 매치</t>
        </is>
      </c>
      <c r="B13" s="9" t="inlineStr">
        <is>
          <t>종료 3초 후 새 매치 자동 시작</t>
        </is>
      </c>
    </row>
  </sheetData>
  <mergeCells count="1">
    <mergeCell ref="A1:B1"/>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10" customWidth="1" min="1" max="1"/>
    <col width="14" customWidth="1" min="2" max="2"/>
    <col width="55" customWidth="1" min="3" max="3"/>
  </cols>
  <sheetData>
    <row r="1">
      <c r="A1" s="6" t="inlineStr">
        <is>
          <t>v3.0 게임 구조</t>
        </is>
      </c>
    </row>
    <row r="3">
      <c r="A3" s="7" t="inlineStr">
        <is>
          <t>구분</t>
        </is>
      </c>
      <c r="B3" s="7" t="inlineStr">
        <is>
          <t>항목</t>
        </is>
      </c>
      <c r="C3" s="7" t="inlineStr">
        <is>
          <t>상세</t>
        </is>
      </c>
    </row>
    <row r="4">
      <c r="A4" s="8" t="inlineStr">
        <is>
          <t>전체 구조</t>
        </is>
      </c>
      <c r="B4" s="8" t="inlineStr">
        <is>
          <t>2단계 루프</t>
        </is>
      </c>
      <c r="C4" s="8" t="inlineStr">
        <is>
          <t>1단계: 서바이벌IO(단판) → 2단계: SLG(전략시뮬)</t>
        </is>
      </c>
    </row>
    <row r="5">
      <c r="A5" s="9" t="inlineStr">
        <is>
          <t>1단계</t>
        </is>
      </c>
      <c r="B5" s="9" t="inlineStr">
        <is>
          <t>서바이벌 IO</t>
        </is>
      </c>
      <c r="C5" s="9" t="inlineStr">
        <is>
          <t>10분 매치, Lv.1부터 성장, 오토배틀, 무기 중첩</t>
        </is>
      </c>
    </row>
    <row r="6">
      <c r="A6" s="8" t="inlineStr">
        <is>
          <t>1→2 보상</t>
        </is>
      </c>
      <c r="B6" s="8" t="inlineStr">
        <is>
          <t>킬당</t>
        </is>
      </c>
      <c r="C6" s="8" t="inlineStr">
        <is>
          <t>골드 2, 재료 0.1</t>
        </is>
      </c>
    </row>
    <row r="7">
      <c r="A7" s="9" t="inlineStr">
        <is>
          <t>1→2 보상</t>
        </is>
      </c>
      <c r="B7" s="9" t="inlineStr">
        <is>
          <t>웨이브당</t>
        </is>
      </c>
      <c r="C7" s="9" t="inlineStr">
        <is>
          <t>골드 50, 재료 1</t>
        </is>
      </c>
    </row>
    <row r="8">
      <c r="A8" s="8" t="inlineStr">
        <is>
          <t>1→2 보상</t>
        </is>
      </c>
      <c r="B8" s="8" t="inlineStr">
        <is>
          <t>보스킬</t>
        </is>
      </c>
      <c r="C8" s="8" t="inlineStr">
        <is>
          <t>골드 200, 30% 용병 카드</t>
        </is>
      </c>
    </row>
    <row r="9">
      <c r="A9" s="9" t="inlineStr">
        <is>
          <t>1→2 보상</t>
        </is>
      </c>
      <c r="B9" s="9" t="inlineStr">
        <is>
          <t>1위</t>
        </is>
      </c>
      <c r="C9" s="9" t="inlineStr">
        <is>
          <t>5000G, 50💎, 용병카드, 10% 전설</t>
        </is>
      </c>
    </row>
    <row r="10">
      <c r="A10" s="8" t="inlineStr">
        <is>
          <t>2단계</t>
        </is>
      </c>
      <c r="B10" s="8" t="inlineStr">
        <is>
          <t>SLG 모드</t>
        </is>
      </c>
      <c r="C10" s="8" t="inlineStr">
        <is>
          <t>성 건설, 용병 육성, 무역, 공성, 포획, PK</t>
        </is>
      </c>
    </row>
    <row r="11">
      <c r="A11" s="9" t="inlineStr">
        <is>
          <t>순환</t>
        </is>
      </c>
      <c r="B11" s="9" t="inlineStr">
        <is>
          <t>SLG→서바이벌</t>
        </is>
      </c>
      <c r="C11" s="9" t="inlineStr">
        <is>
          <t>용병이 AI 동료, 시설이 시작 보너스, 포획 몬스터 소환</t>
        </is>
      </c>
    </row>
    <row r="12">
      <c r="A12" s="8" t="inlineStr"/>
      <c r="B12" s="8" t="inlineStr"/>
      <c r="C12" s="8" t="inlineStr"/>
    </row>
    <row r="13">
      <c r="A13" s="9" t="inlineStr">
        <is>
          <t>레퍼런스</t>
        </is>
      </c>
      <c r="B13" s="9" t="inlineStr">
        <is>
          <t>거상</t>
        </is>
      </c>
      <c r="C13" s="9" t="inlineStr">
        <is>
          <t>마을 간 무역, 용병 고용, 교역 이윤</t>
        </is>
      </c>
    </row>
    <row r="14">
      <c r="A14" s="8" t="inlineStr">
        <is>
          <t>레퍼런스</t>
        </is>
      </c>
      <c r="B14" s="8" t="inlineStr">
        <is>
          <t>포켓몬</t>
        </is>
      </c>
      <c r="C14" s="8" t="inlineStr">
        <is>
          <t>몬스터 포획, 진화, 유대도</t>
        </is>
      </c>
    </row>
    <row r="15">
      <c r="A15" s="9" t="inlineStr">
        <is>
          <t>레퍼런스</t>
        </is>
      </c>
      <c r="B15" s="9" t="inlineStr">
        <is>
          <t>리니지</t>
        </is>
      </c>
      <c r="C15" s="9" t="inlineStr">
        <is>
          <t>필드 PK, 공성전, 혈맹, 카르마</t>
        </is>
      </c>
    </row>
    <row r="16">
      <c r="A16" s="8" t="inlineStr">
        <is>
          <t>레퍼런스</t>
        </is>
      </c>
      <c r="B16" s="8" t="inlineStr">
        <is>
          <t>알비온</t>
        </is>
      </c>
      <c r="C16" s="8" t="inlineStr">
        <is>
          <t>샌드박스, 자유 PvP, 자원 수집</t>
        </is>
      </c>
    </row>
  </sheetData>
  <mergeCells count="1">
    <mergeCell ref="A1:C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6" customWidth="1" min="1" max="1"/>
    <col width="14" customWidth="1" min="2" max="2"/>
    <col width="12" customWidth="1" min="3" max="3"/>
    <col width="10" customWidth="1" min="4" max="4"/>
    <col width="6" customWidth="1" min="5" max="5"/>
    <col width="10" customWidth="1" min="6" max="6"/>
  </cols>
  <sheetData>
    <row r="1">
      <c r="A1" s="6" t="inlineStr">
        <is>
          <t>성(Castle) 시스템</t>
        </is>
      </c>
    </row>
    <row r="3">
      <c r="A3" s="7" t="inlineStr">
        <is>
          <t>레벨</t>
        </is>
      </c>
      <c r="B3" s="7" t="inlineStr">
        <is>
          <t>이름</t>
        </is>
      </c>
      <c r="C3" s="7" t="inlineStr">
        <is>
          <t>비용</t>
        </is>
      </c>
      <c r="D3" s="7" t="inlineStr">
        <is>
          <t>건설시간</t>
        </is>
      </c>
      <c r="E3" s="7" t="inlineStr">
        <is>
          <t>슬롯</t>
        </is>
      </c>
      <c r="F3" s="7" t="inlineStr">
        <is>
          <t>성벽HP</t>
        </is>
      </c>
    </row>
    <row r="4">
      <c r="A4" s="8" t="inlineStr">
        <is>
          <t>1</t>
        </is>
      </c>
      <c r="B4" s="8" t="inlineStr">
        <is>
          <t>캠프 ⛺</t>
        </is>
      </c>
      <c r="C4" s="8" t="inlineStr">
        <is>
          <t>무료</t>
        </is>
      </c>
      <c r="D4" s="8" t="inlineStr">
        <is>
          <t>즉시</t>
        </is>
      </c>
      <c r="E4" s="8" t="inlineStr">
        <is>
          <t>3</t>
        </is>
      </c>
      <c r="F4" s="8" t="inlineStr">
        <is>
          <t>500</t>
        </is>
      </c>
    </row>
    <row r="5">
      <c r="A5" s="9" t="inlineStr">
        <is>
          <t>2</t>
        </is>
      </c>
      <c r="B5" s="9" t="inlineStr">
        <is>
          <t>목책 요새 🏕️</t>
        </is>
      </c>
      <c r="C5" s="9" t="inlineStr">
        <is>
          <t>5,000G</t>
        </is>
      </c>
      <c r="D5" s="9" t="inlineStr">
        <is>
          <t>1분</t>
        </is>
      </c>
      <c r="E5" s="9" t="inlineStr">
        <is>
          <t>5</t>
        </is>
      </c>
      <c r="F5" s="9" t="inlineStr">
        <is>
          <t>1,500</t>
        </is>
      </c>
    </row>
    <row r="6">
      <c r="A6" s="8" t="inlineStr">
        <is>
          <t>3</t>
        </is>
      </c>
      <c r="B6" s="8" t="inlineStr">
        <is>
          <t>석조 성채 🏰</t>
        </is>
      </c>
      <c r="C6" s="8" t="inlineStr">
        <is>
          <t>20,000G</t>
        </is>
      </c>
      <c r="D6" s="8" t="inlineStr">
        <is>
          <t>5분</t>
        </is>
      </c>
      <c r="E6" s="8" t="inlineStr">
        <is>
          <t>8</t>
        </is>
      </c>
      <c r="F6" s="8" t="inlineStr">
        <is>
          <t>5,000</t>
        </is>
      </c>
    </row>
    <row r="7">
      <c r="A7" s="9" t="inlineStr">
        <is>
          <t>4</t>
        </is>
      </c>
      <c r="B7" s="9" t="inlineStr">
        <is>
          <t>왕의 성 🏯</t>
        </is>
      </c>
      <c r="C7" s="9" t="inlineStr">
        <is>
          <t>80,000G</t>
        </is>
      </c>
      <c r="D7" s="9" t="inlineStr">
        <is>
          <t>15분</t>
        </is>
      </c>
      <c r="E7" s="9" t="inlineStr">
        <is>
          <t>12</t>
        </is>
      </c>
      <c r="F7" s="9" t="inlineStr">
        <is>
          <t>15,000</t>
        </is>
      </c>
    </row>
    <row r="8">
      <c r="A8" s="8" t="inlineStr">
        <is>
          <t>5</t>
        </is>
      </c>
      <c r="B8" s="8" t="inlineStr">
        <is>
          <t>제국 요새 🗼</t>
        </is>
      </c>
      <c r="C8" s="8" t="inlineStr">
        <is>
          <t>300,000G</t>
        </is>
      </c>
      <c r="D8" s="8" t="inlineStr">
        <is>
          <t>30분</t>
        </is>
      </c>
      <c r="E8" s="8" t="inlineStr">
        <is>
          <t>18</t>
        </is>
      </c>
      <c r="F8" s="8" t="inlineStr">
        <is>
          <t>50,000</t>
        </is>
      </c>
    </row>
  </sheetData>
  <mergeCells count="1">
    <mergeCell ref="A1:F1"/>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2" customWidth="1" min="1" max="1"/>
    <col width="10" customWidth="1" min="2" max="2"/>
    <col width="18" customWidth="1" min="3" max="3"/>
    <col width="20" customWidth="1" min="4" max="4"/>
  </cols>
  <sheetData>
    <row r="1">
      <c r="A1" s="6" t="inlineStr">
        <is>
          <t>성 시설 (v3.0)</t>
        </is>
      </c>
    </row>
    <row r="3">
      <c r="A3" s="7" t="inlineStr">
        <is>
          <t>시설</t>
        </is>
      </c>
      <c r="B3" s="7" t="inlineStr">
        <is>
          <t>비용</t>
        </is>
      </c>
      <c r="C3" s="7" t="inlineStr">
        <is>
          <t>효과</t>
        </is>
      </c>
      <c r="D3" s="7" t="inlineStr">
        <is>
          <t>설명</t>
        </is>
      </c>
    </row>
    <row r="4">
      <c r="A4" s="8" t="inlineStr">
        <is>
          <t>⚔️ 병영</t>
        </is>
      </c>
      <c r="B4" s="8" t="inlineStr">
        <is>
          <t>2,000G</t>
        </is>
      </c>
      <c r="C4" s="8" t="inlineStr">
        <is>
          <t>용병 슬롯 +2</t>
        </is>
      </c>
      <c r="D4" s="8" t="inlineStr">
        <is>
          <t>더 많은 용병 배치</t>
        </is>
      </c>
    </row>
    <row r="5">
      <c r="A5" s="9" t="inlineStr">
        <is>
          <t>🧱 성벽 강화</t>
        </is>
      </c>
      <c r="B5" s="9" t="inlineStr">
        <is>
          <t>3,000G</t>
        </is>
      </c>
      <c r="C5" s="9" t="inlineStr">
        <is>
          <t>성벽 HP +2000</t>
        </is>
      </c>
      <c r="D5" s="9" t="inlineStr">
        <is>
          <t>방어력 강화</t>
        </is>
      </c>
    </row>
    <row r="6">
      <c r="A6" s="8" t="inlineStr">
        <is>
          <t>🗼 감시탑</t>
        </is>
      </c>
      <c r="B6" s="8" t="inlineStr">
        <is>
          <t>5,000G</t>
        </is>
      </c>
      <c r="C6" s="8" t="inlineStr">
        <is>
          <t>시야 +50</t>
        </is>
      </c>
      <c r="D6" s="8" t="inlineStr">
        <is>
          <t>적 감지</t>
        </is>
      </c>
    </row>
    <row r="7">
      <c r="A7" s="9" t="inlineStr">
        <is>
          <t>💰 시장</t>
        </is>
      </c>
      <c r="B7" s="9" t="inlineStr">
        <is>
          <t>4,000G</t>
        </is>
      </c>
      <c r="C7" s="9" t="inlineStr">
        <is>
          <t>교역 슬롯 +1</t>
        </is>
      </c>
      <c r="D7" s="9" t="inlineStr">
        <is>
          <t>무역 확장</t>
        </is>
      </c>
    </row>
    <row r="8">
      <c r="A8" s="8" t="inlineStr">
        <is>
          <t>🔨 대장간</t>
        </is>
      </c>
      <c r="B8" s="8" t="inlineStr">
        <is>
          <t>6,000G</t>
        </is>
      </c>
      <c r="C8" s="8" t="inlineStr">
        <is>
          <t>장비 강화 가능</t>
        </is>
      </c>
      <c r="D8" s="8" t="inlineStr">
        <is>
          <t>장비 업그레이드</t>
        </is>
      </c>
    </row>
    <row r="9">
      <c r="A9" s="9" t="inlineStr">
        <is>
          <t>🐴 마구간</t>
        </is>
      </c>
      <c r="B9" s="9" t="inlineStr">
        <is>
          <t>8,000G</t>
        </is>
      </c>
      <c r="C9" s="9" t="inlineStr">
        <is>
          <t>탈것 슬롯 +1</t>
        </is>
      </c>
      <c r="D9" s="9" t="inlineStr">
        <is>
          <t>이동 수단</t>
        </is>
      </c>
    </row>
    <row r="10">
      <c r="A10" s="8" t="inlineStr">
        <is>
          <t>⛪ 신전</t>
        </is>
      </c>
      <c r="B10" s="8" t="inlineStr">
        <is>
          <t>10,000G</t>
        </is>
      </c>
      <c r="C10" s="8" t="inlineStr">
        <is>
          <t>회복 +20%</t>
        </is>
      </c>
      <c r="D10" s="8" t="inlineStr">
        <is>
          <t>용병 치유</t>
        </is>
      </c>
    </row>
    <row r="11">
      <c r="A11" s="9" t="inlineStr">
        <is>
          <t>📦 창고</t>
        </is>
      </c>
      <c r="B11" s="9" t="inlineStr">
        <is>
          <t>3,000G</t>
        </is>
      </c>
      <c r="C11" s="9" t="inlineStr">
        <is>
          <t>보관량 +500</t>
        </is>
      </c>
      <c r="D11" s="9" t="inlineStr">
        <is>
          <t>자원 저장</t>
        </is>
      </c>
    </row>
    <row r="12">
      <c r="A12" s="8" t="inlineStr">
        <is>
          <t>📚 학원</t>
        </is>
      </c>
      <c r="B12" s="8" t="inlineStr">
        <is>
          <t>15,000G</t>
        </is>
      </c>
      <c r="C12" s="8" t="inlineStr">
        <is>
          <t>용병 EXP +30%</t>
        </is>
      </c>
      <c r="D12" s="8" t="inlineStr">
        <is>
          <t>육성 가속</t>
        </is>
      </c>
    </row>
    <row r="13">
      <c r="A13" s="9" t="inlineStr">
        <is>
          <t>⚠️ 함정</t>
        </is>
      </c>
      <c r="B13" s="9" t="inlineStr">
        <is>
          <t>5,000G</t>
        </is>
      </c>
      <c r="C13" s="9" t="inlineStr">
        <is>
          <t>함정 데미지 200</t>
        </is>
      </c>
      <c r="D13" s="9" t="inlineStr">
        <is>
          <t>침입자 방해</t>
        </is>
      </c>
    </row>
  </sheetData>
  <mergeCells count="1">
    <mergeCell ref="A1:D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16" customWidth="1" min="2" max="2"/>
    <col width="14" customWidth="1" min="3" max="3"/>
    <col width="6" customWidth="1" min="4" max="4"/>
    <col width="6" customWidth="1" min="5" max="5"/>
    <col width="6" customWidth="1" min="6" max="6"/>
  </cols>
  <sheetData>
    <row r="1">
      <c r="A1" s="6" t="inlineStr">
        <is>
          <t>용병 시스템 (v3.0)</t>
        </is>
      </c>
    </row>
    <row r="3">
      <c r="A3" s="7" t="inlineStr">
        <is>
          <t>등급</t>
        </is>
      </c>
      <c r="B3" s="7" t="inlineStr">
        <is>
          <t>이름</t>
        </is>
      </c>
      <c r="C3" s="7" t="inlineStr">
        <is>
          <t>클래스</t>
        </is>
      </c>
      <c r="D3" s="7" t="inlineStr">
        <is>
          <t>ATK</t>
        </is>
      </c>
      <c r="E3" s="7" t="inlineStr">
        <is>
          <t>DEF</t>
        </is>
      </c>
      <c r="F3" s="7" t="inlineStr">
        <is>
          <t>HP</t>
        </is>
      </c>
    </row>
    <row r="4">
      <c r="A4" s="8" t="inlineStr">
        <is>
          <t>일반 🗡️</t>
        </is>
      </c>
      <c r="B4" s="8" t="inlineStr">
        <is>
          <t>보병</t>
        </is>
      </c>
      <c r="C4" s="8" t="inlineStr">
        <is>
          <t>전사</t>
        </is>
      </c>
      <c r="D4" s="8" t="inlineStr">
        <is>
          <t>10</t>
        </is>
      </c>
      <c r="E4" s="8" t="inlineStr">
        <is>
          <t>8</t>
        </is>
      </c>
      <c r="F4" s="8" t="inlineStr">
        <is>
          <t>100</t>
        </is>
      </c>
    </row>
    <row r="5">
      <c r="A5" s="9" t="inlineStr">
        <is>
          <t>일반 🏹</t>
        </is>
      </c>
      <c r="B5" s="9" t="inlineStr">
        <is>
          <t>궁수</t>
        </is>
      </c>
      <c r="C5" s="9" t="inlineStr">
        <is>
          <t>궁수</t>
        </is>
      </c>
      <c r="D5" s="9" t="inlineStr">
        <is>
          <t>12</t>
        </is>
      </c>
      <c r="E5" s="9" t="inlineStr">
        <is>
          <t>4</t>
        </is>
      </c>
      <c r="F5" s="9" t="inlineStr">
        <is>
          <t>70</t>
        </is>
      </c>
    </row>
    <row r="6">
      <c r="A6" s="8" t="inlineStr">
        <is>
          <t>일반 🔮</t>
        </is>
      </c>
      <c r="B6" s="8" t="inlineStr">
        <is>
          <t>견습 마법사</t>
        </is>
      </c>
      <c r="C6" s="8" t="inlineStr">
        <is>
          <t>마법사</t>
        </is>
      </c>
      <c r="D6" s="8" t="inlineStr">
        <is>
          <t>14</t>
        </is>
      </c>
      <c r="E6" s="8" t="inlineStr">
        <is>
          <t>3</t>
        </is>
      </c>
      <c r="F6" s="8" t="inlineStr">
        <is>
          <t>60</t>
        </is>
      </c>
    </row>
    <row r="7">
      <c r="A7" s="9" t="inlineStr">
        <is>
          <t>고급 ⚔️</t>
        </is>
      </c>
      <c r="B7" s="9" t="inlineStr">
        <is>
          <t>기사</t>
        </is>
      </c>
      <c r="C7" s="9" t="inlineStr">
        <is>
          <t>기사</t>
        </is>
      </c>
      <c r="D7" s="9" t="inlineStr">
        <is>
          <t>15</t>
        </is>
      </c>
      <c r="E7" s="9" t="inlineStr">
        <is>
          <t>14</t>
        </is>
      </c>
      <c r="F7" s="9" t="inlineStr">
        <is>
          <t>150</t>
        </is>
      </c>
    </row>
    <row r="8">
      <c r="A8" s="8" t="inlineStr">
        <is>
          <t>고급 🗡️</t>
        </is>
      </c>
      <c r="B8" s="8" t="inlineStr">
        <is>
          <t>도적</t>
        </is>
      </c>
      <c r="C8" s="8" t="inlineStr">
        <is>
          <t>암살자</t>
        </is>
      </c>
      <c r="D8" s="8" t="inlineStr">
        <is>
          <t>18</t>
        </is>
      </c>
      <c r="E8" s="8" t="inlineStr">
        <is>
          <t>5</t>
        </is>
      </c>
      <c r="F8" s="8" t="inlineStr">
        <is>
          <t>80</t>
        </is>
      </c>
    </row>
    <row r="9">
      <c r="A9" s="9" t="inlineStr">
        <is>
          <t>희귀 ✝️</t>
        </is>
      </c>
      <c r="B9" s="9" t="inlineStr">
        <is>
          <t>성기사</t>
        </is>
      </c>
      <c r="C9" s="9" t="inlineStr">
        <is>
          <t>기사</t>
        </is>
      </c>
      <c r="D9" s="9" t="inlineStr">
        <is>
          <t>20</t>
        </is>
      </c>
      <c r="E9" s="9" t="inlineStr">
        <is>
          <t>18</t>
        </is>
      </c>
      <c r="F9" s="9" t="inlineStr">
        <is>
          <t>200</t>
        </is>
      </c>
    </row>
    <row r="10">
      <c r="A10" s="8" t="inlineStr">
        <is>
          <t>희귀 ☠️</t>
        </is>
      </c>
      <c r="B10" s="8" t="inlineStr">
        <is>
          <t>흑마법사</t>
        </is>
      </c>
      <c r="C10" s="8" t="inlineStr">
        <is>
          <t>마법사</t>
        </is>
      </c>
      <c r="D10" s="8" t="inlineStr">
        <is>
          <t>25</t>
        </is>
      </c>
      <c r="E10" s="8" t="inlineStr">
        <is>
          <t>6</t>
        </is>
      </c>
      <c r="F10" s="8" t="inlineStr">
        <is>
          <t>90</t>
        </is>
      </c>
    </row>
    <row r="11">
      <c r="A11" s="9" t="inlineStr">
        <is>
          <t>희귀 💚</t>
        </is>
      </c>
      <c r="B11" s="9" t="inlineStr">
        <is>
          <t>치유사</t>
        </is>
      </c>
      <c r="C11" s="9" t="inlineStr">
        <is>
          <t>사제</t>
        </is>
      </c>
      <c r="D11" s="9" t="inlineStr">
        <is>
          <t>8</t>
        </is>
      </c>
      <c r="E11" s="9" t="inlineStr">
        <is>
          <t>10</t>
        </is>
      </c>
      <c r="F11" s="9" t="inlineStr">
        <is>
          <t>120</t>
        </is>
      </c>
    </row>
    <row r="12">
      <c r="A12" s="8" t="inlineStr">
        <is>
          <t>영웅 🐲</t>
        </is>
      </c>
      <c r="B12" s="8" t="inlineStr">
        <is>
          <t>드래곤나이트</t>
        </is>
      </c>
      <c r="C12" s="8" t="inlineStr">
        <is>
          <t>드래곤나이트</t>
        </is>
      </c>
      <c r="D12" s="8" t="inlineStr">
        <is>
          <t>35</t>
        </is>
      </c>
      <c r="E12" s="8" t="inlineStr">
        <is>
          <t>25</t>
        </is>
      </c>
      <c r="F12" s="8" t="inlineStr">
        <is>
          <t>300</t>
        </is>
      </c>
    </row>
    <row r="13">
      <c r="A13" s="9" t="inlineStr">
        <is>
          <t>영웅 🌟</t>
        </is>
      </c>
      <c r="B13" s="9" t="inlineStr">
        <is>
          <t>대마법사</t>
        </is>
      </c>
      <c r="C13" s="9" t="inlineStr">
        <is>
          <t>마법사</t>
        </is>
      </c>
      <c r="D13" s="9" t="inlineStr">
        <is>
          <t>40</t>
        </is>
      </c>
      <c r="E13" s="9" t="inlineStr">
        <is>
          <t>8</t>
        </is>
      </c>
      <c r="F13" s="9" t="inlineStr">
        <is>
          <t>130</t>
        </is>
      </c>
    </row>
    <row r="14">
      <c r="A14" s="8" t="inlineStr">
        <is>
          <t>전설 💀</t>
        </is>
      </c>
      <c r="B14" s="8" t="inlineStr">
        <is>
          <t>죽음의 기사</t>
        </is>
      </c>
      <c r="C14" s="8" t="inlineStr">
        <is>
          <t>네크로맨서</t>
        </is>
      </c>
      <c r="D14" s="8" t="inlineStr">
        <is>
          <t>50</t>
        </is>
      </c>
      <c r="E14" s="8" t="inlineStr">
        <is>
          <t>30</t>
        </is>
      </c>
      <c r="F14" s="8" t="inlineStr">
        <is>
          <t>400</t>
        </is>
      </c>
    </row>
    <row r="15">
      <c r="A15" s="9" t="inlineStr">
        <is>
          <t>전설 👼</t>
        </is>
      </c>
      <c r="B15" s="9" t="inlineStr">
        <is>
          <t>세라핌</t>
        </is>
      </c>
      <c r="C15" s="9" t="inlineStr">
        <is>
          <t>사제</t>
        </is>
      </c>
      <c r="D15" s="9" t="inlineStr">
        <is>
          <t>30</t>
        </is>
      </c>
      <c r="E15" s="9" t="inlineStr">
        <is>
          <t>20</t>
        </is>
      </c>
      <c r="F15" s="9" t="inlineStr">
        <is>
          <t>350</t>
        </is>
      </c>
    </row>
    <row r="16">
      <c r="A16" s="8" t="inlineStr">
        <is>
          <t>신화 🐲</t>
        </is>
      </c>
      <c r="B16" s="8" t="inlineStr">
        <is>
          <t>바하무트</t>
        </is>
      </c>
      <c r="C16" s="8" t="inlineStr">
        <is>
          <t>드래곤나이트</t>
        </is>
      </c>
      <c r="D16" s="8" t="inlineStr">
        <is>
          <t>80</t>
        </is>
      </c>
      <c r="E16" s="8" t="inlineStr">
        <is>
          <t>50</t>
        </is>
      </c>
      <c r="F16" s="8" t="inlineStr">
        <is>
          <t>800</t>
        </is>
      </c>
    </row>
  </sheetData>
  <mergeCells count="1">
    <mergeCell ref="A1:F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4" customWidth="1" min="1" max="1"/>
    <col width="14" customWidth="1" min="2" max="2"/>
    <col width="10" customWidth="1" min="3" max="3"/>
    <col width="8" customWidth="1" min="4" max="4"/>
    <col width="8" customWidth="1" min="5" max="5"/>
    <col width="10" customWidth="1" min="6" max="6"/>
    <col width="8" customWidth="1" min="7" max="7"/>
  </cols>
  <sheetData>
    <row r="1">
      <c r="A1" s="6" t="inlineStr">
        <is>
          <t>무역 시스템 (거상 스타일)</t>
        </is>
      </c>
    </row>
    <row r="3">
      <c r="A3" s="7" t="inlineStr">
        <is>
          <t>출발</t>
        </is>
      </c>
      <c r="B3" s="7" t="inlineStr">
        <is>
          <t>도착</t>
        </is>
      </c>
      <c r="C3" s="7" t="inlineStr">
        <is>
          <t>물품</t>
        </is>
      </c>
      <c r="D3" s="7" t="inlineStr">
        <is>
          <t>매입가</t>
        </is>
      </c>
      <c r="E3" s="7" t="inlineStr">
        <is>
          <t>매도가</t>
        </is>
      </c>
      <c r="F3" s="7" t="inlineStr">
        <is>
          <t>위험도</t>
        </is>
      </c>
      <c r="G3" s="7" t="inlineStr">
        <is>
          <t>이윤율</t>
        </is>
      </c>
    </row>
    <row r="4">
      <c r="A4" s="8" t="inlineStr">
        <is>
          <t>바람개비 마을</t>
        </is>
      </c>
      <c r="B4" s="8" t="inlineStr">
        <is>
          <t>별빛 항구</t>
        </is>
      </c>
      <c r="C4" s="8" t="inlineStr">
        <is>
          <t>곡물</t>
        </is>
      </c>
      <c r="D4" s="8" t="inlineStr">
        <is>
          <t>100G</t>
        </is>
      </c>
      <c r="E4" s="8" t="inlineStr">
        <is>
          <t>180G</t>
        </is>
      </c>
      <c r="F4" s="8" t="inlineStr">
        <is>
          <t>낮음</t>
        </is>
      </c>
      <c r="G4" s="8" t="inlineStr">
        <is>
          <t>80%</t>
        </is>
      </c>
    </row>
    <row r="5">
      <c r="A5" s="9" t="inlineStr">
        <is>
          <t>별빛 항구</t>
        </is>
      </c>
      <c r="B5" s="9" t="inlineStr">
        <is>
          <t>달빛 오아시스</t>
        </is>
      </c>
      <c r="C5" s="9" t="inlineStr">
        <is>
          <t>해산물</t>
        </is>
      </c>
      <c r="D5" s="9" t="inlineStr">
        <is>
          <t>150G</t>
        </is>
      </c>
      <c r="E5" s="9" t="inlineStr">
        <is>
          <t>280G</t>
        </is>
      </c>
      <c r="F5" s="9" t="inlineStr">
        <is>
          <t>중간</t>
        </is>
      </c>
      <c r="G5" s="9" t="inlineStr">
        <is>
          <t>87%</t>
        </is>
      </c>
    </row>
    <row r="6">
      <c r="A6" s="8" t="inlineStr">
        <is>
          <t>달빛 오아시스</t>
        </is>
      </c>
      <c r="B6" s="8" t="inlineStr">
        <is>
          <t>구름마루 산장</t>
        </is>
      </c>
      <c r="C6" s="8" t="inlineStr">
        <is>
          <t>향신료</t>
        </is>
      </c>
      <c r="D6" s="8" t="inlineStr">
        <is>
          <t>200G</t>
        </is>
      </c>
      <c r="E6" s="8" t="inlineStr">
        <is>
          <t>400G</t>
        </is>
      </c>
      <c r="F6" s="8" t="inlineStr">
        <is>
          <t>중간</t>
        </is>
      </c>
      <c r="G6" s="8" t="inlineStr">
        <is>
          <t>100%</t>
        </is>
      </c>
    </row>
    <row r="7">
      <c r="A7" s="9" t="inlineStr">
        <is>
          <t>구름마루 산장</t>
        </is>
      </c>
      <c r="B7" s="9" t="inlineStr">
        <is>
          <t>신전 마을</t>
        </is>
      </c>
      <c r="C7" s="9" t="inlineStr">
        <is>
          <t>광석</t>
        </is>
      </c>
      <c r="D7" s="9" t="inlineStr">
        <is>
          <t>300G</t>
        </is>
      </c>
      <c r="E7" s="9" t="inlineStr">
        <is>
          <t>550G</t>
        </is>
      </c>
      <c r="F7" s="9" t="inlineStr">
        <is>
          <t>높음</t>
        </is>
      </c>
      <c r="G7" s="9" t="inlineStr">
        <is>
          <t>83%</t>
        </is>
      </c>
    </row>
    <row r="8">
      <c r="A8" s="8" t="inlineStr">
        <is>
          <t>신전 마을</t>
        </is>
      </c>
      <c r="B8" s="8" t="inlineStr">
        <is>
          <t>사막 시장</t>
        </is>
      </c>
      <c r="C8" s="8" t="inlineStr">
        <is>
          <t>마법 결정</t>
        </is>
      </c>
      <c r="D8" s="8" t="inlineStr">
        <is>
          <t>500G</t>
        </is>
      </c>
      <c r="E8" s="8" t="inlineStr">
        <is>
          <t>1000G</t>
        </is>
      </c>
      <c r="F8" s="8" t="inlineStr">
        <is>
          <t>높음</t>
        </is>
      </c>
      <c r="G8" s="8" t="inlineStr">
        <is>
          <t>100%</t>
        </is>
      </c>
    </row>
    <row r="9">
      <c r="A9" s="9" t="inlineStr">
        <is>
          <t>사막 시장</t>
        </is>
      </c>
      <c r="B9" s="9" t="inlineStr">
        <is>
          <t>바람개비 마을</t>
        </is>
      </c>
      <c r="C9" s="9" t="inlineStr">
        <is>
          <t>보석</t>
        </is>
      </c>
      <c r="D9" s="9" t="inlineStr">
        <is>
          <t>800G</t>
        </is>
      </c>
      <c r="E9" s="9" t="inlineStr">
        <is>
          <t>1500G</t>
        </is>
      </c>
      <c r="F9" s="9" t="inlineStr">
        <is>
          <t>매우 높음</t>
        </is>
      </c>
      <c r="G9" s="9" t="inlineStr">
        <is>
          <t>88%</t>
        </is>
      </c>
    </row>
  </sheetData>
  <mergeCells count="1">
    <mergeCell ref="A1:G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4" customWidth="1" min="1" max="1"/>
    <col width="50" customWidth="1" min="2" max="2"/>
  </cols>
  <sheetData>
    <row r="1">
      <c r="A1" s="6" t="inlineStr">
        <is>
          <t>공성전 시스템 (v3.0)</t>
        </is>
      </c>
    </row>
    <row r="3">
      <c r="A3" s="7" t="inlineStr">
        <is>
          <t>항목</t>
        </is>
      </c>
      <c r="B3" s="7" t="inlineStr">
        <is>
          <t>상세</t>
        </is>
      </c>
    </row>
    <row r="4">
      <c r="A4" s="8" t="inlineStr">
        <is>
          <t>최소 공격자</t>
        </is>
      </c>
      <c r="B4" s="8" t="inlineStr">
        <is>
          <t>1명 (용병 포함)</t>
        </is>
      </c>
    </row>
    <row r="5">
      <c r="A5" s="9" t="inlineStr">
        <is>
          <t>준비 시간</t>
        </is>
      </c>
      <c r="B5" s="9" t="inlineStr">
        <is>
          <t>30초 (방어자에게 알림)</t>
        </is>
      </c>
    </row>
    <row r="6">
      <c r="A6" s="8" t="inlineStr">
        <is>
          <t>전투 시간</t>
        </is>
      </c>
      <c r="B6" s="8" t="inlineStr">
        <is>
          <t>5분</t>
        </is>
      </c>
    </row>
    <row r="7">
      <c r="A7" s="9" t="inlineStr">
        <is>
          <t>성벽 파괴 보상</t>
        </is>
      </c>
      <c r="B7" s="9" t="inlineStr">
        <is>
          <t>1,000G</t>
        </is>
      </c>
    </row>
    <row r="8">
      <c r="A8" s="8" t="inlineStr">
        <is>
          <t>승리 보상</t>
        </is>
      </c>
      <c r="B8" s="8" t="inlineStr">
        <is>
          <t>10,000G + 100💎 + 상대 자원 20% 약탈</t>
        </is>
      </c>
    </row>
    <row r="9">
      <c r="A9" s="9" t="inlineStr">
        <is>
          <t>방어 성공 보상</t>
        </is>
      </c>
      <c r="B9" s="9" t="inlineStr">
        <is>
          <t>5,000G + 50💎</t>
        </is>
      </c>
    </row>
    <row r="10">
      <c r="A10" s="8" t="inlineStr">
        <is>
          <t>공격 쿨다운</t>
        </is>
      </c>
      <c r="B10" s="8" t="inlineStr">
        <is>
          <t>1시간</t>
        </is>
      </c>
    </row>
    <row r="11">
      <c r="A11" s="9" t="inlineStr">
        <is>
          <t>전투 방식</t>
        </is>
      </c>
      <c r="B11" s="9" t="inlineStr">
        <is>
          <t>공격자 용병 vs 방어자 용병 + 성벽 + 함정</t>
        </is>
      </c>
    </row>
    <row r="12">
      <c r="A12" s="8" t="inlineStr">
        <is>
          <t>핵심</t>
        </is>
      </c>
      <c r="B12" s="8" t="inlineStr">
        <is>
          <t>용병 편성, 성 시설 배치가 승패를 좌우</t>
        </is>
      </c>
    </row>
  </sheetData>
  <mergeCells count="1">
    <mergeCell ref="A1:B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4" customWidth="1" min="1" max="1"/>
    <col width="50" customWidth="1" min="2" max="2"/>
  </cols>
  <sheetData>
    <row r="1">
      <c r="A1" s="6" t="inlineStr">
        <is>
          <t>몬스터 포획 (포켓몬 스타일)</t>
        </is>
      </c>
    </row>
    <row r="3">
      <c r="A3" s="7" t="inlineStr">
        <is>
          <t>항목</t>
        </is>
      </c>
      <c r="B3" s="7" t="inlineStr">
        <is>
          <t>상세</t>
        </is>
      </c>
    </row>
    <row r="4">
      <c r="A4" s="8" t="inlineStr">
        <is>
          <t>포획 확률</t>
        </is>
      </c>
      <c r="B4" s="8" t="inlineStr">
        <is>
          <t>일반 30%, 엘리트 15%, 희귀 8%, 보스 3%</t>
        </is>
      </c>
    </row>
    <row r="5">
      <c r="A5" s="9" t="inlineStr">
        <is>
          <t>최대 보유</t>
        </is>
      </c>
      <c r="B5" s="9" t="inlineStr">
        <is>
          <t>6마리</t>
        </is>
      </c>
    </row>
    <row r="6">
      <c r="A6" s="8" t="inlineStr">
        <is>
          <t>진화</t>
        </is>
      </c>
      <c r="B6" s="8" t="inlineStr">
        <is>
          <t>Lv.10/25/50에서 진화 가능</t>
        </is>
      </c>
    </row>
    <row r="7">
      <c r="A7" s="9" t="inlineStr">
        <is>
          <t>유대도</t>
        </is>
      </c>
      <c r="B7" s="9" t="inlineStr">
        <is>
          <t>만남→친밀→신뢰→유대→영혼의 동반자 (5단계)</t>
        </is>
      </c>
    </row>
    <row r="8">
      <c r="A8" s="8" t="inlineStr">
        <is>
          <t>서바이벌 연동</t>
        </is>
      </c>
      <c r="B8" s="8" t="inlineStr">
        <is>
          <t>포획 몬스터를 서바이벌에서 소환 가능</t>
        </is>
      </c>
    </row>
    <row r="9">
      <c r="A9" s="9" t="inlineStr">
        <is>
          <t>공성전 연동</t>
        </is>
      </c>
      <c r="B9" s="9" t="inlineStr">
        <is>
          <t>포획 몬스터를 공성전에 배치 가능</t>
        </is>
      </c>
    </row>
    <row r="10">
      <c r="A10" s="8" t="inlineStr">
        <is>
          <t>레퍼런스</t>
        </is>
      </c>
      <c r="B10" s="8" t="inlineStr">
        <is>
          <t>포켓몬 스타일 수집 + 육성 + 진화</t>
        </is>
      </c>
    </row>
  </sheetData>
  <mergeCells count="1">
    <mergeCell ref="A1:B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4" customWidth="1" min="1" max="1"/>
    <col width="50" customWidth="1" min="2" max="2"/>
  </cols>
  <sheetData>
    <row r="1">
      <c r="A1" s="6" t="inlineStr">
        <is>
          <t>PK 시스템 (리니지 스타일)</t>
        </is>
      </c>
    </row>
    <row r="3">
      <c r="A3" s="7" t="inlineStr">
        <is>
          <t>항목</t>
        </is>
      </c>
      <c r="B3" s="7" t="inlineStr">
        <is>
          <t>상세</t>
        </is>
      </c>
    </row>
    <row r="4">
      <c r="A4" s="8" t="inlineStr">
        <is>
          <t>PK 허용 존</t>
        </is>
      </c>
      <c r="B4" s="8" t="inlineStr">
        <is>
          <t>chaos, warzone, blood_arena, lawless</t>
        </is>
      </c>
    </row>
    <row r="5">
      <c r="A5" s="9" t="inlineStr">
        <is>
          <t>카르마 증가</t>
        </is>
      </c>
      <c r="B5" s="9" t="inlineStr">
        <is>
          <t>PK 1회당 +100</t>
        </is>
      </c>
    </row>
    <row r="6">
      <c r="A6" s="8" t="inlineStr">
        <is>
          <t>카르마 감소</t>
        </is>
      </c>
      <c r="B6" s="8" t="inlineStr">
        <is>
          <t>분당 -5 자연 감소</t>
        </is>
      </c>
    </row>
    <row r="7">
      <c r="A7" s="9" t="inlineStr">
        <is>
          <t>카오틱 기준</t>
        </is>
      </c>
      <c r="B7" s="9" t="inlineStr">
        <is>
          <t>카르마 200 이상</t>
        </is>
      </c>
    </row>
    <row r="8">
      <c r="A8" s="8" t="inlineStr">
        <is>
          <t>사망 시 손실</t>
        </is>
      </c>
      <c r="B8" s="8" t="inlineStr">
        <is>
          <t>골드 10%, 아이템 30% 확률, 장비 10% 확률 드롭</t>
        </is>
      </c>
    </row>
    <row r="9">
      <c r="A9" s="9" t="inlineStr">
        <is>
          <t>현상금</t>
        </is>
      </c>
      <c r="B9" s="9" t="inlineStr">
        <is>
          <t>킬 스트릭에 따라 500~15000G</t>
        </is>
      </c>
    </row>
    <row r="10">
      <c r="A10" s="8" t="inlineStr">
        <is>
          <t>레퍼런스</t>
        </is>
      </c>
      <c r="B10" s="8" t="inlineStr">
        <is>
          <t>리니지 스타일 PK + 카르마 + 현상금</t>
        </is>
      </c>
    </row>
  </sheetData>
  <mergeCells count="1">
    <mergeCell ref="A1:B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2" customWidth="1" min="1" max="1"/>
    <col width="45" customWidth="1" min="2" max="2"/>
    <col width="20" customWidth="1" min="3" max="3"/>
  </cols>
  <sheetData>
    <row r="1">
      <c r="A1" s="6" t="inlineStr">
        <is>
          <t>용병 육성 상세 (v3.0)</t>
        </is>
      </c>
    </row>
    <row r="3">
      <c r="A3" s="7" t="inlineStr">
        <is>
          <t>시스템</t>
        </is>
      </c>
      <c r="B3" s="7" t="inlineStr">
        <is>
          <t>상세</t>
        </is>
      </c>
      <c r="C3" s="7" t="inlineStr">
        <is>
          <t>재미 포인트</t>
        </is>
      </c>
    </row>
    <row r="4">
      <c r="A4" s="8" t="inlineStr">
        <is>
          <t>수집</t>
        </is>
      </c>
      <c r="B4" s="8" t="inlineStr">
        <is>
          <t>17종 용병, 6등급(일반→신화), 소환 가챠</t>
        </is>
      </c>
      <c r="C4" s="8" t="inlineStr">
        <is>
          <t>뭐가 나올까? 두근두근</t>
        </is>
      </c>
    </row>
    <row r="5">
      <c r="A5" s="9" t="inlineStr">
        <is>
          <t>레벨업</t>
        </is>
      </c>
      <c r="B5" s="9" t="inlineStr">
        <is>
          <t>최대 Lv.100, 골드로 훈련, 등급별 성장률 차등</t>
        </is>
      </c>
      <c r="C5" s="9" t="inlineStr">
        <is>
          <t>꾸준한 성장감</t>
        </is>
      </c>
    </row>
    <row r="6">
      <c r="A6" s="8" t="inlineStr">
        <is>
          <t>각성(⭐)</t>
        </is>
      </c>
      <c r="B6" s="8" t="inlineStr">
        <is>
          <t>중복 카드 소모+골드, 최대 5성, 스탯 대폭 상승</t>
        </is>
      </c>
      <c r="C6" s="8" t="inlineStr">
        <is>
          <t>중복도 가치 있음!</t>
        </is>
      </c>
    </row>
    <row r="7">
      <c r="A7" s="9" t="inlineStr">
        <is>
          <t>스킬 강화</t>
        </is>
      </c>
      <c r="B7" s="9" t="inlineStr">
        <is>
          <t>최대 Lv.10, 골드+재료, 데미지/힐 증가</t>
        </is>
      </c>
      <c r="C7" s="9" t="inlineStr">
        <is>
          <t>스킬이 점점 강해짐</t>
        </is>
      </c>
    </row>
    <row r="8">
      <c r="A8" s="8" t="inlineStr">
        <is>
          <t>장비</t>
        </is>
      </c>
      <c r="B8" s="8" t="inlineStr">
        <is>
          <t>무기(ATK)+방어구(DEF/HP), 5등급, 용병 전용</t>
        </is>
      </c>
      <c r="C8" s="8" t="inlineStr">
        <is>
          <t>조합의 재미</t>
        </is>
      </c>
    </row>
    <row r="9">
      <c r="A9" s="9" t="inlineStr">
        <is>
          <t>파티 편성</t>
        </is>
      </c>
      <c r="B9" s="9" t="inlineStr">
        <is>
          <t>최대 6명 편성, 역할 조합(전사/사수/마법/치유/암살)</t>
        </is>
      </c>
      <c r="C9" s="9" t="inlineStr">
        <is>
          <t>팀 빌딩 전략</t>
        </is>
      </c>
    </row>
    <row r="10">
      <c r="A10" s="8" t="inlineStr">
        <is>
          <t>전투력</t>
        </is>
      </c>
      <c r="B10" s="8" t="inlineStr">
        <is>
          <t>ATK×2+DEF×1.5+HP×0.3, 각성 보너스 15%/성</t>
        </is>
      </c>
      <c r="C10" s="8" t="inlineStr">
        <is>
          <t>숫자 올라가는 쾌감</t>
        </is>
      </c>
    </row>
    <row r="11">
      <c r="A11" s="9" t="inlineStr">
        <is>
          <t>서바이벌 연동</t>
        </is>
      </c>
      <c r="B11" s="9" t="inlineStr">
        <is>
          <t>편성된 용병이 서바이벌에서 AI 동료로 참전</t>
        </is>
      </c>
      <c r="C11" s="9" t="inlineStr">
        <is>
          <t>키운 보람!</t>
        </is>
      </c>
    </row>
    <row r="12">
      <c r="A12" s="8" t="inlineStr">
        <is>
          <t>공성전 연동</t>
        </is>
      </c>
      <c r="B12" s="8" t="inlineStr">
        <is>
          <t>편성된 용병이 공성전에서 전투</t>
        </is>
      </c>
      <c r="C12" s="8" t="inlineStr">
        <is>
          <t>내 용병이 전장에서 활약</t>
        </is>
      </c>
    </row>
    <row r="13">
      <c r="A13" s="9" t="inlineStr"/>
      <c r="B13" s="9" t="inlineStr"/>
      <c r="C13" s="9" t="inlineStr"/>
    </row>
    <row r="14">
      <c r="A14" s="8" t="inlineStr">
        <is>
          <t>핵심 루프</t>
        </is>
      </c>
      <c r="B14" s="8" t="inlineStr">
        <is>
          <t>서바이벌 IO → 골드/카드 획득 → 용병 강화 → 더 강한 서바이벌/공성</t>
        </is>
      </c>
      <c r="C14" s="8" t="inlineStr">
        <is>
          <t>성장의 순환!</t>
        </is>
      </c>
    </row>
    <row r="15">
      <c r="A15" s="9" t="inlineStr">
        <is>
          <t>과금 포인트</t>
        </is>
      </c>
      <c r="B15" s="9" t="inlineStr">
        <is>
          <t>용병 소환 가챠 (30💎), 용병 슬롯 확장</t>
        </is>
      </c>
      <c r="C15" s="9" t="inlineStr">
        <is>
          <t>무과금도 플레이 가능</t>
        </is>
      </c>
    </row>
  </sheetData>
  <mergeCells count="1">
    <mergeCell ref="A1:C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4" customWidth="1" min="1" max="1"/>
    <col width="45" customWidth="1" min="2" max="2"/>
    <col width="20" customWidth="1" min="3" max="3"/>
  </cols>
  <sheetData>
    <row r="1">
      <c r="A1" s="6" t="inlineStr">
        <is>
          <t>SLG 뷰 진급 진화 (v3.0)</t>
        </is>
      </c>
    </row>
    <row r="3">
      <c r="A3" s="7" t="inlineStr">
        <is>
          <t>시스템</t>
        </is>
      </c>
      <c r="B3" s="7" t="inlineStr">
        <is>
          <t>상세</t>
        </is>
      </c>
      <c r="C3" s="7" t="inlineStr">
        <is>
          <t>재미 포인트</t>
        </is>
      </c>
    </row>
    <row r="4">
      <c r="A4" s="8" t="inlineStr">
        <is>
          <t>SLG 뷰</t>
        </is>
      </c>
      <c r="B4" s="8" t="inlineStr">
        <is>
          <t>IO와 완전 분리된 "키우기" 화면</t>
        </is>
      </c>
      <c r="C4" s="8" t="inlineStr">
        <is>
          <t>전략 시뮬 + RPG 성장</t>
        </is>
      </c>
    </row>
    <row r="5">
      <c r="A5" s="9" t="inlineStr">
        <is>
          <t>진급 (전직)</t>
        </is>
      </c>
      <c r="B5" s="9" t="inlineStr">
        <is>
          <t>보병→베테랑→챔피언→전쟁군주 (Lv.10/25/50)</t>
        </is>
      </c>
      <c r="C5" s="9" t="inlineStr">
        <is>
          <t>직업 성장의 쾌감!</t>
        </is>
      </c>
    </row>
    <row r="6">
      <c r="A6" s="8" t="inlineStr">
        <is>
          <t>진급 (궁수)</t>
        </is>
      </c>
      <c r="B6" s="8" t="inlineStr">
        <is>
          <t>궁수→저격수→명사수→매의 눈</t>
        </is>
      </c>
      <c r="C6" s="8" t="inlineStr">
        <is>
          <t>점점 강해지는 스나이퍼</t>
        </is>
      </c>
    </row>
    <row r="7">
      <c r="A7" s="9" t="inlineStr">
        <is>
          <t>진급 (마법사)</t>
        </is>
      </c>
      <c r="B7" s="9" t="inlineStr">
        <is>
          <t>마법사→주술사→대마도사→현자</t>
        </is>
      </c>
      <c r="C7" s="9" t="inlineStr">
        <is>
          <t>광역 마법의 진화</t>
        </is>
      </c>
    </row>
    <row r="8">
      <c r="A8" s="8" t="inlineStr">
        <is>
          <t>진화 (합성)</t>
        </is>
      </c>
      <c r="B8" s="8" t="inlineStr">
        <is>
          <t>보병×3 → 기사</t>
        </is>
      </c>
      <c r="C8" s="8" t="inlineStr">
        <is>
          <t>용병 조합 퍼즐</t>
        </is>
      </c>
    </row>
    <row r="9">
      <c r="A9" s="9" t="inlineStr">
        <is>
          <t>진화</t>
        </is>
      </c>
      <c r="B9" s="9" t="inlineStr">
        <is>
          <t>기사+사제 → 성기사</t>
        </is>
      </c>
      <c r="C9" s="9" t="inlineStr">
        <is>
          <t>상위 등급 합성</t>
        </is>
      </c>
    </row>
    <row r="10">
      <c r="A10" s="8" t="inlineStr">
        <is>
          <t>진화</t>
        </is>
      </c>
      <c r="B10" s="8" t="inlineStr">
        <is>
          <t>기사+성기사+용알 → 드래곤나이트</t>
        </is>
      </c>
      <c r="C10" s="8" t="inlineStr">
        <is>
          <t>전설급 합성!</t>
        </is>
      </c>
    </row>
    <row r="11">
      <c r="A11" s="9" t="inlineStr">
        <is>
          <t>진화</t>
        </is>
      </c>
      <c r="B11" s="9" t="inlineStr">
        <is>
          <t>흑마+그림자 → 죽음의 기사</t>
        </is>
      </c>
      <c r="C11" s="9" t="inlineStr">
        <is>
          <t>최종 합성</t>
        </is>
      </c>
    </row>
    <row r="12">
      <c r="A12" s="8" t="inlineStr"/>
      <c r="B12" s="8" t="inlineStr"/>
      <c r="C12" s="8" t="inlineStr"/>
    </row>
    <row r="13">
      <c r="A13" s="9" t="inlineStr">
        <is>
          <t>공성 배치</t>
        </is>
      </c>
      <c r="B13" s="9" t="inlineStr">
        <is>
          <t>성주가 함정+용병을 배치</t>
        </is>
      </c>
      <c r="C13" s="9" t="inlineStr">
        <is>
          <t>타워디펜스 전략</t>
        </is>
      </c>
    </row>
    <row r="14">
      <c r="A14" s="8" t="inlineStr">
        <is>
          <t>함정 7종</t>
        </is>
      </c>
      <c r="B14" s="8" t="inlineStr">
        <is>
          <t>가시/화염/빙결/독/폭탄/화살탑/마법장벽</t>
        </is>
      </c>
      <c r="C14" s="8" t="inlineStr">
        <is>
          <t>적재적소 배치</t>
        </is>
      </c>
    </row>
    <row r="15">
      <c r="A15" s="9" t="inlineStr">
        <is>
          <t>방어 용병</t>
        </is>
      </c>
      <c r="B15" s="9" t="inlineStr">
        <is>
          <t>최대 8명 배치, 위치 지정</t>
        </is>
      </c>
      <c r="C15" s="9" t="inlineStr">
        <is>
          <t>내 용병이 성을 지킨다!</t>
        </is>
      </c>
    </row>
    <row r="16">
      <c r="A16" s="8" t="inlineStr">
        <is>
          <t>공성 진행</t>
        </is>
      </c>
      <c r="B16" s="8" t="inlineStr">
        <is>
          <t>도전자가 IO방식으로 이동, 함정 피하며 왕좌 돌파</t>
        </is>
      </c>
      <c r="C16" s="8" t="inlineStr">
        <is>
          <t>실시간 액션!</t>
        </is>
      </c>
    </row>
    <row r="17">
      <c r="A17" s="9" t="inlineStr"/>
      <c r="B17" s="9" t="inlineStr"/>
      <c r="C17" s="9" t="inlineStr"/>
    </row>
    <row r="18">
      <c r="A18" s="8" t="inlineStr">
        <is>
          <t>SLG 이벤트</t>
        </is>
      </c>
      <c r="B18" s="8" t="inlineStr">
        <is>
          <t>용병대회/무역축제/공성시즌/보스침공/보물사냥</t>
        </is>
      </c>
      <c r="C18" s="8" t="inlineStr">
        <is>
          <t>다양한 이벤트</t>
        </is>
      </c>
    </row>
    <row r="19">
      <c r="A19" s="9" t="inlineStr">
        <is>
          <t>핵심 루프</t>
        </is>
      </c>
      <c r="B19" s="9" t="inlineStr">
        <is>
          <t>IO→자원획득→SLG에서 용병 키우기→공성에서 활용</t>
        </is>
      </c>
      <c r="C19" s="9" t="inlineStr">
        <is>
          <t>키우는 재미!</t>
        </is>
      </c>
    </row>
  </sheetData>
  <mergeCells count="1">
    <mergeCell ref="A1:C1"/>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0" customWidth="1" min="1" max="1"/>
    <col width="14" customWidth="1" min="2" max="2"/>
    <col width="22" customWidth="1" min="3" max="3"/>
    <col width="10" customWidth="1" min="4" max="4"/>
  </cols>
  <sheetData>
    <row r="1">
      <c r="A1" s="6" t="inlineStr">
        <is>
          <t>공성전 배치 상세 (v3.0)</t>
        </is>
      </c>
    </row>
    <row r="3">
      <c r="A3" s="7" t="inlineStr">
        <is>
          <t>종류</t>
        </is>
      </c>
      <c r="B3" s="7" t="inlineStr">
        <is>
          <t>이름</t>
        </is>
      </c>
      <c r="C3" s="7" t="inlineStr">
        <is>
          <t>효과</t>
        </is>
      </c>
      <c r="D3" s="7" t="inlineStr">
        <is>
          <t>비용</t>
        </is>
      </c>
    </row>
    <row r="4">
      <c r="A4" s="8" t="inlineStr">
        <is>
          <t>함정 ⚠️</t>
        </is>
      </c>
      <c r="B4" s="8" t="inlineStr">
        <is>
          <t>가시 함정</t>
        </is>
      </c>
      <c r="C4" s="8" t="inlineStr">
        <is>
          <t>50 데미지</t>
        </is>
      </c>
      <c r="D4" s="8" t="inlineStr">
        <is>
          <t>500G</t>
        </is>
      </c>
    </row>
    <row r="5">
      <c r="A5" s="9" t="inlineStr">
        <is>
          <t>함정 🔥</t>
        </is>
      </c>
      <c r="B5" s="9" t="inlineStr">
        <is>
          <t>화염 함정</t>
        </is>
      </c>
      <c r="C5" s="9" t="inlineStr">
        <is>
          <t>80 범위 데미지</t>
        </is>
      </c>
      <c r="D5" s="9" t="inlineStr">
        <is>
          <t>1,000G</t>
        </is>
      </c>
    </row>
    <row r="6">
      <c r="A6" s="8" t="inlineStr">
        <is>
          <t>함정 ❄️</t>
        </is>
      </c>
      <c r="B6" s="8" t="inlineStr">
        <is>
          <t>빙결 함정</t>
        </is>
      </c>
      <c r="C6" s="8" t="inlineStr">
        <is>
          <t>3초 빙결</t>
        </is>
      </c>
      <c r="D6" s="8" t="inlineStr">
        <is>
          <t>800G</t>
        </is>
      </c>
    </row>
    <row r="7">
      <c r="A7" s="9" t="inlineStr">
        <is>
          <t>함정 ☠️</t>
        </is>
      </c>
      <c r="B7" s="9" t="inlineStr">
        <is>
          <t>독 함정</t>
        </is>
      </c>
      <c r="C7" s="9" t="inlineStr">
        <is>
          <t>10/초 × 5초</t>
        </is>
      </c>
      <c r="D7" s="9" t="inlineStr">
        <is>
          <t>700G</t>
        </is>
      </c>
    </row>
    <row r="8">
      <c r="A8" s="8" t="inlineStr">
        <is>
          <t>함정 💣</t>
        </is>
      </c>
      <c r="B8" s="8" t="inlineStr">
        <is>
          <t>폭탄 함정</t>
        </is>
      </c>
      <c r="C8" s="8" t="inlineStr">
        <is>
          <t>200 대폭발</t>
        </is>
      </c>
      <c r="D8" s="8" t="inlineStr">
        <is>
          <t>2,000G</t>
        </is>
      </c>
    </row>
    <row r="9">
      <c r="A9" s="9" t="inlineStr">
        <is>
          <t>탑 🏹</t>
        </is>
      </c>
      <c r="B9" s="9" t="inlineStr">
        <is>
          <t>화살 탑</t>
        </is>
      </c>
      <c r="C9" s="9" t="inlineStr">
        <is>
          <t>30 데미지 자동 사격</t>
        </is>
      </c>
      <c r="D9" s="9" t="inlineStr">
        <is>
          <t>3,000G</t>
        </is>
      </c>
    </row>
    <row r="10">
      <c r="A10" s="8" t="inlineStr">
        <is>
          <t>장벽 🔮</t>
        </is>
      </c>
      <c r="B10" s="8" t="inlineStr">
        <is>
          <t>마법 장벽</t>
        </is>
      </c>
      <c r="C10" s="8" t="inlineStr">
        <is>
          <t>HP 500 통로 차단</t>
        </is>
      </c>
      <c r="D10" s="8" t="inlineStr">
        <is>
          <t>4,000G</t>
        </is>
      </c>
    </row>
    <row r="11">
      <c r="A11" s="9" t="inlineStr"/>
      <c r="B11" s="9" t="inlineStr"/>
      <c r="C11" s="9" t="inlineStr"/>
      <c r="D11" s="9" t="inlineStr"/>
    </row>
    <row r="12">
      <c r="A12" s="8" t="inlineStr">
        <is>
          <t>배치</t>
        </is>
      </c>
      <c r="B12" s="8" t="inlineStr">
        <is>
          <t>최대 함정</t>
        </is>
      </c>
      <c r="C12" s="8" t="inlineStr">
        <is>
          <t>10개</t>
        </is>
      </c>
      <c r="D12" s="8" t="inlineStr"/>
    </row>
    <row r="13">
      <c r="A13" s="9" t="inlineStr">
        <is>
          <t>배치</t>
        </is>
      </c>
      <c r="B13" s="9" t="inlineStr">
        <is>
          <t>최대 방어 용병</t>
        </is>
      </c>
      <c r="C13" s="9" t="inlineStr">
        <is>
          <t>8명</t>
        </is>
      </c>
      <c r="D13" s="9" t="inlineStr"/>
    </row>
    <row r="14">
      <c r="A14" s="8" t="inlineStr">
        <is>
          <t>맵</t>
        </is>
      </c>
      <c r="B14" s="8" t="inlineStr">
        <is>
          <t>크기</t>
        </is>
      </c>
      <c r="C14" s="8" t="inlineStr">
        <is>
          <t>20×15 그리드</t>
        </is>
      </c>
      <c r="D14" s="8" t="inlineStr"/>
    </row>
    <row r="15">
      <c r="A15" s="9" t="inlineStr">
        <is>
          <t>맵</t>
        </is>
      </c>
      <c r="B15" s="9" t="inlineStr">
        <is>
          <t>통로</t>
        </is>
      </c>
      <c r="C15" s="9" t="inlineStr">
        <is>
          <t>3개 레인</t>
        </is>
      </c>
      <c r="D15" s="9" t="inlineStr"/>
    </row>
    <row r="16">
      <c r="A16" s="8" t="inlineStr">
        <is>
          <t>목표</t>
        </is>
      </c>
      <c r="B16" s="8" t="inlineStr">
        <is>
          <t>도전자</t>
        </is>
      </c>
      <c r="C16" s="8" t="inlineStr">
        <is>
          <t>왕좌까지 돌파</t>
        </is>
      </c>
      <c r="D16" s="8" t="inlineStr">
        <is>
          <t>5분 제한</t>
        </is>
      </c>
    </row>
    <row r="17">
      <c r="A17" s="9" t="inlineStr">
        <is>
          <t>목표</t>
        </is>
      </c>
      <c r="B17" s="9" t="inlineStr">
        <is>
          <t>성주</t>
        </is>
      </c>
      <c r="C17" s="9" t="inlineStr">
        <is>
          <t>도전자를 막아라!</t>
        </is>
      </c>
      <c r="D17" s="9" t="inlineStr">
        <is>
          <t>함정+용병</t>
        </is>
      </c>
    </row>
  </sheetData>
  <mergeCells count="1">
    <mergeCell ref="A1:D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0" customWidth="1" min="1" max="1"/>
    <col width="14" customWidth="1" min="2" max="2"/>
    <col width="45" customWidth="1" min="3" max="3"/>
  </cols>
  <sheetData>
    <row r="1">
      <c r="A1" s="6" t="inlineStr">
        <is>
          <t>공성전 IO 전투 (v3.0)</t>
        </is>
      </c>
    </row>
    <row r="3">
      <c r="A3" s="7" t="inlineStr">
        <is>
          <t>역할</t>
        </is>
      </c>
      <c r="B3" s="7" t="inlineStr">
        <is>
          <t>행동</t>
        </is>
      </c>
      <c r="C3" s="7" t="inlineStr">
        <is>
          <t>상세</t>
        </is>
      </c>
    </row>
    <row r="4">
      <c r="A4" s="8" t="inlineStr">
        <is>
          <t>도전자</t>
        </is>
      </c>
      <c r="B4" s="8" t="inlineStr">
        <is>
          <t>이동</t>
        </is>
      </c>
      <c r="C4" s="8" t="inlineStr">
        <is>
          <t>상하좌우(WASD) IO 방식으로 이동</t>
        </is>
      </c>
    </row>
    <row r="5">
      <c r="A5" s="9" t="inlineStr">
        <is>
          <t>도전자</t>
        </is>
      </c>
      <c r="B5" s="9" t="inlineStr">
        <is>
          <t>전투</t>
        </is>
      </c>
      <c r="C5" s="9" t="inlineStr">
        <is>
          <t>용병 근처 시 오토배틀 (자동 공격)</t>
        </is>
      </c>
    </row>
    <row r="6">
      <c r="A6" s="8" t="inlineStr">
        <is>
          <t>도전자</t>
        </is>
      </c>
      <c r="B6" s="8" t="inlineStr">
        <is>
          <t>함정 회피</t>
        </is>
      </c>
      <c r="C6" s="8" t="inlineStr">
        <is>
          <t>함정 위치 접근 시 자동 발동, 피해야 함</t>
        </is>
      </c>
    </row>
    <row r="7">
      <c r="A7" s="9" t="inlineStr">
        <is>
          <t>도전자</t>
        </is>
      </c>
      <c r="B7" s="9" t="inlineStr">
        <is>
          <t>목표</t>
        </is>
      </c>
      <c r="C7" s="9" t="inlineStr">
        <is>
          <t>왕좌(맵 끝)까지 도달하면 승리</t>
        </is>
      </c>
    </row>
    <row r="8">
      <c r="A8" s="8" t="inlineStr">
        <is>
          <t>도전자</t>
        </is>
      </c>
      <c r="B8" s="8" t="inlineStr">
        <is>
          <t>스탯</t>
        </is>
      </c>
      <c r="C8" s="8" t="inlineStr">
        <is>
          <t>본인 스탯 + 파티 용병 스탯 30% 합산</t>
        </is>
      </c>
    </row>
    <row r="9">
      <c r="A9" s="9" t="inlineStr"/>
      <c r="B9" s="9" t="inlineStr"/>
      <c r="C9" s="9" t="inlineStr"/>
    </row>
    <row r="10">
      <c r="A10" s="8" t="inlineStr">
        <is>
          <t>성주</t>
        </is>
      </c>
      <c r="B10" s="8" t="inlineStr">
        <is>
          <t>배치</t>
        </is>
      </c>
      <c r="C10" s="8" t="inlineStr">
        <is>
          <t>함정 최대 10개 + 용병 최대 8명 사전 배치</t>
        </is>
      </c>
    </row>
    <row r="11">
      <c r="A11" s="9" t="inlineStr">
        <is>
          <t>성주</t>
        </is>
      </c>
      <c r="B11" s="9" t="inlineStr">
        <is>
          <t>관전</t>
        </is>
      </c>
      <c r="C11" s="9" t="inlineStr">
        <is>
          <t>실시간 공성전 진행 관전</t>
        </is>
      </c>
    </row>
    <row r="12">
      <c r="A12" s="8" t="inlineStr">
        <is>
          <t>성주</t>
        </is>
      </c>
      <c r="B12" s="8" t="inlineStr">
        <is>
          <t>승리</t>
        </is>
      </c>
      <c r="C12" s="8" t="inlineStr">
        <is>
          <t>도전자 사망 or 5분 시간 초과</t>
        </is>
      </c>
    </row>
    <row r="13">
      <c r="A13" s="9" t="inlineStr"/>
      <c r="B13" s="9" t="inlineStr"/>
      <c r="C13" s="9" t="inlineStr"/>
    </row>
    <row r="14">
      <c r="A14" s="8" t="inlineStr">
        <is>
          <t>보상</t>
        </is>
      </c>
      <c r="B14" s="8" t="inlineStr">
        <is>
          <t>공격 승리</t>
        </is>
      </c>
      <c r="C14" s="8" t="inlineStr">
        <is>
          <t>10,000G + 100💎 + 적 자원 20%</t>
        </is>
      </c>
    </row>
    <row r="15">
      <c r="A15" s="9" t="inlineStr">
        <is>
          <t>보상</t>
        </is>
      </c>
      <c r="B15" s="9" t="inlineStr">
        <is>
          <t>방어 승리</t>
        </is>
      </c>
      <c r="C15" s="9" t="inlineStr">
        <is>
          <t>5,000G + 50💎</t>
        </is>
      </c>
    </row>
    <row r="16">
      <c r="A16" s="8" t="inlineStr">
        <is>
          <t>쿨다운</t>
        </is>
      </c>
      <c r="B16" s="8" t="inlineStr">
        <is>
          <t>공격</t>
        </is>
      </c>
      <c r="C16" s="8" t="inlineStr">
        <is>
          <t>1시간에 1회</t>
        </is>
      </c>
    </row>
    <row r="17">
      <c r="A17" s="9" t="inlineStr"/>
      <c r="B17" s="9" t="inlineStr"/>
      <c r="C17" s="9" t="inlineStr"/>
    </row>
    <row r="18">
      <c r="A18" s="8" t="inlineStr">
        <is>
          <t>핵심</t>
        </is>
      </c>
      <c r="B18" s="8" t="inlineStr">
        <is>
          <t>조합</t>
        </is>
      </c>
      <c r="C18" s="8" t="inlineStr">
        <is>
          <t>성주의 함정+용병 배치 전략 vs 도전자의 컨트롤 실력</t>
        </is>
      </c>
    </row>
    <row r="19">
      <c r="A19" s="9" t="inlineStr">
        <is>
          <t>핵심</t>
        </is>
      </c>
      <c r="B19" s="9" t="inlineStr">
        <is>
          <t>연동</t>
        </is>
      </c>
      <c r="C19" s="9" t="inlineStr">
        <is>
          <t>SLG에서 키운 용병이 공성전에서 실전 활약</t>
        </is>
      </c>
    </row>
    <row r="20">
      <c r="A20" s="8" t="inlineStr"/>
      <c r="B20" s="8" t="inlineStr"/>
      <c r="C20" s="8" t="inlineStr"/>
    </row>
    <row r="21">
      <c r="A21" s="9" t="inlineStr">
        <is>
          <t>v3.0 맵</t>
        </is>
      </c>
      <c r="B21" s="9" t="inlineStr">
        <is>
          <t>크기</t>
        </is>
      </c>
      <c r="C21" s="9" t="inlineStr">
        <is>
          <t>25×20 그리드, 5레인</t>
        </is>
      </c>
    </row>
    <row r="22">
      <c r="A22" s="8" t="inlineStr">
        <is>
          <t>v3.0 맵</t>
        </is>
      </c>
      <c r="B22" s="8" t="inlineStr">
        <is>
          <t>벽 5개</t>
        </is>
      </c>
      <c r="C22" s="8" t="inlineStr">
        <is>
          <t>우회 필요한 장애물</t>
        </is>
      </c>
    </row>
    <row r="23">
      <c r="A23" s="9" t="inlineStr">
        <is>
          <t>v3.0 맵</t>
        </is>
      </c>
      <c r="B23" s="9" t="inlineStr">
        <is>
          <t>회복 지대</t>
        </is>
      </c>
      <c r="C23" s="9" t="inlineStr">
        <is>
          <t>HP 자동 회복 구역</t>
        </is>
      </c>
    </row>
    <row r="24">
      <c r="A24" s="8" t="inlineStr">
        <is>
          <t>v3.0 맵</t>
        </is>
      </c>
      <c r="B24" s="8" t="inlineStr">
        <is>
          <t>감속 지대</t>
        </is>
      </c>
      <c r="C24" s="8" t="inlineStr">
        <is>
          <t>이동속도 감소 구역</t>
        </is>
      </c>
    </row>
    <row r="25">
      <c r="A25" s="9" t="inlineStr">
        <is>
          <t>v3.0 맵</t>
        </is>
      </c>
      <c r="B25" s="9" t="inlineStr">
        <is>
          <t>시야 차단</t>
        </is>
      </c>
      <c r="C25" s="9" t="inlineStr">
        <is>
          <t>어둠 속 이동</t>
        </is>
      </c>
    </row>
    <row r="26">
      <c r="A26" s="8" t="inlineStr">
        <is>
          <t>v3.0 함정</t>
        </is>
      </c>
      <c r="B26" s="8" t="inlineStr">
        <is>
          <t>감속 덫 🕸️</t>
        </is>
      </c>
      <c r="C26" s="8" t="inlineStr">
        <is>
          <t>이동 -50%</t>
        </is>
      </c>
    </row>
    <row r="27">
      <c r="A27" s="9" t="inlineStr">
        <is>
          <t>v3.0 함정</t>
        </is>
      </c>
      <c r="B27" s="9" t="inlineStr">
        <is>
          <t>텔레포트 🌀</t>
        </is>
      </c>
      <c r="C27" s="9" t="inlineStr">
        <is>
          <t>시작점 강제 이동</t>
        </is>
      </c>
    </row>
    <row r="28">
      <c r="A28" s="8" t="inlineStr">
        <is>
          <t>v3.0 함정</t>
        </is>
      </c>
      <c r="B28" s="8" t="inlineStr">
        <is>
          <t>소환 👹</t>
        </is>
      </c>
      <c r="C28" s="8" t="inlineStr">
        <is>
          <t>해골 3체 소환</t>
        </is>
      </c>
    </row>
  </sheetData>
  <mergeCells count="1">
    <mergeCell ref="A1:C1"/>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4" customWidth="1" min="1" max="1"/>
    <col width="6" customWidth="1" min="2" max="2"/>
    <col width="8" customWidth="1" min="3" max="3"/>
    <col width="35" customWidth="1" min="4" max="4"/>
  </cols>
  <sheetData>
    <row r="1">
      <c r="A1" s="6" t="inlineStr">
        <is>
          <t>전체 이벤트 목록 (11종)</t>
        </is>
      </c>
    </row>
    <row r="3">
      <c r="A3" s="7" t="inlineStr">
        <is>
          <t>이벤트</t>
        </is>
      </c>
      <c r="B3" s="7" t="inlineStr">
        <is>
          <t>아이콘</t>
        </is>
      </c>
      <c r="C3" s="7" t="inlineStr">
        <is>
          <t>주기</t>
        </is>
      </c>
      <c r="D3" s="7" t="inlineStr">
        <is>
          <t>효과</t>
        </is>
      </c>
    </row>
    <row r="4">
      <c r="A4" s="8" t="inlineStr">
        <is>
          <t>용병 대회</t>
        </is>
      </c>
      <c r="B4" s="8" t="inlineStr">
        <is>
          <t>🏟️</t>
        </is>
      </c>
      <c r="C4" s="8" t="inlineStr">
        <is>
          <t>1시간</t>
        </is>
      </c>
      <c r="D4" s="8" t="inlineStr">
        <is>
          <t>용병 토너먼트, 1위 20000G+100💎</t>
        </is>
      </c>
    </row>
    <row r="5">
      <c r="A5" s="9" t="inlineStr">
        <is>
          <t>무역 축제</t>
        </is>
      </c>
      <c r="B5" s="9" t="inlineStr">
        <is>
          <t>💰</t>
        </is>
      </c>
      <c r="C5" s="9" t="inlineStr">
        <is>
          <t>2시간</t>
        </is>
      </c>
      <c r="D5" s="9" t="inlineStr">
        <is>
          <t>교역 이윤 2배</t>
        </is>
      </c>
    </row>
    <row r="6">
      <c r="A6" s="8" t="inlineStr">
        <is>
          <t>공성 시즌</t>
        </is>
      </c>
      <c r="B6" s="8" t="inlineStr">
        <is>
          <t>🏰</t>
        </is>
      </c>
      <c r="C6" s="8" t="inlineStr">
        <is>
          <t>4시간</t>
        </is>
      </c>
      <c r="D6" s="8" t="inlineStr">
        <is>
          <t>공성 보상 3배</t>
        </is>
      </c>
    </row>
    <row r="7">
      <c r="A7" s="9" t="inlineStr">
        <is>
          <t>용병 모집</t>
        </is>
      </c>
      <c r="B7" s="9" t="inlineStr">
        <is>
          <t>🎴</t>
        </is>
      </c>
      <c r="C7" s="9" t="inlineStr">
        <is>
          <t>3시간</t>
        </is>
      </c>
      <c r="D7" s="9" t="inlineStr">
        <is>
          <t>소환 등급 +1 보장</t>
        </is>
      </c>
    </row>
    <row r="8">
      <c r="A8" s="8" t="inlineStr">
        <is>
          <t>보스 침공</t>
        </is>
      </c>
      <c r="B8" s="8" t="inlineStr">
        <is>
          <t>👹</t>
        </is>
      </c>
      <c r="C8" s="8" t="inlineStr">
        <is>
          <t>1.5시간</t>
        </is>
      </c>
      <c r="D8" s="8" t="inlineStr">
        <is>
          <t>월드 보스 모든 성 공격</t>
        </is>
      </c>
    </row>
    <row r="9">
      <c r="A9" s="9" t="inlineStr">
        <is>
          <t>보물 사냥</t>
        </is>
      </c>
      <c r="B9" s="9" t="inlineStr">
        <is>
          <t>🗺️</t>
        </is>
      </c>
      <c r="C9" s="9" t="inlineStr">
        <is>
          <t>1시간</t>
        </is>
      </c>
      <c r="D9" s="9" t="inlineStr">
        <is>
          <t>맵에 보물, 희귀 용병</t>
        </is>
      </c>
    </row>
    <row r="10">
      <c r="A10" s="8" t="inlineStr">
        <is>
          <t>용병 대전쟁</t>
        </is>
      </c>
      <c r="B10" s="8" t="inlineStr">
        <is>
          <t>⚔️</t>
        </is>
      </c>
      <c r="C10" s="8" t="inlineStr">
        <is>
          <t>2시간</t>
        </is>
      </c>
      <c r="D10" s="8" t="inlineStr">
        <is>
          <t>서버 전체 용병 전쟁</t>
        </is>
      </c>
    </row>
    <row r="11">
      <c r="A11" s="9" t="inlineStr">
        <is>
          <t>드래곤 침공</t>
        </is>
      </c>
      <c r="B11" s="9" t="inlineStr">
        <is>
          <t>🐲</t>
        </is>
      </c>
      <c r="C11" s="9" t="inlineStr">
        <is>
          <t>3시간</t>
        </is>
      </c>
      <c r="D11" s="9" t="inlineStr">
        <is>
          <t>드래곤 군단 협동 방어</t>
        </is>
      </c>
    </row>
    <row r="12">
      <c r="A12" s="8" t="inlineStr">
        <is>
          <t>암시장</t>
        </is>
      </c>
      <c r="B12" s="8" t="inlineStr">
        <is>
          <t>🌑</t>
        </is>
      </c>
      <c r="C12" s="8" t="inlineStr">
        <is>
          <t>1.5시간</t>
        </is>
      </c>
      <c r="D12" s="8" t="inlineStr">
        <is>
          <t>희귀품 할인 50%</t>
        </is>
      </c>
    </row>
    <row r="13">
      <c r="A13" s="9" t="inlineStr">
        <is>
          <t>경험치 폭풍</t>
        </is>
      </c>
      <c r="B13" s="9" t="inlineStr">
        <is>
          <t>📈</t>
        </is>
      </c>
      <c r="C13" s="9" t="inlineStr">
        <is>
          <t>1시간</t>
        </is>
      </c>
      <c r="D13" s="9" t="inlineStr">
        <is>
          <t>용병 EXP 2배</t>
        </is>
      </c>
    </row>
    <row r="14">
      <c r="A14" s="8" t="inlineStr">
        <is>
          <t>혈맹 집결</t>
        </is>
      </c>
      <c r="B14" s="8" t="inlineStr">
        <is>
          <t>🏴</t>
        </is>
      </c>
      <c r="C14" s="8" t="inlineStr">
        <is>
          <t>4시간</t>
        </is>
      </c>
      <c r="D14" s="8" t="inlineStr">
        <is>
          <t>혈맹 공성 보상 5배</t>
        </is>
      </c>
    </row>
  </sheetData>
  <mergeCells count="1">
    <mergeCell ref="A1:D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 customWidth="1" min="1" max="1"/>
    <col width="10" customWidth="1" min="2" max="2"/>
    <col width="10" customWidth="1" min="3" max="3"/>
    <col width="8" customWidth="1" min="4" max="4"/>
    <col width="6" customWidth="1" min="5" max="5"/>
    <col width="6" customWidth="1" min="6" max="6"/>
    <col width="6" customWidth="1" min="7" max="7"/>
    <col width="6" customWidth="1" min="8" max="8"/>
    <col width="6" customWidth="1" min="9" max="9"/>
  </cols>
  <sheetData>
    <row r="1">
      <c r="A1" s="6" t="inlineStr">
        <is>
          <t>전체 무역 루트 (10개)</t>
        </is>
      </c>
    </row>
    <row r="3">
      <c r="A3" s="7" t="inlineStr">
        <is>
          <t>#</t>
        </is>
      </c>
      <c r="B3" s="7" t="inlineStr">
        <is>
          <t>출발</t>
        </is>
      </c>
      <c r="C3" s="7" t="inlineStr">
        <is>
          <t>도착</t>
        </is>
      </c>
      <c r="D3" s="7" t="inlineStr">
        <is>
          <t>물품</t>
        </is>
      </c>
      <c r="E3" s="7" t="inlineStr">
        <is>
          <t>매입</t>
        </is>
      </c>
      <c r="F3" s="7" t="inlineStr">
        <is>
          <t>매도</t>
        </is>
      </c>
      <c r="G3" s="7" t="inlineStr">
        <is>
          <t>위험</t>
        </is>
      </c>
      <c r="H3" s="7" t="inlineStr">
        <is>
          <t>시간</t>
        </is>
      </c>
      <c r="I3" s="7" t="inlineStr">
        <is>
          <t>이윤</t>
        </is>
      </c>
    </row>
    <row r="4">
      <c r="A4" s="8" t="inlineStr">
        <is>
          <t>1</t>
        </is>
      </c>
      <c r="B4" s="8" t="inlineStr">
        <is>
          <t>바람개비</t>
        </is>
      </c>
      <c r="C4" s="8" t="inlineStr">
        <is>
          <t>별빛 항구</t>
        </is>
      </c>
      <c r="D4" s="8" t="inlineStr">
        <is>
          <t>곡물</t>
        </is>
      </c>
      <c r="E4" s="8" t="inlineStr">
        <is>
          <t>100</t>
        </is>
      </c>
      <c r="F4" s="8" t="inlineStr">
        <is>
          <t>180</t>
        </is>
      </c>
      <c r="G4" s="8" t="inlineStr">
        <is>
          <t>10%</t>
        </is>
      </c>
      <c r="H4" s="8" t="inlineStr">
        <is>
          <t>30초</t>
        </is>
      </c>
      <c r="I4" s="8" t="inlineStr">
        <is>
          <t>80%</t>
        </is>
      </c>
    </row>
    <row r="5">
      <c r="A5" s="9" t="inlineStr">
        <is>
          <t>2</t>
        </is>
      </c>
      <c r="B5" s="9" t="inlineStr">
        <is>
          <t>별빛 항구</t>
        </is>
      </c>
      <c r="C5" s="9" t="inlineStr">
        <is>
          <t>달빛 오아시스</t>
        </is>
      </c>
      <c r="D5" s="9" t="inlineStr">
        <is>
          <t>해산물</t>
        </is>
      </c>
      <c r="E5" s="9" t="inlineStr">
        <is>
          <t>150</t>
        </is>
      </c>
      <c r="F5" s="9" t="inlineStr">
        <is>
          <t>280</t>
        </is>
      </c>
      <c r="G5" s="9" t="inlineStr">
        <is>
          <t>20%</t>
        </is>
      </c>
      <c r="H5" s="9" t="inlineStr">
        <is>
          <t>45초</t>
        </is>
      </c>
      <c r="I5" s="9" t="inlineStr">
        <is>
          <t>87%</t>
        </is>
      </c>
    </row>
    <row r="6">
      <c r="A6" s="8" t="inlineStr">
        <is>
          <t>3</t>
        </is>
      </c>
      <c r="B6" s="8" t="inlineStr">
        <is>
          <t>달빛 오아시스</t>
        </is>
      </c>
      <c r="C6" s="8" t="inlineStr">
        <is>
          <t>구름마루</t>
        </is>
      </c>
      <c r="D6" s="8" t="inlineStr">
        <is>
          <t>향신료</t>
        </is>
      </c>
      <c r="E6" s="8" t="inlineStr">
        <is>
          <t>200</t>
        </is>
      </c>
      <c r="F6" s="8" t="inlineStr">
        <is>
          <t>400</t>
        </is>
      </c>
      <c r="G6" s="8" t="inlineStr">
        <is>
          <t>30%</t>
        </is>
      </c>
      <c r="H6" s="8" t="inlineStr">
        <is>
          <t>60초</t>
        </is>
      </c>
      <c r="I6" s="8" t="inlineStr">
        <is>
          <t>100%</t>
        </is>
      </c>
    </row>
    <row r="7">
      <c r="A7" s="9" t="inlineStr">
        <is>
          <t>4</t>
        </is>
      </c>
      <c r="B7" s="9" t="inlineStr">
        <is>
          <t>구름마루</t>
        </is>
      </c>
      <c r="C7" s="9" t="inlineStr">
        <is>
          <t>신전 마을</t>
        </is>
      </c>
      <c r="D7" s="9" t="inlineStr">
        <is>
          <t>광석</t>
        </is>
      </c>
      <c r="E7" s="9" t="inlineStr">
        <is>
          <t>300</t>
        </is>
      </c>
      <c r="F7" s="9" t="inlineStr">
        <is>
          <t>550</t>
        </is>
      </c>
      <c r="G7" s="9" t="inlineStr">
        <is>
          <t>40%</t>
        </is>
      </c>
      <c r="H7" s="9" t="inlineStr">
        <is>
          <t>90초</t>
        </is>
      </c>
      <c r="I7" s="9" t="inlineStr">
        <is>
          <t>83%</t>
        </is>
      </c>
    </row>
    <row r="8">
      <c r="A8" s="8" t="inlineStr">
        <is>
          <t>5</t>
        </is>
      </c>
      <c r="B8" s="8" t="inlineStr">
        <is>
          <t>신전 마을</t>
        </is>
      </c>
      <c r="C8" s="8" t="inlineStr">
        <is>
          <t>사막 시장</t>
        </is>
      </c>
      <c r="D8" s="8" t="inlineStr">
        <is>
          <t>마법 결정</t>
        </is>
      </c>
      <c r="E8" s="8" t="inlineStr">
        <is>
          <t>500</t>
        </is>
      </c>
      <c r="F8" s="8" t="inlineStr">
        <is>
          <t>1000</t>
        </is>
      </c>
      <c r="G8" s="8" t="inlineStr">
        <is>
          <t>50%</t>
        </is>
      </c>
      <c r="H8" s="8" t="inlineStr">
        <is>
          <t>120초</t>
        </is>
      </c>
      <c r="I8" s="8" t="inlineStr">
        <is>
          <t>100%</t>
        </is>
      </c>
    </row>
    <row r="9">
      <c r="A9" s="9" t="inlineStr">
        <is>
          <t>6</t>
        </is>
      </c>
      <c r="B9" s="9" t="inlineStr">
        <is>
          <t>사막 시장</t>
        </is>
      </c>
      <c r="C9" s="9" t="inlineStr">
        <is>
          <t>바람개비</t>
        </is>
      </c>
      <c r="D9" s="9" t="inlineStr">
        <is>
          <t>보석</t>
        </is>
      </c>
      <c r="E9" s="9" t="inlineStr">
        <is>
          <t>800</t>
        </is>
      </c>
      <c r="F9" s="9" t="inlineStr">
        <is>
          <t>1500</t>
        </is>
      </c>
      <c r="G9" s="9" t="inlineStr">
        <is>
          <t>60%</t>
        </is>
      </c>
      <c r="H9" s="9" t="inlineStr">
        <is>
          <t>150초</t>
        </is>
      </c>
      <c r="I9" s="9" t="inlineStr">
        <is>
          <t>88%</t>
        </is>
      </c>
    </row>
    <row r="10">
      <c r="A10" s="8" t="inlineStr">
        <is>
          <t>7</t>
        </is>
      </c>
      <c r="B10" s="8" t="inlineStr">
        <is>
          <t>동쪽 항구</t>
        </is>
      </c>
      <c r="C10" s="8" t="inlineStr">
        <is>
          <t>신전 마을</t>
        </is>
      </c>
      <c r="D10" s="8" t="inlineStr">
        <is>
          <t>성수</t>
        </is>
      </c>
      <c r="E10" s="8" t="inlineStr">
        <is>
          <t>400</t>
        </is>
      </c>
      <c r="F10" s="8" t="inlineStr">
        <is>
          <t>750</t>
        </is>
      </c>
      <c r="G10" s="8" t="inlineStr">
        <is>
          <t>35%</t>
        </is>
      </c>
      <c r="H10" s="8" t="inlineStr">
        <is>
          <t>80초</t>
        </is>
      </c>
      <c r="I10" s="8" t="inlineStr">
        <is>
          <t>88%</t>
        </is>
      </c>
    </row>
    <row r="11">
      <c r="A11" s="9" t="inlineStr">
        <is>
          <t>8</t>
        </is>
      </c>
      <c r="B11" s="9" t="inlineStr">
        <is>
          <t>구름마루</t>
        </is>
      </c>
      <c r="C11" s="9" t="inlineStr">
        <is>
          <t>사막 시장</t>
        </is>
      </c>
      <c r="D11" s="9" t="inlineStr">
        <is>
          <t>용린</t>
        </is>
      </c>
      <c r="E11" s="9" t="inlineStr">
        <is>
          <t>1000</t>
        </is>
      </c>
      <c r="F11" s="9" t="inlineStr">
        <is>
          <t>2200</t>
        </is>
      </c>
      <c r="G11" s="9" t="inlineStr">
        <is>
          <t>70%</t>
        </is>
      </c>
      <c r="H11" s="9" t="inlineStr">
        <is>
          <t>180초</t>
        </is>
      </c>
      <c r="I11" s="9" t="inlineStr">
        <is>
          <t>120%</t>
        </is>
      </c>
    </row>
    <row r="12">
      <c r="A12" s="8" t="inlineStr">
        <is>
          <t>9</t>
        </is>
      </c>
      <c r="B12" s="8" t="inlineStr">
        <is>
          <t>바람개비</t>
        </is>
      </c>
      <c r="C12" s="8" t="inlineStr">
        <is>
          <t>구름마루</t>
        </is>
      </c>
      <c r="D12" s="8" t="inlineStr">
        <is>
          <t>목재</t>
        </is>
      </c>
      <c r="E12" s="8" t="inlineStr">
        <is>
          <t>80</t>
        </is>
      </c>
      <c r="F12" s="8" t="inlineStr">
        <is>
          <t>160</t>
        </is>
      </c>
      <c r="G12" s="8" t="inlineStr">
        <is>
          <t>15%</t>
        </is>
      </c>
      <c r="H12" s="8" t="inlineStr">
        <is>
          <t>40초</t>
        </is>
      </c>
      <c r="I12" s="8" t="inlineStr">
        <is>
          <t>100%</t>
        </is>
      </c>
    </row>
    <row r="13">
      <c r="A13" s="9" t="inlineStr">
        <is>
          <t>10</t>
        </is>
      </c>
      <c r="B13" s="9" t="inlineStr">
        <is>
          <t>별빛 항구</t>
        </is>
      </c>
      <c r="C13" s="9" t="inlineStr">
        <is>
          <t>동쪽 항구</t>
        </is>
      </c>
      <c r="D13" s="9" t="inlineStr">
        <is>
          <t>비단</t>
        </is>
      </c>
      <c r="E13" s="9" t="inlineStr">
        <is>
          <t>250</t>
        </is>
      </c>
      <c r="F13" s="9" t="inlineStr">
        <is>
          <t>480</t>
        </is>
      </c>
      <c r="G13" s="9" t="inlineStr">
        <is>
          <t>25%</t>
        </is>
      </c>
      <c r="H13" s="9" t="inlineStr">
        <is>
          <t>60초</t>
        </is>
      </c>
      <c r="I13" s="9" t="inlineStr">
        <is>
          <t>92%</t>
        </is>
      </c>
    </row>
  </sheetData>
  <mergeCells count="1">
    <mergeCell ref="A1:I1"/>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0" customWidth="1" min="1" max="1"/>
    <col width="12" customWidth="1" min="2" max="2"/>
    <col width="10" customWidth="1" min="3" max="3"/>
    <col width="8" customWidth="1" min="4" max="4"/>
    <col width="8" customWidth="1" min="5" max="5"/>
    <col width="8" customWidth="1" min="6" max="6"/>
    <col width="10" customWidth="1" min="7" max="7"/>
    <col width="8" customWidth="1" min="8" max="8"/>
  </cols>
  <sheetData>
    <row r="1">
      <c r="A1" s="6" t="inlineStr">
        <is>
          <t>무역 시스템 구현 (v3.0)</t>
        </is>
      </c>
    </row>
    <row r="3">
      <c r="A3" s="7" t="inlineStr">
        <is>
          <t>출발</t>
        </is>
      </c>
      <c r="B3" s="7" t="inlineStr">
        <is>
          <t>도착</t>
        </is>
      </c>
      <c r="C3" s="7" t="inlineStr">
        <is>
          <t>물품</t>
        </is>
      </c>
      <c r="D3" s="7" t="inlineStr">
        <is>
          <t>매입</t>
        </is>
      </c>
      <c r="E3" s="7" t="inlineStr">
        <is>
          <t>매도</t>
        </is>
      </c>
      <c r="F3" s="7" t="inlineStr">
        <is>
          <t>위험</t>
        </is>
      </c>
      <c r="G3" s="7" t="inlineStr">
        <is>
          <t>이동시간</t>
        </is>
      </c>
      <c r="H3" s="7" t="inlineStr">
        <is>
          <t>이윤율</t>
        </is>
      </c>
    </row>
    <row r="4">
      <c r="A4" s="8" t="inlineStr">
        <is>
          <t>바람개비</t>
        </is>
      </c>
      <c r="B4" s="8" t="inlineStr">
        <is>
          <t>별빛 항구</t>
        </is>
      </c>
      <c r="C4" s="8" t="inlineStr">
        <is>
          <t>곡물</t>
        </is>
      </c>
      <c r="D4" s="8" t="inlineStr">
        <is>
          <t>100G</t>
        </is>
      </c>
      <c r="E4" s="8" t="inlineStr">
        <is>
          <t>180G</t>
        </is>
      </c>
      <c r="F4" s="8" t="inlineStr">
        <is>
          <t>10%</t>
        </is>
      </c>
      <c r="G4" s="8" t="inlineStr">
        <is>
          <t>30초</t>
        </is>
      </c>
      <c r="H4" s="8" t="inlineStr">
        <is>
          <t>80%</t>
        </is>
      </c>
    </row>
    <row r="5">
      <c r="A5" s="9" t="inlineStr">
        <is>
          <t>별빛 항구</t>
        </is>
      </c>
      <c r="B5" s="9" t="inlineStr">
        <is>
          <t>달빛 오아시스</t>
        </is>
      </c>
      <c r="C5" s="9" t="inlineStr">
        <is>
          <t>해산물</t>
        </is>
      </c>
      <c r="D5" s="9" t="inlineStr">
        <is>
          <t>150G</t>
        </is>
      </c>
      <c r="E5" s="9" t="inlineStr">
        <is>
          <t>280G</t>
        </is>
      </c>
      <c r="F5" s="9" t="inlineStr">
        <is>
          <t>20%</t>
        </is>
      </c>
      <c r="G5" s="9" t="inlineStr">
        <is>
          <t>45초</t>
        </is>
      </c>
      <c r="H5" s="9" t="inlineStr">
        <is>
          <t>87%</t>
        </is>
      </c>
    </row>
    <row r="6">
      <c r="A6" s="8" t="inlineStr">
        <is>
          <t>달빛 오아시스</t>
        </is>
      </c>
      <c r="B6" s="8" t="inlineStr">
        <is>
          <t>구름마루</t>
        </is>
      </c>
      <c r="C6" s="8" t="inlineStr">
        <is>
          <t>향신료</t>
        </is>
      </c>
      <c r="D6" s="8" t="inlineStr">
        <is>
          <t>200G</t>
        </is>
      </c>
      <c r="E6" s="8" t="inlineStr">
        <is>
          <t>400G</t>
        </is>
      </c>
      <c r="F6" s="8" t="inlineStr">
        <is>
          <t>30%</t>
        </is>
      </c>
      <c r="G6" s="8" t="inlineStr">
        <is>
          <t>60초</t>
        </is>
      </c>
      <c r="H6" s="8" t="inlineStr">
        <is>
          <t>100%</t>
        </is>
      </c>
    </row>
    <row r="7">
      <c r="A7" s="9" t="inlineStr">
        <is>
          <t>구름마루</t>
        </is>
      </c>
      <c r="B7" s="9" t="inlineStr">
        <is>
          <t>신전 마을</t>
        </is>
      </c>
      <c r="C7" s="9" t="inlineStr">
        <is>
          <t>광석</t>
        </is>
      </c>
      <c r="D7" s="9" t="inlineStr">
        <is>
          <t>300G</t>
        </is>
      </c>
      <c r="E7" s="9" t="inlineStr">
        <is>
          <t>550G</t>
        </is>
      </c>
      <c r="F7" s="9" t="inlineStr">
        <is>
          <t>40%</t>
        </is>
      </c>
      <c r="G7" s="9" t="inlineStr">
        <is>
          <t>90초</t>
        </is>
      </c>
      <c r="H7" s="9" t="inlineStr">
        <is>
          <t>83%</t>
        </is>
      </c>
    </row>
    <row r="8">
      <c r="A8" s="8" t="inlineStr">
        <is>
          <t>신전 마을</t>
        </is>
      </c>
      <c r="B8" s="8" t="inlineStr">
        <is>
          <t>사막 시장</t>
        </is>
      </c>
      <c r="C8" s="8" t="inlineStr">
        <is>
          <t>마법 결정</t>
        </is>
      </c>
      <c r="D8" s="8" t="inlineStr">
        <is>
          <t>500G</t>
        </is>
      </c>
      <c r="E8" s="8" t="inlineStr">
        <is>
          <t>1000G</t>
        </is>
      </c>
      <c r="F8" s="8" t="inlineStr">
        <is>
          <t>50%</t>
        </is>
      </c>
      <c r="G8" s="8" t="inlineStr">
        <is>
          <t>120초</t>
        </is>
      </c>
      <c r="H8" s="8" t="inlineStr">
        <is>
          <t>100%</t>
        </is>
      </c>
    </row>
    <row r="9">
      <c r="A9" s="9" t="inlineStr">
        <is>
          <t>사막 시장</t>
        </is>
      </c>
      <c r="B9" s="9" t="inlineStr">
        <is>
          <t>바람개비</t>
        </is>
      </c>
      <c r="C9" s="9" t="inlineStr">
        <is>
          <t>보석</t>
        </is>
      </c>
      <c r="D9" s="9" t="inlineStr">
        <is>
          <t>800G</t>
        </is>
      </c>
      <c r="E9" s="9" t="inlineStr">
        <is>
          <t>1500G</t>
        </is>
      </c>
      <c r="F9" s="9" t="inlineStr">
        <is>
          <t>60%</t>
        </is>
      </c>
      <c r="G9" s="9" t="inlineStr">
        <is>
          <t>150초</t>
        </is>
      </c>
      <c r="H9" s="9" t="inlineStr">
        <is>
          <t>88%</t>
        </is>
      </c>
    </row>
    <row r="10">
      <c r="A10" s="8" t="inlineStr"/>
      <c r="B10" s="8" t="inlineStr"/>
      <c r="C10" s="8" t="inlineStr"/>
      <c r="D10" s="8" t="inlineStr"/>
      <c r="E10" s="8" t="inlineStr"/>
      <c r="F10" s="8" t="inlineStr"/>
      <c r="G10" s="8" t="inlineStr"/>
      <c r="H10" s="8" t="inlineStr"/>
    </row>
    <row r="11">
      <c r="A11" s="9" t="inlineStr">
        <is>
          <t>업그레이드</t>
        </is>
      </c>
      <c r="B11" s="9" t="inlineStr">
        <is>
          <t>마차 확장</t>
        </is>
      </c>
      <c r="C11" s="9" t="inlineStr">
        <is>
          <t>적재+5</t>
        </is>
      </c>
      <c r="D11" s="9" t="inlineStr">
        <is>
          <t>5,000G</t>
        </is>
      </c>
      <c r="E11" s="9" t="inlineStr"/>
      <c r="F11" s="9" t="inlineStr"/>
      <c r="G11" s="9" t="inlineStr"/>
      <c r="H11" s="9" t="inlineStr"/>
    </row>
    <row r="12">
      <c r="A12" s="8" t="inlineStr">
        <is>
          <t>업그레이드</t>
        </is>
      </c>
      <c r="B12" s="8" t="inlineStr">
        <is>
          <t>호위 강화</t>
        </is>
      </c>
      <c r="C12" s="8" t="inlineStr">
        <is>
          <t>방어+15%</t>
        </is>
      </c>
      <c r="D12" s="8" t="inlineStr">
        <is>
          <t>8,000G</t>
        </is>
      </c>
      <c r="E12" s="8" t="inlineStr"/>
      <c r="F12" s="8" t="inlineStr"/>
      <c r="G12" s="8" t="inlineStr"/>
      <c r="H12" s="8" t="inlineStr"/>
    </row>
    <row r="13">
      <c r="A13" s="9" t="inlineStr">
        <is>
          <t>업그레이드</t>
        </is>
      </c>
      <c r="B13" s="9" t="inlineStr">
        <is>
          <t>말 업그레이드</t>
        </is>
      </c>
      <c r="C13" s="9" t="inlineStr">
        <is>
          <t>시간-20%</t>
        </is>
      </c>
      <c r="D13" s="9" t="inlineStr">
        <is>
          <t>10,000G</t>
        </is>
      </c>
      <c r="E13" s="9" t="inlineStr"/>
      <c r="F13" s="9" t="inlineStr"/>
      <c r="G13" s="9" t="inlineStr"/>
      <c r="H13" s="9" t="inlineStr"/>
    </row>
    <row r="14">
      <c r="A14" s="8" t="inlineStr">
        <is>
          <t>업그레이드</t>
        </is>
      </c>
      <c r="B14" s="8" t="inlineStr">
        <is>
          <t>행운 부적</t>
        </is>
      </c>
      <c r="C14" s="8" t="inlineStr">
        <is>
          <t>보너스+10%</t>
        </is>
      </c>
      <c r="D14" s="8" t="inlineStr">
        <is>
          <t>6,000G</t>
        </is>
      </c>
      <c r="E14" s="8" t="inlineStr"/>
      <c r="F14" s="8" t="inlineStr"/>
      <c r="G14" s="8" t="inlineStr"/>
      <c r="H14" s="8" t="inlineStr"/>
    </row>
  </sheetData>
  <mergeCells count="1">
    <mergeCell ref="A1:H1"/>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6" customWidth="1" min="1" max="1"/>
    <col width="18" customWidth="1" min="2" max="2"/>
    <col width="6" customWidth="1" min="3" max="3"/>
    <col width="6" customWidth="1" min="4" max="4"/>
    <col width="6" customWidth="1" min="5" max="5"/>
    <col width="6" customWidth="1" min="6" max="6"/>
    <col width="20" customWidth="1" min="7" max="7"/>
  </cols>
  <sheetData>
    <row r="1">
      <c r="A1" s="6" t="inlineStr">
        <is>
          <t>전체 용병 목록 v3.0 (50종)</t>
        </is>
      </c>
    </row>
    <row r="3">
      <c r="A3" s="7" t="inlineStr">
        <is>
          <t>등급</t>
        </is>
      </c>
      <c r="B3" s="7" t="inlineStr">
        <is>
          <t>이름</t>
        </is>
      </c>
      <c r="C3" s="7" t="inlineStr">
        <is>
          <t>역할</t>
        </is>
      </c>
      <c r="D3" s="7" t="inlineStr">
        <is>
          <t>ATK</t>
        </is>
      </c>
      <c r="E3" s="7" t="inlineStr">
        <is>
          <t>DEF</t>
        </is>
      </c>
      <c r="F3" s="7" t="inlineStr">
        <is>
          <t>HP</t>
        </is>
      </c>
      <c r="G3" s="7" t="inlineStr">
        <is>
          <t>스킬</t>
        </is>
      </c>
    </row>
    <row r="4">
      <c r="A4" s="8" t="inlineStr">
        <is>
          <t>일반</t>
        </is>
      </c>
      <c r="B4" s="8" t="inlineStr">
        <is>
          <t>보병 🗡️</t>
        </is>
      </c>
      <c r="C4" s="8" t="inlineStr">
        <is>
          <t>전사</t>
        </is>
      </c>
      <c r="D4" s="8" t="inlineStr">
        <is>
          <t>12</t>
        </is>
      </c>
      <c r="E4" s="8" t="inlineStr">
        <is>
          <t>10</t>
        </is>
      </c>
      <c r="F4" s="8" t="inlineStr">
        <is>
          <t>120</t>
        </is>
      </c>
      <c r="G4" s="8" t="inlineStr">
        <is>
          <t>강타 1.5배</t>
        </is>
      </c>
    </row>
    <row r="5">
      <c r="A5" s="9" t="inlineStr">
        <is>
          <t>일반</t>
        </is>
      </c>
      <c r="B5" s="9" t="inlineStr">
        <is>
          <t>궁수 🏹</t>
        </is>
      </c>
      <c r="C5" s="9" t="inlineStr">
        <is>
          <t>사수</t>
        </is>
      </c>
      <c r="D5" s="9" t="inlineStr">
        <is>
          <t>14</t>
        </is>
      </c>
      <c r="E5" s="9" t="inlineStr">
        <is>
          <t>5</t>
        </is>
      </c>
      <c r="F5" s="9" t="inlineStr">
        <is>
          <t>80</t>
        </is>
      </c>
      <c r="G5" s="9" t="inlineStr">
        <is>
          <t>연사 ×3</t>
        </is>
      </c>
    </row>
    <row r="6">
      <c r="A6" s="8" t="inlineStr">
        <is>
          <t>일반</t>
        </is>
      </c>
      <c r="B6" s="8" t="inlineStr">
        <is>
          <t>수습 사제 📿</t>
        </is>
      </c>
      <c r="C6" s="8" t="inlineStr">
        <is>
          <t>치유</t>
        </is>
      </c>
      <c r="D6" s="8" t="inlineStr">
        <is>
          <t>6</t>
        </is>
      </c>
      <c r="E6" s="8" t="inlineStr">
        <is>
          <t>6</t>
        </is>
      </c>
      <c r="F6" s="8" t="inlineStr">
        <is>
          <t>90</t>
        </is>
      </c>
      <c r="G6" s="8" t="inlineStr">
        <is>
          <t>치유 HP30</t>
        </is>
      </c>
    </row>
    <row r="7">
      <c r="A7" s="9" t="inlineStr">
        <is>
          <t>고급</t>
        </is>
      </c>
      <c r="B7" s="9" t="inlineStr">
        <is>
          <t>기사 ⚔️</t>
        </is>
      </c>
      <c r="C7" s="9" t="inlineStr">
        <is>
          <t>전사</t>
        </is>
      </c>
      <c r="D7" s="9" t="inlineStr">
        <is>
          <t>18</t>
        </is>
      </c>
      <c r="E7" s="9" t="inlineStr">
        <is>
          <t>16</t>
        </is>
      </c>
      <c r="F7" s="9" t="inlineStr">
        <is>
          <t>180</t>
        </is>
      </c>
      <c r="G7" s="9" t="inlineStr">
        <is>
          <t>돌진 2배+스턴</t>
        </is>
      </c>
    </row>
    <row r="8">
      <c r="A8" s="8" t="inlineStr">
        <is>
          <t>고급</t>
        </is>
      </c>
      <c r="B8" s="8" t="inlineStr">
        <is>
          <t>레인저 🌿</t>
        </is>
      </c>
      <c r="C8" s="8" t="inlineStr">
        <is>
          <t>사수</t>
        </is>
      </c>
      <c r="D8" s="8" t="inlineStr">
        <is>
          <t>20</t>
        </is>
      </c>
      <c r="E8" s="8" t="inlineStr">
        <is>
          <t>8</t>
        </is>
      </c>
      <c r="F8" s="8" t="inlineStr">
        <is>
          <t>100</t>
        </is>
      </c>
      <c r="G8" s="8" t="inlineStr">
        <is>
          <t>독화살 1.2배</t>
        </is>
      </c>
    </row>
    <row r="9">
      <c r="A9" s="9" t="inlineStr">
        <is>
          <t>고급</t>
        </is>
      </c>
      <c r="B9" s="9" t="inlineStr">
        <is>
          <t>마법사 🔮</t>
        </is>
      </c>
      <c r="C9" s="9" t="inlineStr">
        <is>
          <t>마법</t>
        </is>
      </c>
      <c r="D9" s="9" t="inlineStr">
        <is>
          <t>22</t>
        </is>
      </c>
      <c r="E9" s="9" t="inlineStr">
        <is>
          <t>4</t>
        </is>
      </c>
      <c r="F9" s="9" t="inlineStr">
        <is>
          <t>70</t>
        </is>
      </c>
      <c r="G9" s="9" t="inlineStr">
        <is>
          <t>파이어볼 2.5배</t>
        </is>
      </c>
    </row>
    <row r="10">
      <c r="A10" s="8" t="inlineStr">
        <is>
          <t>고급</t>
        </is>
      </c>
      <c r="B10" s="8" t="inlineStr">
        <is>
          <t>광전사 😤</t>
        </is>
      </c>
      <c r="C10" s="8" t="inlineStr">
        <is>
          <t>전사</t>
        </is>
      </c>
      <c r="D10" s="8" t="inlineStr">
        <is>
          <t>24</t>
        </is>
      </c>
      <c r="E10" s="8" t="inlineStr">
        <is>
          <t>4</t>
        </is>
      </c>
      <c r="F10" s="8" t="inlineStr">
        <is>
          <t>130</t>
        </is>
      </c>
      <c r="G10" s="8" t="inlineStr">
        <is>
          <t>분노 3배(자해)</t>
        </is>
      </c>
    </row>
    <row r="11">
      <c r="A11" s="9" t="inlineStr">
        <is>
          <t>고급</t>
        </is>
      </c>
      <c r="B11" s="9" t="inlineStr">
        <is>
          <t>음유시인 🎵</t>
        </is>
      </c>
      <c r="C11" s="9" t="inlineStr">
        <is>
          <t>치유</t>
        </is>
      </c>
      <c r="D11" s="9" t="inlineStr">
        <is>
          <t>8</t>
        </is>
      </c>
      <c r="E11" s="9" t="inlineStr">
        <is>
          <t>7</t>
        </is>
      </c>
      <c r="F11" s="9" t="inlineStr">
        <is>
          <t>95</t>
        </is>
      </c>
      <c r="G11" s="9" t="inlineStr">
        <is>
          <t>아군 ATK+15%</t>
        </is>
      </c>
    </row>
    <row r="12">
      <c r="A12" s="8" t="inlineStr">
        <is>
          <t>희귀</t>
        </is>
      </c>
      <c r="B12" s="8" t="inlineStr">
        <is>
          <t>성기사 ✝️</t>
        </is>
      </c>
      <c r="C12" s="8" t="inlineStr">
        <is>
          <t>전사</t>
        </is>
      </c>
      <c r="D12" s="8" t="inlineStr">
        <is>
          <t>25</t>
        </is>
      </c>
      <c r="E12" s="8" t="inlineStr">
        <is>
          <t>22</t>
        </is>
      </c>
      <c r="F12" s="8" t="inlineStr">
        <is>
          <t>250</t>
        </is>
      </c>
      <c r="G12" s="8" t="inlineStr">
        <is>
          <t>3배+자힐 50</t>
        </is>
      </c>
    </row>
    <row r="13">
      <c r="A13" s="9" t="inlineStr">
        <is>
          <t>희귀</t>
        </is>
      </c>
      <c r="B13" s="9" t="inlineStr">
        <is>
          <t>암살자 🌙</t>
        </is>
      </c>
      <c r="C13" s="9" t="inlineStr">
        <is>
          <t>암살</t>
        </is>
      </c>
      <c r="D13" s="9" t="inlineStr">
        <is>
          <t>30</t>
        </is>
      </c>
      <c r="E13" s="9" t="inlineStr">
        <is>
          <t>6</t>
        </is>
      </c>
      <c r="F13" s="9" t="inlineStr">
        <is>
          <t>90</t>
        </is>
      </c>
      <c r="G13" s="9" t="inlineStr">
        <is>
          <t>확정크리 4배</t>
        </is>
      </c>
    </row>
    <row r="14">
      <c r="A14" s="8" t="inlineStr">
        <is>
          <t>희귀</t>
        </is>
      </c>
      <c r="B14" s="8" t="inlineStr">
        <is>
          <t>사제 💚</t>
        </is>
      </c>
      <c r="C14" s="8" t="inlineStr">
        <is>
          <t>치유</t>
        </is>
      </c>
      <c r="D14" s="8" t="inlineStr">
        <is>
          <t>10</t>
        </is>
      </c>
      <c r="E14" s="8" t="inlineStr">
        <is>
          <t>12</t>
        </is>
      </c>
      <c r="F14" s="8" t="inlineStr">
        <is>
          <t>140</t>
        </is>
      </c>
      <c r="G14" s="8" t="inlineStr">
        <is>
          <t>전체 치유 40</t>
        </is>
      </c>
    </row>
    <row r="15">
      <c r="A15" s="9" t="inlineStr">
        <is>
          <t>희귀</t>
        </is>
      </c>
      <c r="B15" s="9" t="inlineStr">
        <is>
          <t>흑마법사 ☠️</t>
        </is>
      </c>
      <c r="C15" s="9" t="inlineStr">
        <is>
          <t>마법</t>
        </is>
      </c>
      <c r="D15" s="9" t="inlineStr">
        <is>
          <t>28</t>
        </is>
      </c>
      <c r="E15" s="9" t="inlineStr">
        <is>
          <t>5</t>
        </is>
      </c>
      <c r="F15" s="9" t="inlineStr">
        <is>
          <t>85</t>
        </is>
      </c>
      <c r="G15" s="9" t="inlineStr">
        <is>
          <t>2배+ATK감소</t>
        </is>
      </c>
    </row>
    <row r="16">
      <c r="A16" s="8" t="inlineStr">
        <is>
          <t>희귀</t>
        </is>
      </c>
      <c r="B16" s="8" t="inlineStr">
        <is>
          <t>닌자 🥷</t>
        </is>
      </c>
      <c r="C16" s="8" t="inlineStr">
        <is>
          <t>암살</t>
        </is>
      </c>
      <c r="D16" s="8" t="inlineStr">
        <is>
          <t>32</t>
        </is>
      </c>
      <c r="E16" s="8" t="inlineStr">
        <is>
          <t>5</t>
        </is>
      </c>
      <c r="F16" s="8" t="inlineStr">
        <is>
          <t>85</t>
        </is>
      </c>
      <c r="G16" s="8" t="inlineStr">
        <is>
          <t>분신 2체</t>
        </is>
      </c>
    </row>
    <row r="17">
      <c r="A17" s="9" t="inlineStr">
        <is>
          <t>희귀</t>
        </is>
      </c>
      <c r="B17" s="9" t="inlineStr">
        <is>
          <t>강령술사 💀</t>
        </is>
      </c>
      <c r="C17" s="9" t="inlineStr">
        <is>
          <t>마법</t>
        </is>
      </c>
      <c r="D17" s="9" t="inlineStr">
        <is>
          <t>26</t>
        </is>
      </c>
      <c r="E17" s="9" t="inlineStr">
        <is>
          <t>7</t>
        </is>
      </c>
      <c r="F17" s="9" t="inlineStr">
        <is>
          <t>100</t>
        </is>
      </c>
      <c r="G17" s="9" t="inlineStr">
        <is>
          <t>해골 4체</t>
        </is>
      </c>
    </row>
    <row r="18">
      <c r="A18" s="8" t="inlineStr">
        <is>
          <t>희귀</t>
        </is>
      </c>
      <c r="B18" s="8" t="inlineStr">
        <is>
          <t>발키리 🦢</t>
        </is>
      </c>
      <c r="C18" s="8" t="inlineStr">
        <is>
          <t>전사</t>
        </is>
      </c>
      <c r="D18" s="8" t="inlineStr">
        <is>
          <t>28</t>
        </is>
      </c>
      <c r="E18" s="8" t="inlineStr">
        <is>
          <t>16</t>
        </is>
      </c>
      <c r="F18" s="8" t="inlineStr">
        <is>
          <t>180</t>
        </is>
      </c>
      <c r="G18" s="8" t="inlineStr">
        <is>
          <t>관통 3.5배</t>
        </is>
      </c>
    </row>
    <row r="19">
      <c r="A19" s="9" t="inlineStr">
        <is>
          <t>영웅</t>
        </is>
      </c>
      <c r="B19" s="9" t="inlineStr">
        <is>
          <t>드래곤나이트 🐲</t>
        </is>
      </c>
      <c r="C19" s="9" t="inlineStr">
        <is>
          <t>전사</t>
        </is>
      </c>
      <c r="D19" s="9" t="inlineStr">
        <is>
          <t>40</t>
        </is>
      </c>
      <c r="E19" s="9" t="inlineStr">
        <is>
          <t>30</t>
        </is>
      </c>
      <c r="F19" s="9" t="inlineStr">
        <is>
          <t>400</t>
        </is>
      </c>
      <c r="G19" s="9" t="inlineStr">
        <is>
          <t>브레스 광역5배</t>
        </is>
      </c>
    </row>
    <row r="20">
      <c r="A20" s="8" t="inlineStr">
        <is>
          <t>영웅</t>
        </is>
      </c>
      <c r="B20" s="8" t="inlineStr">
        <is>
          <t>대마법사 🌟</t>
        </is>
      </c>
      <c r="C20" s="8" t="inlineStr">
        <is>
          <t>마법</t>
        </is>
      </c>
      <c r="D20" s="8" t="inlineStr">
        <is>
          <t>45</t>
        </is>
      </c>
      <c r="E20" s="8" t="inlineStr">
        <is>
          <t>8</t>
        </is>
      </c>
      <c r="F20" s="8" t="inlineStr">
        <is>
          <t>150</t>
        </is>
      </c>
      <c r="G20" s="8" t="inlineStr">
        <is>
          <t>메테오 6배</t>
        </is>
      </c>
    </row>
    <row r="21">
      <c r="A21" s="9" t="inlineStr">
        <is>
          <t>영웅</t>
        </is>
      </c>
      <c r="B21" s="9" t="inlineStr">
        <is>
          <t>그림자 군주 🌑</t>
        </is>
      </c>
      <c r="C21" s="9" t="inlineStr">
        <is>
          <t>암살</t>
        </is>
      </c>
      <c r="D21" s="9" t="inlineStr">
        <is>
          <t>42</t>
        </is>
      </c>
      <c r="E21" s="9" t="inlineStr">
        <is>
          <t>15</t>
        </is>
      </c>
      <c r="F21" s="9" t="inlineStr">
        <is>
          <t>200</t>
        </is>
      </c>
      <c r="G21" s="9" t="inlineStr">
        <is>
          <t>분신 2체</t>
        </is>
      </c>
    </row>
    <row r="22">
      <c r="A22" s="8" t="inlineStr">
        <is>
          <t>영웅</t>
        </is>
      </c>
      <c r="B22" s="8" t="inlineStr">
        <is>
          <t>불사조 기사 🔥</t>
        </is>
      </c>
      <c r="C22" s="8" t="inlineStr">
        <is>
          <t>전사</t>
        </is>
      </c>
      <c r="D22" s="8" t="inlineStr">
        <is>
          <t>38</t>
        </is>
      </c>
      <c r="E22" s="8" t="inlineStr">
        <is>
          <t>20</t>
        </is>
      </c>
      <c r="F22" s="8" t="inlineStr">
        <is>
          <t>350</t>
        </is>
      </c>
      <c r="G22" s="8" t="inlineStr">
        <is>
          <t>사망 시 부활</t>
        </is>
      </c>
    </row>
    <row r="23">
      <c r="A23" s="9" t="inlineStr">
        <is>
          <t>영웅</t>
        </is>
      </c>
      <c r="B23" s="9" t="inlineStr">
        <is>
          <t>서리 여왕 ❄️</t>
        </is>
      </c>
      <c r="C23" s="9" t="inlineStr">
        <is>
          <t>마법</t>
        </is>
      </c>
      <c r="D23" s="9" t="inlineStr">
        <is>
          <t>44</t>
        </is>
      </c>
      <c r="E23" s="9" t="inlineStr">
        <is>
          <t>12</t>
        </is>
      </c>
      <c r="F23" s="9" t="inlineStr">
        <is>
          <t>180</t>
        </is>
      </c>
      <c r="G23" s="9" t="inlineStr">
        <is>
          <t>전체빙결 5.5배</t>
        </is>
      </c>
    </row>
    <row r="24">
      <c r="A24" s="8" t="inlineStr">
        <is>
          <t>전설</t>
        </is>
      </c>
      <c r="B24" s="8" t="inlineStr">
        <is>
          <t>죽음의 기사 💀</t>
        </is>
      </c>
      <c r="C24" s="8" t="inlineStr">
        <is>
          <t>전사</t>
        </is>
      </c>
      <c r="D24" s="8" t="inlineStr">
        <is>
          <t>55</t>
        </is>
      </c>
      <c r="E24" s="8" t="inlineStr">
        <is>
          <t>35</t>
        </is>
      </c>
      <c r="F24" s="8" t="inlineStr">
        <is>
          <t>500</t>
        </is>
      </c>
      <c r="G24" s="8" t="inlineStr">
        <is>
          <t>해골5체+3배</t>
        </is>
      </c>
    </row>
    <row r="25">
      <c r="A25" s="9" t="inlineStr">
        <is>
          <t>전설</t>
        </is>
      </c>
      <c r="B25" s="9" t="inlineStr">
        <is>
          <t>세라핌 👼</t>
        </is>
      </c>
      <c r="C25" s="9" t="inlineStr">
        <is>
          <t>치유</t>
        </is>
      </c>
      <c r="D25" s="9" t="inlineStr">
        <is>
          <t>35</t>
        </is>
      </c>
      <c r="E25" s="9" t="inlineStr">
        <is>
          <t>25</t>
        </is>
      </c>
      <c r="F25" s="9" t="inlineStr">
        <is>
          <t>400</t>
        </is>
      </c>
      <c r="G25" s="9" t="inlineStr">
        <is>
          <t>아군 부활</t>
        </is>
      </c>
    </row>
    <row r="26">
      <c r="A26" s="8" t="inlineStr">
        <is>
          <t>전설</t>
        </is>
      </c>
      <c r="B26" s="8" t="inlineStr">
        <is>
          <t>천상의 기사 ✨</t>
        </is>
      </c>
      <c r="C26" s="8" t="inlineStr">
        <is>
          <t>전사</t>
        </is>
      </c>
      <c r="D26" s="8" t="inlineStr">
        <is>
          <t>60</t>
        </is>
      </c>
      <c r="E26" s="8" t="inlineStr">
        <is>
          <t>40</t>
        </is>
      </c>
      <c r="F26" s="8" t="inlineStr">
        <is>
          <t>550</t>
        </is>
      </c>
      <c r="G26" s="8" t="inlineStr">
        <is>
          <t>7배+아군힐</t>
        </is>
      </c>
    </row>
    <row r="27">
      <c r="A27" s="9" t="inlineStr">
        <is>
          <t>신화</t>
        </is>
      </c>
      <c r="B27" s="9" t="inlineStr">
        <is>
          <t>용왕 바하무트 🐲</t>
        </is>
      </c>
      <c r="C27" s="9" t="inlineStr">
        <is>
          <t>전사</t>
        </is>
      </c>
      <c r="D27" s="9" t="inlineStr">
        <is>
          <t>100</t>
        </is>
      </c>
      <c r="E27" s="9" t="inlineStr">
        <is>
          <t>60</t>
        </is>
      </c>
      <c r="F27" s="9" t="inlineStr">
        <is>
          <t>1000</t>
        </is>
      </c>
      <c r="G27" s="9" t="inlineStr">
        <is>
          <t>전체 10배!</t>
        </is>
      </c>
    </row>
    <row r="28">
      <c r="A28" s="8" t="inlineStr">
        <is>
          <t>신화</t>
        </is>
      </c>
      <c r="B28" s="8" t="inlineStr">
        <is>
          <t>전쟁의 신 ⚡</t>
        </is>
      </c>
      <c r="C28" s="8" t="inlineStr">
        <is>
          <t>전사</t>
        </is>
      </c>
      <c r="D28" s="8" t="inlineStr">
        <is>
          <t>90</t>
        </is>
      </c>
      <c r="E28" s="8" t="inlineStr">
        <is>
          <t>50</t>
        </is>
      </c>
      <c r="F28" s="8" t="inlineStr">
        <is>
          <t>800</t>
        </is>
      </c>
      <c r="G28" s="8" t="inlineStr">
        <is>
          <t>전체 8배+스턴</t>
        </is>
      </c>
    </row>
    <row r="29">
      <c r="A29" s="9" t="inlineStr">
        <is>
          <t>일반</t>
        </is>
      </c>
      <c r="B29" s="9" t="inlineStr">
        <is>
          <t>창병 🔱</t>
        </is>
      </c>
      <c r="C29" s="9" t="inlineStr">
        <is>
          <t>전사</t>
        </is>
      </c>
      <c r="D29" s="9" t="inlineStr">
        <is>
          <t>11</t>
        </is>
      </c>
      <c r="E29" s="9" t="inlineStr">
        <is>
          <t>12</t>
        </is>
      </c>
      <c r="F29" s="9" t="inlineStr">
        <is>
          <t>130</t>
        </is>
      </c>
      <c r="G29" s="9" t="inlineStr">
        <is>
          <t>찌르기 1.8배</t>
        </is>
      </c>
    </row>
    <row r="30">
      <c r="A30" s="8" t="inlineStr">
        <is>
          <t>일반</t>
        </is>
      </c>
      <c r="B30" s="8" t="inlineStr">
        <is>
          <t>수도승 🙏</t>
        </is>
      </c>
      <c r="C30" s="8" t="inlineStr">
        <is>
          <t>전사</t>
        </is>
      </c>
      <c r="D30" s="8" t="inlineStr">
        <is>
          <t>13</t>
        </is>
      </c>
      <c r="E30" s="8" t="inlineStr">
        <is>
          <t>8</t>
        </is>
      </c>
      <c r="F30" s="8" t="inlineStr">
        <is>
          <t>110</t>
        </is>
      </c>
      <c r="G30" s="8" t="inlineStr">
        <is>
          <t>연타 ×4</t>
        </is>
      </c>
    </row>
    <row r="31">
      <c r="A31" s="9" t="inlineStr">
        <is>
          <t>일반</t>
        </is>
      </c>
      <c r="B31" s="9" t="inlineStr">
        <is>
          <t>도둑 💰</t>
        </is>
      </c>
      <c r="C31" s="9" t="inlineStr">
        <is>
          <t>암살</t>
        </is>
      </c>
      <c r="D31" s="9" t="inlineStr">
        <is>
          <t>10</t>
        </is>
      </c>
      <c r="E31" s="9" t="inlineStr">
        <is>
          <t>3</t>
        </is>
      </c>
      <c r="F31" s="9" t="inlineStr">
        <is>
          <t>65</t>
        </is>
      </c>
      <c r="G31" s="9" t="inlineStr">
        <is>
          <t>골드 50 훔침</t>
        </is>
      </c>
    </row>
    <row r="32">
      <c r="A32" s="8" t="inlineStr">
        <is>
          <t>고급</t>
        </is>
      </c>
      <c r="B32" s="8" t="inlineStr">
        <is>
          <t>기마병 🐴</t>
        </is>
      </c>
      <c r="C32" s="8" t="inlineStr">
        <is>
          <t>전사</t>
        </is>
      </c>
      <c r="D32" s="8" t="inlineStr">
        <is>
          <t>20</t>
        </is>
      </c>
      <c r="E32" s="8" t="inlineStr">
        <is>
          <t>10</t>
        </is>
      </c>
      <c r="F32" s="8" t="inlineStr">
        <is>
          <t>160</t>
        </is>
      </c>
      <c r="G32" s="8" t="inlineStr">
        <is>
          <t>돌격 2.5배</t>
        </is>
      </c>
    </row>
    <row r="33">
      <c r="A33" s="9" t="inlineStr">
        <is>
          <t>고급</t>
        </is>
      </c>
      <c r="B33" s="9" t="inlineStr">
        <is>
          <t>석궁병 🏹</t>
        </is>
      </c>
      <c r="C33" s="9" t="inlineStr">
        <is>
          <t>사수</t>
        </is>
      </c>
      <c r="D33" s="9" t="inlineStr">
        <is>
          <t>22</t>
        </is>
      </c>
      <c r="E33" s="9" t="inlineStr">
        <is>
          <t>6</t>
        </is>
      </c>
      <c r="F33" s="9" t="inlineStr">
        <is>
          <t>85</t>
        </is>
      </c>
      <c r="G33" s="9" t="inlineStr">
        <is>
          <t>관통 3배</t>
        </is>
      </c>
    </row>
    <row r="34">
      <c r="A34" s="8" t="inlineStr">
        <is>
          <t>고급</t>
        </is>
      </c>
      <c r="B34" s="8" t="inlineStr">
        <is>
          <t>주술사 🪬</t>
        </is>
      </c>
      <c r="C34" s="8" t="inlineStr">
        <is>
          <t>마법</t>
        </is>
      </c>
      <c r="D34" s="8" t="inlineStr">
        <is>
          <t>18</t>
        </is>
      </c>
      <c r="E34" s="8" t="inlineStr">
        <is>
          <t>5</t>
        </is>
      </c>
      <c r="F34" s="8" t="inlineStr">
        <is>
          <t>80</t>
        </is>
      </c>
      <c r="G34" s="8" t="inlineStr">
        <is>
          <t>적 DEF-30%</t>
        </is>
      </c>
    </row>
    <row r="35">
      <c r="A35" s="9" t="inlineStr">
        <is>
          <t>고급</t>
        </is>
      </c>
      <c r="B35" s="9" t="inlineStr">
        <is>
          <t>무희 💃</t>
        </is>
      </c>
      <c r="C35" s="9" t="inlineStr">
        <is>
          <t>치유</t>
        </is>
      </c>
      <c r="D35" s="9" t="inlineStr">
        <is>
          <t>8</t>
        </is>
      </c>
      <c r="E35" s="9" t="inlineStr">
        <is>
          <t>6</t>
        </is>
      </c>
      <c r="F35" s="9" t="inlineStr">
        <is>
          <t>90</t>
        </is>
      </c>
      <c r="G35" s="9" t="inlineStr">
        <is>
          <t>아군 SPD+20%</t>
        </is>
      </c>
    </row>
    <row r="36">
      <c r="A36" s="8" t="inlineStr">
        <is>
          <t>희귀</t>
        </is>
      </c>
      <c r="B36" s="8" t="inlineStr">
        <is>
          <t>사무라이 ⚔️</t>
        </is>
      </c>
      <c r="C36" s="8" t="inlineStr">
        <is>
          <t>전사</t>
        </is>
      </c>
      <c r="D36" s="8" t="inlineStr">
        <is>
          <t>30</t>
        </is>
      </c>
      <c r="E36" s="8" t="inlineStr">
        <is>
          <t>14</t>
        </is>
      </c>
      <c r="F36" s="8" t="inlineStr">
        <is>
          <t>190</t>
        </is>
      </c>
      <c r="G36" s="8" t="inlineStr">
        <is>
          <t>확정크리 4.5배</t>
        </is>
      </c>
    </row>
    <row r="37">
      <c r="A37" s="9" t="inlineStr">
        <is>
          <t>희귀</t>
        </is>
      </c>
      <c r="B37" s="9" t="inlineStr">
        <is>
          <t>저격수 🎯</t>
        </is>
      </c>
      <c r="C37" s="9" t="inlineStr">
        <is>
          <t>사수</t>
        </is>
      </c>
      <c r="D37" s="9" t="inlineStr">
        <is>
          <t>35</t>
        </is>
      </c>
      <c r="E37" s="9" t="inlineStr">
        <is>
          <t>3</t>
        </is>
      </c>
      <c r="F37" s="9" t="inlineStr">
        <is>
          <t>70</t>
        </is>
      </c>
      <c r="G37" s="9" t="inlineStr">
        <is>
          <t>헤드샷 6배!</t>
        </is>
      </c>
    </row>
    <row r="38">
      <c r="A38" s="8" t="inlineStr">
        <is>
          <t>희귀</t>
        </is>
      </c>
      <c r="B38" s="8" t="inlineStr">
        <is>
          <t>드루이드 🌿</t>
        </is>
      </c>
      <c r="C38" s="8" t="inlineStr">
        <is>
          <t>치유</t>
        </is>
      </c>
      <c r="D38" s="8" t="inlineStr">
        <is>
          <t>14</t>
        </is>
      </c>
      <c r="E38" s="8" t="inlineStr">
        <is>
          <t>10</t>
        </is>
      </c>
      <c r="F38" s="8" t="inlineStr">
        <is>
          <t>150</t>
        </is>
      </c>
      <c r="G38" s="8" t="inlineStr">
        <is>
          <t>전체 50+재생</t>
        </is>
      </c>
    </row>
    <row r="39">
      <c r="A39" s="9" t="inlineStr">
        <is>
          <t>희귀</t>
        </is>
      </c>
      <c r="B39" s="9" t="inlineStr">
        <is>
          <t>화염술사 🔥</t>
        </is>
      </c>
      <c r="C39" s="9" t="inlineStr">
        <is>
          <t>마법</t>
        </is>
      </c>
      <c r="D39" s="9" t="inlineStr">
        <is>
          <t>32</t>
        </is>
      </c>
      <c r="E39" s="9" t="inlineStr">
        <is>
          <t>4</t>
        </is>
      </c>
      <c r="F39" s="9" t="inlineStr">
        <is>
          <t>75</t>
        </is>
      </c>
      <c r="G39" s="9" t="inlineStr">
        <is>
          <t>광역 3.5배+화상</t>
        </is>
      </c>
    </row>
    <row r="40">
      <c r="A40" s="8" t="inlineStr">
        <is>
          <t>영웅</t>
        </is>
      </c>
      <c r="B40" s="8" t="inlineStr">
        <is>
          <t>마왕 👿</t>
        </is>
      </c>
      <c r="C40" s="8" t="inlineStr">
        <is>
          <t>마법</t>
        </is>
      </c>
      <c r="D40" s="8" t="inlineStr">
        <is>
          <t>48</t>
        </is>
      </c>
      <c r="E40" s="8" t="inlineStr">
        <is>
          <t>18</t>
        </is>
      </c>
      <c r="F40" s="8" t="inlineStr">
        <is>
          <t>280</t>
        </is>
      </c>
      <c r="G40" s="8" t="inlineStr">
        <is>
          <t>광역 6배 암흑</t>
        </is>
      </c>
    </row>
    <row r="41">
      <c r="A41" s="9" t="inlineStr">
        <is>
          <t>영웅</t>
        </is>
      </c>
      <c r="B41" s="9" t="inlineStr">
        <is>
          <t>수호천사 😇</t>
        </is>
      </c>
      <c r="C41" s="9" t="inlineStr">
        <is>
          <t>치유</t>
        </is>
      </c>
      <c r="D41" s="9" t="inlineStr">
        <is>
          <t>20</t>
        </is>
      </c>
      <c r="E41" s="9" t="inlineStr">
        <is>
          <t>25</t>
        </is>
      </c>
      <c r="F41" s="9" t="inlineStr">
        <is>
          <t>320</t>
        </is>
      </c>
      <c r="G41" s="9" t="inlineStr">
        <is>
          <t>전체 80힐+보호막</t>
        </is>
      </c>
    </row>
    <row r="42">
      <c r="A42" s="8" t="inlineStr">
        <is>
          <t>영웅</t>
        </is>
      </c>
      <c r="B42" s="8" t="inlineStr">
        <is>
          <t>검성 🗡️</t>
        </is>
      </c>
      <c r="C42" s="8" t="inlineStr">
        <is>
          <t>전사</t>
        </is>
      </c>
      <c r="D42" s="8" t="inlineStr">
        <is>
          <t>46</t>
        </is>
      </c>
      <c r="E42" s="8" t="inlineStr">
        <is>
          <t>16</t>
        </is>
      </c>
      <c r="F42" s="8" t="inlineStr">
        <is>
          <t>260</t>
        </is>
      </c>
      <c r="G42" s="8" t="inlineStr">
        <is>
          <t>5연참 3배</t>
        </is>
      </c>
    </row>
    <row r="43">
      <c r="A43" s="9" t="inlineStr">
        <is>
          <t>전설</t>
        </is>
      </c>
      <c r="B43" s="9" t="inlineStr">
        <is>
          <t>세계수 정령 🌳</t>
        </is>
      </c>
      <c r="C43" s="9" t="inlineStr">
        <is>
          <t>치유</t>
        </is>
      </c>
      <c r="D43" s="9" t="inlineStr">
        <is>
          <t>25</t>
        </is>
      </c>
      <c r="E43" s="9" t="inlineStr">
        <is>
          <t>30</t>
        </is>
      </c>
      <c r="F43" s="9" t="inlineStr">
        <is>
          <t>600</t>
        </is>
      </c>
      <c r="G43" s="9" t="inlineStr">
        <is>
          <t>전체 150힐+부활</t>
        </is>
      </c>
    </row>
    <row r="44">
      <c r="A44" s="8" t="inlineStr">
        <is>
          <t>전설</t>
        </is>
      </c>
      <c r="B44" s="8" t="inlineStr">
        <is>
          <t>공허의 왕 🌀</t>
        </is>
      </c>
      <c r="C44" s="8" t="inlineStr">
        <is>
          <t>마법</t>
        </is>
      </c>
      <c r="D44" s="8" t="inlineStr">
        <is>
          <t>65</t>
        </is>
      </c>
      <c r="E44" s="8" t="inlineStr">
        <is>
          <t>20</t>
        </is>
      </c>
      <c r="F44" s="8" t="inlineStr">
        <is>
          <t>400</t>
        </is>
      </c>
      <c r="G44" s="8" t="inlineStr">
        <is>
          <t>전체 8배 공허</t>
        </is>
      </c>
    </row>
    <row r="45">
      <c r="A45" s="9" t="inlineStr">
        <is>
          <t>일반</t>
        </is>
      </c>
      <c r="B45" s="9" t="inlineStr">
        <is>
          <t>농부 전사 🌾</t>
        </is>
      </c>
      <c r="C45" s="9" t="inlineStr">
        <is>
          <t>전사</t>
        </is>
      </c>
      <c r="D45" s="9" t="inlineStr">
        <is>
          <t>9</t>
        </is>
      </c>
      <c r="E45" s="9" t="inlineStr">
        <is>
          <t>11</t>
        </is>
      </c>
      <c r="F45" s="9" t="inlineStr">
        <is>
          <t>140</t>
        </is>
      </c>
      <c r="G45" s="9" t="inlineStr">
        <is>
          <t>광역 1.6배</t>
        </is>
      </c>
    </row>
    <row r="46">
      <c r="A46" s="8" t="inlineStr">
        <is>
          <t>고급</t>
        </is>
      </c>
      <c r="B46" s="8" t="inlineStr">
        <is>
          <t>해적 🏴‍☠️</t>
        </is>
      </c>
      <c r="C46" s="8" t="inlineStr">
        <is>
          <t>암살</t>
        </is>
      </c>
      <c r="D46" s="8" t="inlineStr">
        <is>
          <t>19</t>
        </is>
      </c>
      <c r="E46" s="8" t="inlineStr">
        <is>
          <t>7</t>
        </is>
      </c>
      <c r="F46" s="8" t="inlineStr">
        <is>
          <t>110</t>
        </is>
      </c>
      <c r="G46" s="8" t="inlineStr">
        <is>
          <t>2배+골드30</t>
        </is>
      </c>
    </row>
    <row r="47">
      <c r="A47" s="9" t="inlineStr">
        <is>
          <t>고급</t>
        </is>
      </c>
      <c r="B47" s="9" t="inlineStr">
        <is>
          <t>성전사 ⛪</t>
        </is>
      </c>
      <c r="C47" s="9" t="inlineStr">
        <is>
          <t>전사</t>
        </is>
      </c>
      <c r="D47" s="9" t="inlineStr">
        <is>
          <t>16</t>
        </is>
      </c>
      <c r="E47" s="9" t="inlineStr">
        <is>
          <t>15</t>
        </is>
      </c>
      <c r="F47" s="9" t="inlineStr">
        <is>
          <t>170</t>
        </is>
      </c>
      <c r="G47" s="9" t="inlineStr">
        <is>
          <t>2.2배+자힐</t>
        </is>
      </c>
    </row>
    <row r="48">
      <c r="A48" s="8" t="inlineStr">
        <is>
          <t>희귀</t>
        </is>
      </c>
      <c r="B48" s="8" t="inlineStr">
        <is>
          <t>연금술사 ⚗️</t>
        </is>
      </c>
      <c r="C48" s="8" t="inlineStr">
        <is>
          <t>치유</t>
        </is>
      </c>
      <c r="D48" s="8" t="inlineStr">
        <is>
          <t>16</t>
        </is>
      </c>
      <c r="E48" s="8" t="inlineStr">
        <is>
          <t>8</t>
        </is>
      </c>
      <c r="F48" s="8" t="inlineStr">
        <is>
          <t>110</t>
        </is>
      </c>
      <c r="G48" s="8" t="inlineStr">
        <is>
          <t>전체힐+ATK↑</t>
        </is>
      </c>
    </row>
    <row r="49">
      <c r="A49" s="9" t="inlineStr">
        <is>
          <t>희귀</t>
        </is>
      </c>
      <c r="B49" s="9" t="inlineStr">
        <is>
          <t>맹수 조련사 🦁</t>
        </is>
      </c>
      <c r="C49" s="9" t="inlineStr">
        <is>
          <t>전사</t>
        </is>
      </c>
      <c r="D49" s="9" t="inlineStr">
        <is>
          <t>27</t>
        </is>
      </c>
      <c r="E49" s="9" t="inlineStr">
        <is>
          <t>10</t>
        </is>
      </c>
      <c r="F49" s="9" t="inlineStr">
        <is>
          <t>160</t>
        </is>
      </c>
      <c r="G49" s="9" t="inlineStr">
        <is>
          <t>맹수3+1.5배</t>
        </is>
      </c>
    </row>
    <row r="50">
      <c r="A50" s="8" t="inlineStr">
        <is>
          <t>영웅</t>
        </is>
      </c>
      <c r="B50" s="8" t="inlineStr">
        <is>
          <t>시간 마법사 ⏳</t>
        </is>
      </c>
      <c r="C50" s="8" t="inlineStr">
        <is>
          <t>마법</t>
        </is>
      </c>
      <c r="D50" s="8" t="inlineStr">
        <is>
          <t>42</t>
        </is>
      </c>
      <c r="E50" s="8" t="inlineStr">
        <is>
          <t>10</t>
        </is>
      </c>
      <c r="F50" s="8" t="inlineStr">
        <is>
          <t>170</t>
        </is>
      </c>
      <c r="G50" s="8" t="inlineStr">
        <is>
          <t>전체 4초 정지!</t>
        </is>
      </c>
    </row>
    <row r="51">
      <c r="A51" s="9" t="inlineStr">
        <is>
          <t>전설</t>
        </is>
      </c>
      <c r="B51" s="9" t="inlineStr">
        <is>
          <t>혼돈의 군주 🌀</t>
        </is>
      </c>
      <c r="C51" s="9" t="inlineStr">
        <is>
          <t>마법</t>
        </is>
      </c>
      <c r="D51" s="9" t="inlineStr">
        <is>
          <t>62</t>
        </is>
      </c>
      <c r="E51" s="9" t="inlineStr">
        <is>
          <t>22</t>
        </is>
      </c>
      <c r="F51" s="9" t="inlineStr">
        <is>
          <t>420</t>
        </is>
      </c>
      <c r="G51" s="9" t="inlineStr">
        <is>
          <t>7.5배+전스탯↓</t>
        </is>
      </c>
    </row>
    <row r="52">
      <c r="A52" s="8" t="inlineStr">
        <is>
          <t>신화</t>
        </is>
      </c>
      <c r="B52" s="8" t="inlineStr">
        <is>
          <t>세계의 끝 💀</t>
        </is>
      </c>
      <c r="C52" s="8" t="inlineStr">
        <is>
          <t>전사</t>
        </is>
      </c>
      <c r="D52" s="8" t="inlineStr">
        <is>
          <t>95</t>
        </is>
      </c>
      <c r="E52" s="8" t="inlineStr">
        <is>
          <t>55</t>
        </is>
      </c>
      <c r="F52" s="8" t="inlineStr">
        <is>
          <t>900</t>
        </is>
      </c>
      <c r="G52" s="8" t="inlineStr">
        <is>
          <t>전체 12배!!!</t>
        </is>
      </c>
    </row>
  </sheetData>
  <mergeCells count="1">
    <mergeCell ref="A1:G1"/>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0" customWidth="1" min="1" max="1"/>
    <col width="16" customWidth="1" min="2" max="2"/>
    <col width="3" customWidth="1" min="3" max="3"/>
    <col width="16" customWidth="1" min="4" max="4"/>
    <col width="14" customWidth="1" min="5" max="5"/>
    <col width="16" customWidth="1" min="6" max="6"/>
    <col width="10" customWidth="1" min="7" max="7"/>
    <col width="16" customWidth="1" min="8" max="8"/>
  </cols>
  <sheetData>
    <row r="1">
      <c r="A1" s="6" t="inlineStr">
        <is>
          <t>진화 트리 다이어그램</t>
        </is>
      </c>
    </row>
    <row r="3">
      <c r="A3" s="7" t="inlineStr">
        <is>
          <t>경로</t>
        </is>
      </c>
      <c r="B3" s="7" t="inlineStr">
        <is>
          <t>단계 1</t>
        </is>
      </c>
      <c r="C3" s="7" t="inlineStr">
        <is>
          <t>→</t>
        </is>
      </c>
      <c r="D3" s="7" t="inlineStr">
        <is>
          <t>단계 2</t>
        </is>
      </c>
      <c r="E3" s="7" t="inlineStr">
        <is>
          <t>→</t>
        </is>
      </c>
      <c r="F3" s="7" t="inlineStr">
        <is>
          <t>단계 3</t>
        </is>
      </c>
      <c r="G3" s="7" t="inlineStr">
        <is>
          <t>→</t>
        </is>
      </c>
      <c r="H3" s="7" t="inlineStr">
        <is>
          <t>최종</t>
        </is>
      </c>
    </row>
    <row r="4">
      <c r="A4" s="8" t="inlineStr">
        <is>
          <t>전사 계열</t>
        </is>
      </c>
      <c r="B4" s="8" t="inlineStr">
        <is>
          <t>🗡️ 보병 ×3</t>
        </is>
      </c>
      <c r="C4" s="8" t="inlineStr">
        <is>
          <t>→</t>
        </is>
      </c>
      <c r="D4" s="8" t="inlineStr">
        <is>
          <t>⚔️ 기사</t>
        </is>
      </c>
      <c r="E4" s="8" t="inlineStr">
        <is>
          <t>+ 📿 사제 →</t>
        </is>
      </c>
      <c r="F4" s="8" t="inlineStr">
        <is>
          <t>✝️ 성기사</t>
        </is>
      </c>
      <c r="G4" s="8" t="inlineStr">
        <is>
          <t>+ 🐲 용알 →</t>
        </is>
      </c>
      <c r="H4" s="8" t="inlineStr">
        <is>
          <t>🐲 드래곤나이트</t>
        </is>
      </c>
    </row>
    <row r="5">
      <c r="A5" s="9" t="inlineStr">
        <is>
          <t>마법 계열</t>
        </is>
      </c>
      <c r="B5" s="9" t="inlineStr">
        <is>
          <t>🔮 마법사 ×2</t>
        </is>
      </c>
      <c r="C5" s="9" t="inlineStr">
        <is>
          <t>→</t>
        </is>
      </c>
      <c r="D5" s="9" t="inlineStr">
        <is>
          <t>☠️ 흑마법사</t>
        </is>
      </c>
      <c r="E5" s="9" t="inlineStr">
        <is>
          <t>+ 🌑 그림자 →</t>
        </is>
      </c>
      <c r="F5" s="9" t="inlineStr">
        <is>
          <t>💀 죽음의 기사</t>
        </is>
      </c>
      <c r="G5" s="9" t="inlineStr"/>
      <c r="H5" s="9" t="inlineStr"/>
    </row>
    <row r="6">
      <c r="A6" s="8" t="inlineStr">
        <is>
          <t>빙결 계열</t>
        </is>
      </c>
      <c r="B6" s="8" t="inlineStr">
        <is>
          <t>🔮 마법사 ×2 + ☠️ 흑마</t>
        </is>
      </c>
      <c r="C6" s="8" t="inlineStr">
        <is>
          <t>→</t>
        </is>
      </c>
      <c r="D6" s="8" t="inlineStr">
        <is>
          <t>❄️ 서리 여왕</t>
        </is>
      </c>
      <c r="E6" s="8" t="inlineStr"/>
      <c r="F6" s="8" t="inlineStr"/>
      <c r="G6" s="8" t="inlineStr"/>
      <c r="H6" s="8" t="inlineStr"/>
    </row>
    <row r="7">
      <c r="A7" s="9" t="inlineStr">
        <is>
          <t>암살 계열</t>
        </is>
      </c>
      <c r="B7" s="9" t="inlineStr">
        <is>
          <t>🗡️ 도적 + 🌿 레인저</t>
        </is>
      </c>
      <c r="C7" s="9" t="inlineStr">
        <is>
          <t>→</t>
        </is>
      </c>
      <c r="D7" s="9" t="inlineStr">
        <is>
          <t>🥷 닌자</t>
        </is>
      </c>
      <c r="E7" s="9" t="inlineStr"/>
      <c r="F7" s="9" t="inlineStr"/>
      <c r="G7" s="9" t="inlineStr"/>
      <c r="H7" s="9" t="inlineStr"/>
    </row>
    <row r="8">
      <c r="A8" s="8" t="inlineStr">
        <is>
          <t>성기사 계열</t>
        </is>
      </c>
      <c r="B8" s="8" t="inlineStr">
        <is>
          <t>⚔️ 기사 + 📿 사제 + 🏹 궁수</t>
        </is>
      </c>
      <c r="C8" s="8" t="inlineStr">
        <is>
          <t>→</t>
        </is>
      </c>
      <c r="D8" s="8" t="inlineStr">
        <is>
          <t>🦢 발키리</t>
        </is>
      </c>
      <c r="E8" s="8" t="inlineStr"/>
      <c r="F8" s="8" t="inlineStr"/>
      <c r="G8" s="8" t="inlineStr"/>
      <c r="H8" s="8" t="inlineStr"/>
    </row>
    <row r="9">
      <c r="A9" s="9" t="inlineStr">
        <is>
          <t>불사조 계열</t>
        </is>
      </c>
      <c r="B9" s="9" t="inlineStr">
        <is>
          <t>✝️ 성기사 + 🔥 불사조깃털</t>
        </is>
      </c>
      <c r="C9" s="9" t="inlineStr">
        <is>
          <t>→</t>
        </is>
      </c>
      <c r="D9" s="9" t="inlineStr">
        <is>
          <t>🔥 불사조 기사</t>
        </is>
      </c>
      <c r="E9" s="9" t="inlineStr"/>
      <c r="F9" s="9" t="inlineStr"/>
      <c r="G9" s="9" t="inlineStr"/>
      <c r="H9" s="9" t="inlineStr"/>
    </row>
    <row r="10">
      <c r="A10" s="8" t="inlineStr">
        <is>
          <t>천상 계열</t>
        </is>
      </c>
      <c r="B10" s="8" t="inlineStr">
        <is>
          <t>🐲 드래곤나이트 + 👼 세라핌</t>
        </is>
      </c>
      <c r="C10" s="8" t="inlineStr">
        <is>
          <t>→</t>
        </is>
      </c>
      <c r="D10" s="8" t="inlineStr">
        <is>
          <t>✨ 천상의 기사</t>
        </is>
      </c>
      <c r="E10" s="8" t="inlineStr"/>
      <c r="F10" s="8" t="inlineStr"/>
      <c r="G10" s="8" t="inlineStr"/>
      <c r="H10" s="8" t="inlineStr"/>
    </row>
    <row r="11">
      <c r="A11" s="9" t="inlineStr">
        <is>
          <t>최종 합성</t>
        </is>
      </c>
      <c r="B11" s="9" t="inlineStr">
        <is>
          <t>🐲 드래곤나이트 ×2 + ✨ 천상</t>
        </is>
      </c>
      <c r="C11" s="9" t="inlineStr">
        <is>
          <t>→</t>
        </is>
      </c>
      <c r="D11" s="9" t="inlineStr">
        <is>
          <t>🐲 용왕 바하무트!</t>
        </is>
      </c>
      <c r="E11" s="9" t="inlineStr"/>
      <c r="F11" s="9" t="inlineStr"/>
      <c r="G11" s="9" t="inlineStr"/>
      <c r="H11" s="9" t="inlineStr"/>
    </row>
    <row r="12">
      <c r="A12" s="8" t="inlineStr"/>
      <c r="B12" s="8" t="inlineStr"/>
      <c r="C12" s="8" t="inlineStr"/>
      <c r="D12" s="8" t="inlineStr"/>
      <c r="E12" s="8" t="inlineStr"/>
      <c r="F12" s="8" t="inlineStr"/>
      <c r="G12" s="8" t="inlineStr"/>
      <c r="H12" s="8" t="inlineStr"/>
    </row>
    <row r="13">
      <c r="A13" s="9" t="inlineStr">
        <is>
          <t>진급 트리</t>
        </is>
      </c>
      <c r="B13" s="9" t="inlineStr">
        <is>
          <t>Lv.10</t>
        </is>
      </c>
      <c r="C13" s="9" t="inlineStr">
        <is>
          <t>→</t>
        </is>
      </c>
      <c r="D13" s="9" t="inlineStr">
        <is>
          <t>Lv.25</t>
        </is>
      </c>
      <c r="E13" s="9" t="inlineStr">
        <is>
          <t>→</t>
        </is>
      </c>
      <c r="F13" s="9" t="inlineStr">
        <is>
          <t>Lv.50</t>
        </is>
      </c>
      <c r="G13" s="9" t="inlineStr"/>
      <c r="H13" s="9" t="inlineStr"/>
    </row>
    <row r="14">
      <c r="A14" s="8" t="inlineStr">
        <is>
          <t>전사</t>
        </is>
      </c>
      <c r="B14" s="8" t="inlineStr">
        <is>
          <t>🗡️ 보병</t>
        </is>
      </c>
      <c r="C14" s="8" t="inlineStr">
        <is>
          <t>→ ⚔️ 베테랑</t>
        </is>
      </c>
      <c r="D14" s="8" t="inlineStr">
        <is>
          <t>→ 🏆 챔피언</t>
        </is>
      </c>
      <c r="E14" s="8" t="inlineStr">
        <is>
          <t>→ 👑 전쟁군주</t>
        </is>
      </c>
      <c r="F14" s="8" t="inlineStr"/>
      <c r="G14" s="8" t="inlineStr"/>
      <c r="H14" s="8" t="inlineStr"/>
    </row>
    <row r="15">
      <c r="A15" s="9" t="inlineStr">
        <is>
          <t>궁수</t>
        </is>
      </c>
      <c r="B15" s="9" t="inlineStr">
        <is>
          <t>🏹 궁수</t>
        </is>
      </c>
      <c r="C15" s="9" t="inlineStr">
        <is>
          <t>→ 🎯 저격수</t>
        </is>
      </c>
      <c r="D15" s="9" t="inlineStr">
        <is>
          <t>→ 🏹 명사수</t>
        </is>
      </c>
      <c r="E15" s="9" t="inlineStr">
        <is>
          <t>→ 🦅 매의 눈</t>
        </is>
      </c>
      <c r="F15" s="9" t="inlineStr"/>
      <c r="G15" s="9" t="inlineStr"/>
      <c r="H15" s="9" t="inlineStr"/>
    </row>
    <row r="16">
      <c r="A16" s="8" t="inlineStr">
        <is>
          <t>마법사</t>
        </is>
      </c>
      <c r="B16" s="8" t="inlineStr">
        <is>
          <t>🔮 마법사</t>
        </is>
      </c>
      <c r="C16" s="8" t="inlineStr">
        <is>
          <t>→ 🔮 주술사</t>
        </is>
      </c>
      <c r="D16" s="8" t="inlineStr">
        <is>
          <t>→ 🌟 대마도사</t>
        </is>
      </c>
      <c r="E16" s="8" t="inlineStr">
        <is>
          <t>→ 📖 현자</t>
        </is>
      </c>
      <c r="F16" s="8" t="inlineStr"/>
      <c r="G16" s="8" t="inlineStr"/>
      <c r="H16" s="8" t="inlineStr"/>
    </row>
  </sheetData>
  <mergeCells count="1">
    <mergeCell ref="A1:H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6" customWidth="1" min="1" max="1"/>
    <col width="20" customWidth="1" min="2" max="2"/>
    <col width="35" customWidth="1" min="3" max="3"/>
    <col width="20" customWidth="1" min="4" max="4"/>
  </cols>
  <sheetData>
    <row r="1">
      <c r="A1" s="6" t="inlineStr">
        <is>
          <t>용병 각성 &amp; 초월 시스템</t>
        </is>
      </c>
    </row>
    <row r="3">
      <c r="A3" s="7" t="inlineStr">
        <is>
          <t>시스템</t>
        </is>
      </c>
      <c r="B3" s="7" t="inlineStr">
        <is>
          <t>조건</t>
        </is>
      </c>
      <c r="C3" s="7" t="inlineStr">
        <is>
          <t>효과</t>
        </is>
      </c>
      <c r="D3" s="7" t="inlineStr">
        <is>
          <t>재미 포인트</t>
        </is>
      </c>
    </row>
    <row r="4">
      <c r="A4" s="8" t="inlineStr">
        <is>
          <t>각성 1단계 🔥</t>
        </is>
      </c>
      <c r="B4" s="8" t="inlineStr">
        <is>
          <t>Lv.50 + 동일 카드 5장 + 10,000G</t>
        </is>
      </c>
      <c r="C4" s="8" t="inlineStr">
        <is>
          <t>스탯 +30%, 외형 변화, 고유 이펙트</t>
        </is>
      </c>
      <c r="D4" s="8" t="inlineStr">
        <is>
          <t>눈에 보이는 성장!</t>
        </is>
      </c>
    </row>
    <row r="5">
      <c r="A5" s="9" t="inlineStr">
        <is>
          <t>각성 2단계 ⚡</t>
        </is>
      </c>
      <c r="B5" s="9" t="inlineStr">
        <is>
          <t>각성1 + 카드 10장 + 50,000G + 각성석</t>
        </is>
      </c>
      <c r="C5" s="9" t="inlineStr">
        <is>
          <t>스탯 +60%, 스킬 진화, 광역↑</t>
        </is>
      </c>
      <c r="D5" s="9" t="inlineStr">
        <is>
          <t>스킬이 완전히 달라짐</t>
        </is>
      </c>
    </row>
    <row r="6">
      <c r="A6" s="8" t="inlineStr">
        <is>
          <t>초월 ✨</t>
        </is>
      </c>
      <c r="B6" s="8" t="inlineStr">
        <is>
          <t>각성2 + 신화 재료 + 100💎</t>
        </is>
      </c>
      <c r="C6" s="8" t="inlineStr">
        <is>
          <t>스탯 +100%, 궁극기 해금, 전용 장비</t>
        </is>
      </c>
      <c r="D6" s="8" t="inlineStr">
        <is>
          <t>최종 목표!</t>
        </is>
      </c>
    </row>
    <row r="7">
      <c r="A7" s="9" t="inlineStr"/>
      <c r="B7" s="9" t="inlineStr"/>
      <c r="C7" s="9" t="inlineStr"/>
      <c r="D7" s="9" t="inlineStr"/>
    </row>
    <row r="8">
      <c r="A8" s="8" t="inlineStr">
        <is>
          <t>초월 궁극기 예시</t>
        </is>
      </c>
      <c r="B8" s="8" t="inlineStr">
        <is>
          <t>용병</t>
        </is>
      </c>
      <c r="C8" s="8" t="inlineStr">
        <is>
          <t>궁극기</t>
        </is>
      </c>
      <c r="D8" s="8" t="inlineStr">
        <is>
          <t>발동 조건</t>
        </is>
      </c>
    </row>
    <row r="9">
      <c r="A9" s="9" t="inlineStr">
        <is>
          <t>드래곤나이트 초월</t>
        </is>
      </c>
      <c r="B9" s="9" t="inlineStr">
        <is>
          <t>🐲 용제 바하무트</t>
        </is>
      </c>
      <c r="C9" s="9" t="inlineStr">
        <is>
          <t>천상의 불꽃 — 전체 20배 + 5초 화상</t>
        </is>
      </c>
      <c r="D9" s="9" t="inlineStr">
        <is>
          <t>HP 30% 이하 시</t>
        </is>
      </c>
    </row>
    <row r="10">
      <c r="A10" s="8" t="inlineStr">
        <is>
          <t>세라핌 초월</t>
        </is>
      </c>
      <c r="B10" s="8" t="inlineStr">
        <is>
          <t>👼 대천사 미카엘</t>
        </is>
      </c>
      <c r="C10" s="8" t="inlineStr">
        <is>
          <t>신의 축복 — 전원 부활 + HP 100% + 무적 3초</t>
        </is>
      </c>
      <c r="D10" s="8" t="inlineStr">
        <is>
          <t>아군 2명 사망 시</t>
        </is>
      </c>
    </row>
    <row r="11">
      <c r="A11" s="9" t="inlineStr">
        <is>
          <t>죽음의 기사 초월</t>
        </is>
      </c>
      <c r="B11" s="9" t="inlineStr">
        <is>
          <t>💀 불멸의 군주</t>
        </is>
      </c>
      <c r="C11" s="9" t="inlineStr">
        <is>
          <t>영혼 수확 — 적 전체 현재HP 50% + 해골 10체</t>
        </is>
      </c>
      <c r="D11" s="9" t="inlineStr">
        <is>
          <t>킬 5회 달성 시</t>
        </is>
      </c>
    </row>
    <row r="12">
      <c r="A12" s="8" t="inlineStr">
        <is>
          <t>서리 여왕 초월</t>
        </is>
      </c>
      <c r="B12" s="8" t="inlineStr">
        <is>
          <t>❄️ 절대영도</t>
        </is>
      </c>
      <c r="C12" s="8" t="inlineStr">
        <is>
          <t>얼어붙은 시간 — 적 전체 10초 빙결 + 매초 3배</t>
        </is>
      </c>
      <c r="D12" s="8" t="inlineStr">
        <is>
          <t>전투 60초 경과 시</t>
        </is>
      </c>
    </row>
    <row r="13">
      <c r="A13" s="9" t="inlineStr">
        <is>
          <t>검성 초월</t>
        </is>
      </c>
      <c r="B13" s="9" t="inlineStr">
        <is>
          <t>🗡️ 만검의 주인</t>
        </is>
      </c>
      <c r="C13" s="9" t="inlineStr">
        <is>
          <t>천검난무 — 10연참 5배 각각 개별 크리 판정</t>
        </is>
      </c>
      <c r="D13" s="9" t="inlineStr">
        <is>
          <t>HP 50% 이상 시</t>
        </is>
      </c>
    </row>
    <row r="14">
      <c r="A14" s="8" t="inlineStr"/>
      <c r="B14" s="8" t="inlineStr"/>
      <c r="C14" s="8" t="inlineStr"/>
      <c r="D14" s="8" t="inlineStr"/>
    </row>
    <row r="15">
      <c r="A15" s="9" t="inlineStr">
        <is>
          <t>각성석 획득처</t>
        </is>
      </c>
      <c r="B15" s="9" t="inlineStr">
        <is>
          <t>서바이벌IO 1위 (10%)</t>
        </is>
      </c>
      <c r="C15" s="9" t="inlineStr">
        <is>
          <t>월드 보스 MVP (30%)</t>
        </is>
      </c>
      <c r="D15" s="9" t="inlineStr">
        <is>
          <t>공성전 승리 (20%)</t>
        </is>
      </c>
    </row>
    <row r="16">
      <c r="A16" s="8" t="inlineStr">
        <is>
          <t>신화 재료</t>
        </is>
      </c>
      <c r="B16" s="8" t="inlineStr">
        <is>
          <t>용의 심장 🐲</t>
        </is>
      </c>
      <c r="C16" s="8" t="inlineStr">
        <is>
          <t>세계수 잎사귀 🌳</t>
        </is>
      </c>
      <c r="D16" s="8" t="inlineStr">
        <is>
          <t>신의 깃털 👼</t>
        </is>
      </c>
    </row>
    <row r="17">
      <c r="A17" s="9" t="inlineStr">
        <is>
          <t>신화 재료 획득</t>
        </is>
      </c>
      <c r="B17" s="9" t="inlineStr">
        <is>
          <t>드래곤 레이드 보스</t>
        </is>
      </c>
      <c r="C17" s="9" t="inlineStr">
        <is>
          <t>세계수 이벤트 (주 1회)</t>
        </is>
      </c>
      <c r="D17" s="9" t="inlineStr">
        <is>
          <t>천상 던전 클리어</t>
        </is>
      </c>
    </row>
  </sheetData>
  <mergeCells count="1">
    <mergeCell ref="A1:D1"/>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6" customWidth="1" min="1" max="1"/>
    <col width="14" customWidth="1" min="2" max="2"/>
    <col width="40" customWidth="1" min="3" max="3"/>
    <col width="18" customWidth="1" min="4" max="4"/>
  </cols>
  <sheetData>
    <row r="1">
      <c r="A1" s="6" t="inlineStr">
        <is>
          <t>용병 시너지 시스템 (TFT 스타일)</t>
        </is>
      </c>
    </row>
    <row r="3">
      <c r="A3" s="7" t="inlineStr">
        <is>
          <t>시너지</t>
        </is>
      </c>
      <c r="B3" s="7" t="inlineStr">
        <is>
          <t>필요 용병 수</t>
        </is>
      </c>
      <c r="C3" s="7" t="inlineStr">
        <is>
          <t>효과</t>
        </is>
      </c>
      <c r="D3" s="7" t="inlineStr">
        <is>
          <t>전략 포인트</t>
        </is>
      </c>
    </row>
    <row r="4">
      <c r="A4" s="8" t="inlineStr">
        <is>
          <t>🗡️ 전사의 맹세</t>
        </is>
      </c>
      <c r="B4" s="8" t="inlineStr">
        <is>
          <t>전사 3/5명</t>
        </is>
      </c>
      <c r="C4" s="8" t="inlineStr">
        <is>
          <t>3: ATK +15% / 5: ATK +30%, 피격 시 반격 50%</t>
        </is>
      </c>
      <c r="D4" s="8" t="inlineStr">
        <is>
          <t>순수 공격 파티</t>
        </is>
      </c>
    </row>
    <row r="5">
      <c r="A5" s="9" t="inlineStr">
        <is>
          <t>🏹 명사수 연합</t>
        </is>
      </c>
      <c r="B5" s="9" t="inlineStr">
        <is>
          <t>사수 2/4명</t>
        </is>
      </c>
      <c r="C5" s="9" t="inlineStr">
        <is>
          <t>2: 크리 +20% / 4: 크리 +40%, 사거리 +50%</t>
        </is>
      </c>
      <c r="D5" s="9" t="inlineStr">
        <is>
          <t>원거리 저격 전략</t>
        </is>
      </c>
    </row>
    <row r="6">
      <c r="A6" s="8" t="inlineStr">
        <is>
          <t>🔮 마법 공명</t>
        </is>
      </c>
      <c r="B6" s="8" t="inlineStr">
        <is>
          <t>마법 2/4명</t>
        </is>
      </c>
      <c r="C6" s="8" t="inlineStr">
        <is>
          <t>2: 스킬DMG +25% / 4: 스킬CD -40%, 관통</t>
        </is>
      </c>
      <c r="D6" s="8" t="inlineStr">
        <is>
          <t>광역 섬멸 파티</t>
        </is>
      </c>
    </row>
    <row r="7">
      <c r="A7" s="9" t="inlineStr">
        <is>
          <t>💚 생명의 빛</t>
        </is>
      </c>
      <c r="B7" s="9" t="inlineStr">
        <is>
          <t>치유 2/3명</t>
        </is>
      </c>
      <c r="C7" s="9" t="inlineStr">
        <is>
          <t>2: 매초 HP 2% 회복 / 3: 사망 시 1회 부활</t>
        </is>
      </c>
      <c r="D7" s="9" t="inlineStr">
        <is>
          <t>장기전 지구력</t>
        </is>
      </c>
    </row>
    <row r="8">
      <c r="A8" s="8" t="inlineStr">
        <is>
          <t>🌙 그림자 결사</t>
        </is>
      </c>
      <c r="B8" s="8" t="inlineStr">
        <is>
          <t>암살 2/4명</t>
        </is>
      </c>
      <c r="C8" s="8" t="inlineStr">
        <is>
          <t>2: 첫타 2배 / 4: 킬 시 은신 3초 + HP 30% 회복</t>
        </is>
      </c>
      <c r="D8" s="8" t="inlineStr">
        <is>
          <t>암살 특화</t>
        </is>
      </c>
    </row>
    <row r="9">
      <c r="A9" s="9" t="inlineStr"/>
      <c r="B9" s="9" t="inlineStr"/>
      <c r="C9" s="9" t="inlineStr"/>
      <c r="D9" s="9" t="inlineStr"/>
    </row>
    <row r="10">
      <c r="A10" s="8" t="inlineStr">
        <is>
          <t>🐲 용의 혈맹</t>
        </is>
      </c>
      <c r="B10" s="8" t="inlineStr">
        <is>
          <t>드래곤 계열 2명</t>
        </is>
      </c>
      <c r="C10" s="8" t="inlineStr">
        <is>
          <t>전체 HP +20%, 화염 면역</t>
        </is>
      </c>
      <c r="D10" s="8" t="inlineStr">
        <is>
          <t>드래곤 콤보</t>
        </is>
      </c>
    </row>
    <row r="11">
      <c r="A11" s="9" t="inlineStr">
        <is>
          <t>☠️ 언데드 군단</t>
        </is>
      </c>
      <c r="B11" s="9" t="inlineStr">
        <is>
          <t>네크로+강령+죽기 2명</t>
        </is>
      </c>
      <c r="C11" s="9" t="inlineStr">
        <is>
          <t>소환수 ATK +50%, 소환수 수 2배</t>
        </is>
      </c>
      <c r="D11" s="9" t="inlineStr">
        <is>
          <t>소환수 러쉬</t>
        </is>
      </c>
    </row>
    <row r="12">
      <c r="A12" s="8" t="inlineStr">
        <is>
          <t>✨ 천상의 기사단</t>
        </is>
      </c>
      <c r="B12" s="8" t="inlineStr">
        <is>
          <t>성기사+세라핌+천기</t>
        </is>
      </c>
      <c r="C12" s="8" t="inlineStr">
        <is>
          <t>팀 무적 5초 (전투 시작 시)</t>
        </is>
      </c>
      <c r="D12" s="8" t="inlineStr">
        <is>
          <t>궁극 방어</t>
        </is>
      </c>
    </row>
    <row r="13">
      <c r="A13" s="9" t="inlineStr">
        <is>
          <t>🌀 혼돈과 질서</t>
        </is>
      </c>
      <c r="B13" s="9" t="inlineStr">
        <is>
          <t>빛+어둠 용병 조합</t>
        </is>
      </c>
      <c r="C13" s="9" t="inlineStr">
        <is>
          <t>양쪽 스탯 +25%, 궁극기 CD -30%</t>
        </is>
      </c>
      <c r="D13" s="9" t="inlineStr">
        <is>
          <t>밸런스 편성</t>
        </is>
      </c>
    </row>
    <row r="14">
      <c r="A14" s="8" t="inlineStr"/>
      <c r="B14" s="8" t="inlineStr"/>
      <c r="C14" s="8" t="inlineStr"/>
      <c r="D14" s="8" t="inlineStr"/>
    </row>
    <row r="15">
      <c r="A15" s="9" t="inlineStr">
        <is>
          <t>💀+👼 상극 시너지</t>
        </is>
      </c>
      <c r="B15" s="9" t="inlineStr">
        <is>
          <t>죽기+세라핌</t>
        </is>
      </c>
      <c r="C15" s="9" t="inlineStr">
        <is>
          <t>둘 다 스킬 2배, 서로 부활 가능</t>
        </is>
      </c>
      <c r="D15" s="9" t="inlineStr">
        <is>
          <t>리스크 하이리턴</t>
        </is>
      </c>
    </row>
    <row r="16">
      <c r="A16" s="8" t="inlineStr">
        <is>
          <t>🔥+❄️ 원소 융합</t>
        </is>
      </c>
      <c r="B16" s="8" t="inlineStr">
        <is>
          <t>불사조+서리여왕</t>
        </is>
      </c>
      <c r="C16" s="8" t="inlineStr">
        <is>
          <t>스킬이 "증기 폭발"로 합체, 10배 광역</t>
        </is>
      </c>
      <c r="D16" s="8" t="inlineStr">
        <is>
          <t>숨겨진 시너지!</t>
        </is>
      </c>
    </row>
    <row r="17">
      <c r="A17" s="9" t="inlineStr">
        <is>
          <t>⏳+🌑 시공 파괴</t>
        </is>
      </c>
      <c r="B17" s="9" t="inlineStr">
        <is>
          <t>시간마법+그림자</t>
        </is>
      </c>
      <c r="C17" s="9" t="inlineStr">
        <is>
          <t>적 전체 8초 정지 + 은신 공격</t>
        </is>
      </c>
      <c r="D17" s="9" t="inlineStr">
        <is>
          <t>최강 CC 콤보</t>
        </is>
      </c>
    </row>
  </sheetData>
  <mergeCells count="1">
    <mergeCell ref="A1:D1"/>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4" customWidth="1" min="1" max="1"/>
    <col width="30" customWidth="1" min="2" max="2"/>
    <col width="30" customWidth="1" min="3" max="3"/>
    <col width="16" customWidth="1" min="4" max="4"/>
  </cols>
  <sheetData>
    <row r="1">
      <c r="A1" s="6" t="inlineStr">
        <is>
          <t>무역 습격 &amp; 호위 시스템</t>
        </is>
      </c>
    </row>
    <row r="3">
      <c r="A3" s="7" t="inlineStr">
        <is>
          <t>시스템</t>
        </is>
      </c>
      <c r="B3" s="7" t="inlineStr">
        <is>
          <t>상세</t>
        </is>
      </c>
      <c r="C3" s="7" t="inlineStr">
        <is>
          <t>보상/위험</t>
        </is>
      </c>
      <c r="D3" s="7" t="inlineStr">
        <is>
          <t>재미 포인트</t>
        </is>
      </c>
    </row>
    <row r="4">
      <c r="A4" s="8" t="inlineStr">
        <is>
          <t>🏴‍☠️ 해적 습격</t>
        </is>
      </c>
      <c r="B4" s="8" t="inlineStr">
        <is>
          <t>위험도 높은 루트에서 NPC 해적단 등장</t>
        </is>
      </c>
      <c r="C4" s="8" t="inlineStr">
        <is>
          <t>물품 약탈 or 격파 시 보너스 +50%</t>
        </is>
      </c>
      <c r="D4" s="8" t="inlineStr">
        <is>
          <t>리스크 리턴!</t>
        </is>
      </c>
    </row>
    <row r="5">
      <c r="A5" s="9" t="inlineStr">
        <is>
          <t>⚔️ PvP 약탈</t>
        </is>
      </c>
      <c r="B5" s="9" t="inlineStr">
        <is>
          <t>무역 중 다른 플레이어가 공격 가능</t>
        </is>
      </c>
      <c r="C5" s="9" t="inlineStr">
        <is>
          <t>물품 30% 약탈, 카르마 +150</t>
        </is>
      </c>
      <c r="D5" s="9" t="inlineStr">
        <is>
          <t>거상의 긴장감</t>
        </is>
      </c>
    </row>
    <row r="6">
      <c r="A6" s="8" t="inlineStr">
        <is>
          <t>🛡️ 호위 의뢰</t>
        </is>
      </c>
      <c r="B6" s="8" t="inlineStr">
        <is>
          <t>다른 플레이어의 무역을 호위하는 퀘스트</t>
        </is>
      </c>
      <c r="C6" s="8" t="inlineStr">
        <is>
          <t>호위료 이윤의 20% + 호위 명성</t>
        </is>
      </c>
      <c r="D6" s="8" t="inlineStr">
        <is>
          <t>협동 플레이</t>
        </is>
      </c>
    </row>
    <row r="7">
      <c r="A7" s="9" t="inlineStr">
        <is>
          <t>🐴 호위 용병</t>
        </is>
      </c>
      <c r="B7" s="9" t="inlineStr">
        <is>
          <t>무역 시 용병 3명까지 호위 편성</t>
        </is>
      </c>
      <c r="C7" s="9" t="inlineStr">
        <is>
          <t>전투력 기반 방어, 사망 시 교체 불가</t>
        </is>
      </c>
      <c r="D7" s="9" t="inlineStr">
        <is>
          <t>용병 키운 보람</t>
        </is>
      </c>
    </row>
    <row r="8">
      <c r="A8" s="8" t="inlineStr"/>
      <c r="B8" s="8" t="inlineStr"/>
      <c r="C8" s="8" t="inlineStr"/>
      <c r="D8" s="8" t="inlineStr"/>
    </row>
    <row r="9">
      <c r="A9" s="9" t="inlineStr">
        <is>
          <t>💰 밀수 루트</t>
        </is>
      </c>
      <c r="B9" s="9" t="inlineStr">
        <is>
          <t>카르마 300+ 전용 암시장 루트</t>
        </is>
      </c>
      <c r="C9" s="9" t="inlineStr">
        <is>
          <t>이윤 3배, 발각 시 전재산 50% 벌금</t>
        </is>
      </c>
      <c r="D9" s="9" t="inlineStr">
        <is>
          <t>하이리스크 무역</t>
        </is>
      </c>
    </row>
    <row r="10">
      <c r="A10" s="8" t="inlineStr">
        <is>
          <t>📦 대상단</t>
        </is>
      </c>
      <c r="B10" s="8" t="inlineStr">
        <is>
          <t>3명 이상 파티 무역, 적재량 3배</t>
        </is>
      </c>
      <c r="C10" s="8" t="inlineStr">
        <is>
          <t>습격 확률 2배, 보상도 2배</t>
        </is>
      </c>
      <c r="D10" s="8" t="inlineStr">
        <is>
          <t>길드 무역 협동</t>
        </is>
      </c>
    </row>
    <row r="11">
      <c r="A11" s="9" t="inlineStr">
        <is>
          <t>🌊 해상 무역</t>
        </is>
      </c>
      <c r="B11" s="9" t="inlineStr">
        <is>
          <t>별빛항구↔동쪽항구 해상 루트 전용</t>
        </is>
      </c>
      <c r="C11" s="9" t="inlineStr">
        <is>
          <t>이윤 150%, 해적 보스 출현</t>
        </is>
      </c>
      <c r="D11" s="9" t="inlineStr">
        <is>
          <t>특별 루트</t>
        </is>
      </c>
    </row>
    <row r="12">
      <c r="A12" s="8" t="inlineStr"/>
      <c r="B12" s="8" t="inlineStr"/>
      <c r="C12" s="8" t="inlineStr"/>
      <c r="D12" s="8" t="inlineStr"/>
    </row>
    <row r="13">
      <c r="A13" s="9" t="inlineStr">
        <is>
          <t>무역 랭킹</t>
        </is>
      </c>
      <c r="B13" s="9" t="inlineStr">
        <is>
          <t>총 교역 이윤 순위</t>
        </is>
      </c>
      <c r="C13" s="9" t="inlineStr">
        <is>
          <t>1위: 상인왕 칭호 + 매주 10,000G</t>
        </is>
      </c>
      <c r="D13" s="9" t="inlineStr">
        <is>
          <t>경쟁 동기</t>
        </is>
      </c>
    </row>
    <row r="14">
      <c r="A14" s="8" t="inlineStr">
        <is>
          <t>무역 레벨</t>
        </is>
      </c>
      <c r="B14" s="8" t="inlineStr">
        <is>
          <t>교역 횟수에 따라 상인 레벨 상승</t>
        </is>
      </c>
      <c r="C14" s="8" t="inlineStr">
        <is>
          <t>Lv.1 행상→Lv.5 상인→Lv.10 거상→Lv.15 무역왕</t>
        </is>
      </c>
      <c r="D14" s="8" t="inlineStr">
        <is>
          <t>성장의 재미</t>
        </is>
      </c>
    </row>
    <row r="15">
      <c r="A15" s="9" t="inlineStr">
        <is>
          <t>무역 스킬</t>
        </is>
      </c>
      <c r="B15" s="9" t="inlineStr">
        <is>
          <t>흥정(-10%매입)/속달(-30%시간)/감정(숨겨진 물품 발견)</t>
        </is>
      </c>
      <c r="C15" s="9" t="inlineStr">
        <is>
          <t>무역 레벨에 따라 해금</t>
        </is>
      </c>
      <c r="D15" s="9" t="inlineStr">
        <is>
          <t>전략적 선택</t>
        </is>
      </c>
    </row>
  </sheetData>
  <mergeCells count="1">
    <mergeCell ref="A1:D1"/>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14" customWidth="1" min="1" max="1"/>
    <col width="35" customWidth="1" min="2" max="2"/>
    <col width="25" customWidth="1" min="3" max="3"/>
  </cols>
  <sheetData>
    <row r="1">
      <c r="A1" s="6" t="inlineStr">
        <is>
          <t>몬스터 포획 확장 시스템</t>
        </is>
      </c>
    </row>
    <row r="3">
      <c r="A3" s="7" t="inlineStr">
        <is>
          <t>시스템</t>
        </is>
      </c>
      <c r="B3" s="7" t="inlineStr">
        <is>
          <t>상세</t>
        </is>
      </c>
      <c r="C3" s="7" t="inlineStr">
        <is>
          <t>재미 포인트</t>
        </is>
      </c>
    </row>
    <row r="4">
      <c r="A4" s="8" t="inlineStr">
        <is>
          <t>📋 포획 도감</t>
        </is>
      </c>
      <c r="B4" s="8" t="inlineStr">
        <is>
          <t>전 몬스터 120종 수집, 도감 완성 보상</t>
        </is>
      </c>
      <c r="C4" s="8" t="inlineStr">
        <is>
          <t>컬렉션 욕구!</t>
        </is>
      </c>
    </row>
    <row r="5">
      <c r="A5" s="9" t="inlineStr">
        <is>
          <t>🎭 성격 시스템</t>
        </is>
      </c>
      <c r="B5" s="9" t="inlineStr">
        <is>
          <t>5성격: 용맹/신중/민첩/강인/영리</t>
        </is>
      </c>
      <c r="C5" s="9" t="inlineStr">
        <is>
          <t>같은 몬스터도 다른 성능</t>
        </is>
      </c>
    </row>
    <row r="6">
      <c r="A6" s="8" t="inlineStr"/>
      <c r="B6" s="8" t="inlineStr">
        <is>
          <t>용맹: ATK+10%,DEF-5% / 신중: DEF+10%,SPD-5%</t>
        </is>
      </c>
      <c r="C6" s="8" t="inlineStr">
        <is>
          <t>개체값의 재미</t>
        </is>
      </c>
    </row>
    <row r="7">
      <c r="A7" s="9" t="inlineStr"/>
      <c r="B7" s="9" t="inlineStr">
        <is>
          <t>민첩: SPD+10%,HP-5% / 강인: HP+10%,ATK-5%</t>
        </is>
      </c>
      <c r="C7" s="9" t="inlineStr"/>
    </row>
    <row r="8">
      <c r="A8" s="8" t="inlineStr"/>
      <c r="B8" s="8" t="inlineStr">
        <is>
          <t>영리: 스킬DMG+15%,HP-10%</t>
        </is>
      </c>
      <c r="C8" s="8" t="inlineStr"/>
    </row>
    <row r="9">
      <c r="A9" s="9" t="inlineStr"/>
      <c r="B9" s="9" t="inlineStr"/>
      <c r="C9" s="9" t="inlineStr"/>
    </row>
    <row r="10">
      <c r="A10" s="8" t="inlineStr">
        <is>
          <t>🥚 교배 시스템</t>
        </is>
      </c>
      <c r="B10" s="8" t="inlineStr">
        <is>
          <t>같은 종류 2마리로 알 생성 (12시간)</t>
        </is>
      </c>
      <c r="C10" s="8" t="inlineStr">
        <is>
          <t>부모 성격 유전 50%</t>
        </is>
      </c>
    </row>
    <row r="11">
      <c r="A11" s="9" t="inlineStr">
        <is>
          <t>교배 돌연변이</t>
        </is>
      </c>
      <c r="B11" s="9" t="inlineStr">
        <is>
          <t>5% 확률로 희귀 변이종 탄생</t>
        </is>
      </c>
      <c r="C11" s="9" t="inlineStr">
        <is>
          <t>빛나는 개체(스탯 +20%)</t>
        </is>
      </c>
    </row>
    <row r="12">
      <c r="A12" s="8" t="inlineStr"/>
      <c r="B12" s="8" t="inlineStr">
        <is>
          <t>1% 확률로 전혀 다른 종 탄생</t>
        </is>
      </c>
      <c r="C12" s="8" t="inlineStr">
        <is>
          <t>전설 포획 못할 몬스터 획득!</t>
        </is>
      </c>
    </row>
    <row r="13">
      <c r="A13" s="9" t="inlineStr"/>
      <c r="B13" s="9" t="inlineStr"/>
      <c r="C13" s="9" t="inlineStr"/>
    </row>
    <row r="14">
      <c r="A14" s="8" t="inlineStr">
        <is>
          <t>🌟 유대도 보너스</t>
        </is>
      </c>
      <c r="B14" s="8" t="inlineStr">
        <is>
          <t>1단계 만남: 효과 없음</t>
        </is>
      </c>
      <c r="C14" s="8" t="inlineStr"/>
    </row>
    <row r="15">
      <c r="A15" s="9" t="inlineStr"/>
      <c r="B15" s="9" t="inlineStr">
        <is>
          <t>2단계 친밀: 명령 응답 +20%</t>
        </is>
      </c>
      <c r="C15" s="9" t="inlineStr">
        <is>
          <t>전투 중 지시 이행률 향상</t>
        </is>
      </c>
    </row>
    <row r="16">
      <c r="A16" s="8" t="inlineStr"/>
      <c r="B16" s="8" t="inlineStr">
        <is>
          <t>3단계 신뢰: 스탯 +10%</t>
        </is>
      </c>
      <c r="C16" s="8" t="inlineStr">
        <is>
          <t>함께할수록 강해짐</t>
        </is>
      </c>
    </row>
    <row r="17">
      <c r="A17" s="9" t="inlineStr"/>
      <c r="B17" s="9" t="inlineStr">
        <is>
          <t>4단계 유대: 고유 스킬 해금</t>
        </is>
      </c>
      <c r="C17" s="9" t="inlineStr">
        <is>
          <t>특별한 기술 습득!</t>
        </is>
      </c>
    </row>
    <row r="18">
      <c r="A18" s="8" t="inlineStr"/>
      <c r="B18" s="8" t="inlineStr">
        <is>
          <t>5단계 영혼: 합체 변신 가능!</t>
        </is>
      </c>
      <c r="C18" s="8" t="inlineStr">
        <is>
          <t>플레이어와 몬스터가 합체!!</t>
        </is>
      </c>
    </row>
    <row r="19">
      <c r="A19" s="9" t="inlineStr"/>
      <c r="B19" s="9" t="inlineStr"/>
      <c r="C19" s="9" t="inlineStr"/>
    </row>
    <row r="20">
      <c r="A20" s="8" t="inlineStr">
        <is>
          <t>🐉 합체 변신</t>
        </is>
      </c>
      <c r="B20" s="8" t="inlineStr">
        <is>
          <t>영혼 유대 몬스터와 합체</t>
        </is>
      </c>
      <c r="C20" s="8" t="inlineStr">
        <is>
          <t>10초간 몬스터 형태로 변신</t>
        </is>
      </c>
    </row>
    <row r="21">
      <c r="A21" s="9" t="inlineStr">
        <is>
          <t>합체 효과</t>
        </is>
      </c>
      <c r="B21" s="9" t="inlineStr">
        <is>
          <t>플레이어+몬스터 스탯 합산</t>
        </is>
      </c>
      <c r="C21" s="9" t="inlineStr">
        <is>
          <t>IO/공성전에서 사용 가능!</t>
        </is>
      </c>
    </row>
    <row r="22">
      <c r="A22" s="8" t="inlineStr">
        <is>
          <t>합체 쿨다운</t>
        </is>
      </c>
      <c r="B22" s="8" t="inlineStr">
        <is>
          <t>5분</t>
        </is>
      </c>
      <c r="C22" s="8" t="inlineStr">
        <is>
          <t>전략적 사용 필요</t>
        </is>
      </c>
    </row>
    <row r="23">
      <c r="A23" s="9" t="inlineStr"/>
      <c r="B23" s="9" t="inlineStr"/>
      <c r="C23" s="9" t="inlineStr"/>
    </row>
    <row r="24">
      <c r="A24" s="8" t="inlineStr">
        <is>
          <t>🏟️ 포획 대회</t>
        </is>
      </c>
      <c r="B24" s="8" t="inlineStr">
        <is>
          <t>매주 토요일 포획 토너먼트</t>
        </is>
      </c>
      <c r="C24" s="8" t="inlineStr">
        <is>
          <t>내 몬스터 vs 상대 몬스터 1:1</t>
        </is>
      </c>
    </row>
    <row r="25">
      <c r="A25" s="9" t="inlineStr">
        <is>
          <t>대회 보상</t>
        </is>
      </c>
      <c r="B25" s="9" t="inlineStr">
        <is>
          <t>1위: 전설 알 + 50,000G + 포획왕 칭호</t>
        </is>
      </c>
      <c r="C25" s="9" t="inlineStr">
        <is>
          <t>경쟁 콘텐츠</t>
        </is>
      </c>
    </row>
  </sheetData>
  <mergeCells count="1">
    <mergeCell ref="A1:C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4" customWidth="1" min="1" max="1"/>
    <col width="35" customWidth="1" min="2" max="2"/>
    <col width="25" customWidth="1" min="3" max="3"/>
  </cols>
  <sheetData>
    <row r="1">
      <c r="A1" s="6" t="inlineStr">
        <is>
          <t>혈맹 대전 시스템</t>
        </is>
      </c>
    </row>
    <row r="3">
      <c r="A3" s="7" t="inlineStr">
        <is>
          <t>시스템</t>
        </is>
      </c>
      <c r="B3" s="7" t="inlineStr">
        <is>
          <t>상세</t>
        </is>
      </c>
      <c r="C3" s="7" t="inlineStr">
        <is>
          <t>보상</t>
        </is>
      </c>
    </row>
    <row r="4">
      <c r="A4" s="8" t="inlineStr">
        <is>
          <t>혈맹 등록</t>
        </is>
      </c>
      <c r="B4" s="8" t="inlineStr">
        <is>
          <t>5명 이상 혈맹 결성, 혈맹 레벨 시스템</t>
        </is>
      </c>
      <c r="C4" s="8" t="inlineStr">
        <is>
          <t>혈맹 스킬 해금</t>
        </is>
      </c>
    </row>
    <row r="5">
      <c r="A5" s="9" t="inlineStr">
        <is>
          <t>혈맹 성</t>
        </is>
      </c>
      <c r="B5" s="9" t="inlineStr">
        <is>
          <t>혈맹 전용 거점 성, 공동 업그레이드</t>
        </is>
      </c>
      <c r="C5" s="9" t="inlineStr">
        <is>
          <t>공용 창고, 버프 시설</t>
        </is>
      </c>
    </row>
    <row r="6">
      <c r="A6" s="8" t="inlineStr"/>
      <c r="B6" s="8" t="inlineStr"/>
      <c r="C6" s="8" t="inlineStr"/>
    </row>
    <row r="7">
      <c r="A7" s="9" t="inlineStr">
        <is>
          <t>⚔️ 혈맹 공성전</t>
        </is>
      </c>
      <c r="B7" s="9" t="inlineStr">
        <is>
          <t>매주 일요일 20:00 (2시간)</t>
        </is>
      </c>
      <c r="C7" s="9" t="inlineStr">
        <is>
          <t>최대 보상 이벤트</t>
        </is>
      </c>
    </row>
    <row r="8">
      <c r="A8" s="8" t="inlineStr">
        <is>
          <t>참가 조건</t>
        </is>
      </c>
      <c r="B8" s="8" t="inlineStr">
        <is>
          <t>혈맹 레벨 3 이상, 10명 이상</t>
        </is>
      </c>
      <c r="C8" s="8" t="inlineStr"/>
    </row>
    <row r="9">
      <c r="A9" s="9" t="inlineStr">
        <is>
          <t>전투 방식</t>
        </is>
      </c>
      <c r="B9" s="9" t="inlineStr">
        <is>
          <t>공격팀 IO방식 + 방어팀 배치 (대규모)</t>
        </is>
      </c>
      <c r="C9" s="9" t="inlineStr">
        <is>
          <t>10 vs 10 실시간</t>
        </is>
      </c>
    </row>
    <row r="10">
      <c r="A10" s="8" t="inlineStr">
        <is>
          <t>공격측</t>
        </is>
      </c>
      <c r="B10" s="8" t="inlineStr">
        <is>
          <t>혈맹원 10명이 동시 침공, 각자 IO 컨트롤</t>
        </is>
      </c>
      <c r="C10" s="8" t="inlineStr">
        <is>
          <t>협동 돌파!</t>
        </is>
      </c>
    </row>
    <row r="11">
      <c r="A11" s="9" t="inlineStr">
        <is>
          <t>방어측</t>
        </is>
      </c>
      <c r="B11" s="9" t="inlineStr">
        <is>
          <t>함정 30개 + 용병 20명 + 성벽 3중</t>
        </is>
      </c>
      <c r="C11" s="9" t="inlineStr">
        <is>
          <t>철벽 방어!</t>
        </is>
      </c>
    </row>
    <row r="12">
      <c r="A12" s="8" t="inlineStr">
        <is>
          <t>승리 조건</t>
        </is>
      </c>
      <c r="B12" s="8" t="inlineStr">
        <is>
          <t>왕좌 점령 3분 유지 or 방어 시간 초과</t>
        </is>
      </c>
      <c r="C12" s="8" t="inlineStr"/>
    </row>
    <row r="13">
      <c r="A13" s="9" t="inlineStr"/>
      <c r="B13" s="9" t="inlineStr"/>
      <c r="C13" s="9" t="inlineStr"/>
    </row>
    <row r="14">
      <c r="A14" s="8" t="inlineStr">
        <is>
          <t>보상</t>
        </is>
      </c>
      <c r="B14" s="8" t="inlineStr">
        <is>
          <t>공격 승리: 100,000G + 500💎 + 영토 획득</t>
        </is>
      </c>
      <c r="C14" s="8" t="inlineStr">
        <is>
          <t>성주 혈맹은 세금 징수권</t>
        </is>
      </c>
    </row>
    <row r="15">
      <c r="A15" s="9" t="inlineStr">
        <is>
          <t>보상</t>
        </is>
      </c>
      <c r="B15" s="9" t="inlineStr">
        <is>
          <t>방어 승리: 50,000G + 300💎 + 성벽 강화</t>
        </is>
      </c>
      <c r="C15" s="9" t="inlineStr"/>
    </row>
    <row r="16">
      <c r="A16" s="8" t="inlineStr">
        <is>
          <t>영토 효과</t>
        </is>
      </c>
      <c r="B16" s="8" t="inlineStr">
        <is>
          <t>정복한 영토의 무역 세금 5% 자동 수입</t>
        </is>
      </c>
      <c r="C16" s="8" t="inlineStr">
        <is>
          <t>지속적 수익!</t>
        </is>
      </c>
    </row>
    <row r="17">
      <c r="A17" s="9" t="inlineStr"/>
      <c r="B17" s="9" t="inlineStr"/>
      <c r="C17" s="9" t="inlineStr"/>
    </row>
    <row r="18">
      <c r="A18" s="8" t="inlineStr">
        <is>
          <t>🏆 혈맹 시즌</t>
        </is>
      </c>
      <c r="B18" s="8" t="inlineStr">
        <is>
          <t>3개월 단위 시즌제</t>
        </is>
      </c>
      <c r="C18" s="8" t="inlineStr">
        <is>
          <t>시즌 1위 혈맹: 전설 칭호</t>
        </is>
      </c>
    </row>
    <row r="19">
      <c r="A19" s="9" t="inlineStr">
        <is>
          <t>시즌 보상</t>
        </is>
      </c>
      <c r="B19" s="9" t="inlineStr">
        <is>
          <t>영토 수 + 승리 횟수 기반 점수</t>
        </is>
      </c>
      <c r="C19" s="9" t="inlineStr">
        <is>
          <t>개인+혈맹 보상 동시</t>
        </is>
      </c>
    </row>
    <row r="20">
      <c r="A20" s="8" t="inlineStr">
        <is>
          <t>혈맹 스킬</t>
        </is>
      </c>
      <c r="B20" s="8" t="inlineStr">
        <is>
          <t>공격력↑/방어력↑/무역보너스/경험치↑/부활횟수↑</t>
        </is>
      </c>
      <c r="C20" s="8" t="inlineStr">
        <is>
          <t>공동 투자로 해금</t>
        </is>
      </c>
    </row>
  </sheetData>
  <mergeCells count="1">
    <mergeCell ref="A1:C1"/>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4" customWidth="1" min="1" max="1"/>
    <col width="28" customWidth="1" min="2" max="2"/>
    <col width="22" customWidth="1" min="3" max="3"/>
    <col width="28" customWidth="1" min="4" max="4"/>
  </cols>
  <sheetData>
    <row r="1">
      <c r="A1" s="6" t="inlineStr">
        <is>
          <t>용병 인연 &amp; 스토리</t>
        </is>
      </c>
    </row>
    <row r="3">
      <c r="A3" s="7" t="inlineStr">
        <is>
          <t>인연</t>
        </is>
      </c>
      <c r="B3" s="7" t="inlineStr">
        <is>
          <t>용병 조합</t>
        </is>
      </c>
      <c r="C3" s="7" t="inlineStr">
        <is>
          <t>보너스</t>
        </is>
      </c>
      <c r="D3" s="7" t="inlineStr">
        <is>
          <t>스토리</t>
        </is>
      </c>
    </row>
    <row r="4">
      <c r="A4" s="8" t="inlineStr">
        <is>
          <t>💕 사제와 기사</t>
        </is>
      </c>
      <c r="B4" s="8" t="inlineStr">
        <is>
          <t>수습 사제 + 기사</t>
        </is>
      </c>
      <c r="C4" s="8" t="inlineStr">
        <is>
          <t>ATK/DEF +10%</t>
        </is>
      </c>
      <c r="D4" s="8" t="inlineStr">
        <is>
          <t>어린 시절 함께 수련한 동료</t>
        </is>
      </c>
    </row>
    <row r="5">
      <c r="A5" s="9" t="inlineStr">
        <is>
          <t>⚔️ 라이벌</t>
        </is>
      </c>
      <c r="B5" s="9" t="inlineStr">
        <is>
          <t>암살자 + 성기사</t>
        </is>
      </c>
      <c r="C5" s="9" t="inlineStr">
        <is>
          <t>둘 다 크리 +15%</t>
        </is>
      </c>
      <c r="D5" s="9" t="inlineStr">
        <is>
          <t>빛과 어둠의 숙명적 대결</t>
        </is>
      </c>
    </row>
    <row r="6">
      <c r="A6" s="8" t="inlineStr">
        <is>
          <t>👨‍👧 사제와 제자</t>
        </is>
      </c>
      <c r="B6" s="8" t="inlineStr">
        <is>
          <t>사제 + 수습 사제</t>
        </is>
      </c>
      <c r="C6" s="8" t="inlineStr">
        <is>
          <t>힐 +30%</t>
        </is>
      </c>
      <c r="D6" s="8" t="inlineStr">
        <is>
          <t>스승과 제자의 유대</t>
        </is>
      </c>
    </row>
    <row r="7">
      <c r="A7" s="9" t="inlineStr">
        <is>
          <t>🐲 용의 기사단</t>
        </is>
      </c>
      <c r="B7" s="9" t="inlineStr">
        <is>
          <t>드래곤나이트 + 기사 + 성기사</t>
        </is>
      </c>
      <c r="C7" s="9" t="inlineStr">
        <is>
          <t>HP +20%</t>
        </is>
      </c>
      <c r="D7" s="9" t="inlineStr">
        <is>
          <t>용에게 선택받은 기사들</t>
        </is>
      </c>
    </row>
    <row r="8">
      <c r="A8" s="8" t="inlineStr">
        <is>
          <t>☠️ 어둠의 맹약</t>
        </is>
      </c>
      <c r="B8" s="8" t="inlineStr">
        <is>
          <t>흑마법사 + 강령술사 + 죽음의 기사</t>
        </is>
      </c>
      <c r="C8" s="8" t="inlineStr">
        <is>
          <t>소환수 +100%</t>
        </is>
      </c>
      <c r="D8" s="8" t="inlineStr">
        <is>
          <t>죽음을 초월한 어둠의 삼인방</t>
        </is>
      </c>
    </row>
    <row r="9">
      <c r="A9" s="9" t="inlineStr">
        <is>
          <t>🌟 천상의 빛</t>
        </is>
      </c>
      <c r="B9" s="9" t="inlineStr">
        <is>
          <t>세라핌 + 천상의 기사 + 수호천사</t>
        </is>
      </c>
      <c r="C9" s="9" t="inlineStr">
        <is>
          <t>전원 부활 2회</t>
        </is>
      </c>
      <c r="D9" s="9" t="inlineStr">
        <is>
          <t>천상계에서 내려온 수호자들</t>
        </is>
      </c>
    </row>
    <row r="10">
      <c r="A10" s="8" t="inlineStr">
        <is>
          <t>🔥 불꽃 삼형제</t>
        </is>
      </c>
      <c r="B10" s="8" t="inlineStr">
        <is>
          <t>화염술사 + 불사조 기사 + 광전사</t>
        </is>
      </c>
      <c r="C10" s="8" t="inlineStr">
        <is>
          <t>화염DMG +50%</t>
        </is>
      </c>
      <c r="D10" s="8" t="inlineStr">
        <is>
          <t>불에 미친 전사들의 동맹</t>
        </is>
      </c>
    </row>
    <row r="11">
      <c r="A11" s="9" t="inlineStr">
        <is>
          <t>❄️🔥 원소 대립</t>
        </is>
      </c>
      <c r="B11" s="9" t="inlineStr">
        <is>
          <t>서리 여왕 + 불사조 기사</t>
        </is>
      </c>
      <c r="C11" s="9" t="inlineStr">
        <is>
          <t>둘 다 스킬DMG +25%</t>
        </is>
      </c>
      <c r="D11" s="9" t="inlineStr">
        <is>
          <t>얼음과 불꽃의 균형</t>
        </is>
      </c>
    </row>
    <row r="12">
      <c r="A12" s="8" t="inlineStr">
        <is>
          <t>⏳ 시공의 문</t>
        </is>
      </c>
      <c r="B12" s="8" t="inlineStr">
        <is>
          <t>시간 마법사 + 대마법사</t>
        </is>
      </c>
      <c r="C12" s="8" t="inlineStr">
        <is>
          <t>스킬CD -25%</t>
        </is>
      </c>
      <c r="D12" s="8" t="inlineStr">
        <is>
          <t>시간을 다루는 마법의 정수</t>
        </is>
      </c>
    </row>
    <row r="13">
      <c r="A13" s="9" t="inlineStr">
        <is>
          <t>💀👼 생사의 경계</t>
        </is>
      </c>
      <c r="B13" s="9" t="inlineStr">
        <is>
          <t>죽음의 기사 + 세라핌</t>
        </is>
      </c>
      <c r="C13" s="9" t="inlineStr">
        <is>
          <t>사망 시 50% HP로 부활 (무한)</t>
        </is>
      </c>
      <c r="D13" s="9" t="inlineStr">
        <is>
          <t>죽음과 생명 사이에서</t>
        </is>
      </c>
    </row>
    <row r="14">
      <c r="A14" s="8" t="inlineStr"/>
      <c r="B14" s="8" t="inlineStr"/>
      <c r="C14" s="8" t="inlineStr"/>
      <c r="D14" s="8" t="inlineStr"/>
    </row>
    <row r="15">
      <c r="A15" s="9" t="inlineStr">
        <is>
          <t>인연 해금</t>
        </is>
      </c>
      <c r="B15" s="9" t="inlineStr">
        <is>
          <t>두 용병 동시 편성 50회</t>
        </is>
      </c>
      <c r="C15" s="9" t="inlineStr">
        <is>
          <t>자동 해금</t>
        </is>
      </c>
      <c r="D15" s="9" t="inlineStr">
        <is>
          <t>함께 싸울수록 유대 형성</t>
        </is>
      </c>
    </row>
    <row r="16">
      <c r="A16" s="8" t="inlineStr">
        <is>
          <t>인연 강화</t>
        </is>
      </c>
      <c r="B16" s="8" t="inlineStr">
        <is>
          <t>인연 해금 후 전투 100회</t>
        </is>
      </c>
      <c r="C16" s="8" t="inlineStr">
        <is>
          <t>보너스 2배로 증가</t>
        </is>
      </c>
      <c r="D16" s="8" t="inlineStr">
        <is>
          <t>깊어지는 유대!</t>
        </is>
      </c>
    </row>
    <row r="17">
      <c r="A17" s="9" t="inlineStr">
        <is>
          <t>숨겨진 인연</t>
        </is>
      </c>
      <c r="B17" s="9" t="inlineStr">
        <is>
          <t>???</t>
        </is>
      </c>
      <c r="C17" s="9" t="inlineStr">
        <is>
          <t>특수 조건 달성 시 공개</t>
        </is>
      </c>
      <c r="D17" s="9" t="inlineStr">
        <is>
          <t>발견의 재미!</t>
        </is>
      </c>
    </row>
  </sheetData>
  <mergeCells count="1">
    <mergeCell ref="A1:D1"/>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2" customWidth="1" min="1" max="1"/>
    <col width="30" customWidth="1" min="2" max="2"/>
    <col width="24" customWidth="1" min="3" max="3"/>
    <col width="24" customWidth="1" min="4" max="4"/>
  </cols>
  <sheetData>
    <row r="1">
      <c r="A1" s="6" t="inlineStr">
        <is>
          <t>비밀 합성 레시피 (발견형 콘텐츠)</t>
        </is>
      </c>
    </row>
    <row r="3">
      <c r="A3" s="7" t="inlineStr">
        <is>
          <t>발견 난이도</t>
        </is>
      </c>
      <c r="B3" s="7" t="inlineStr">
        <is>
          <t>재료</t>
        </is>
      </c>
      <c r="C3" s="7" t="inlineStr">
        <is>
          <t>결과</t>
        </is>
      </c>
      <c r="D3" s="7" t="inlineStr">
        <is>
          <t>힌트</t>
        </is>
      </c>
    </row>
    <row r="4">
      <c r="A4" s="8" t="inlineStr">
        <is>
          <t>★☆☆☆☆</t>
        </is>
      </c>
      <c r="B4" s="8" t="inlineStr">
        <is>
          <t>보병 ×5 + 전쟁의 깃발 🏴</t>
        </is>
      </c>
      <c r="C4" s="8" t="inlineStr">
        <is>
          <t>👑 전쟁군주 (영웅)</t>
        </is>
      </c>
      <c r="D4" s="8" t="inlineStr">
        <is>
          <t>많은 병사가 하나의 왕을 만든다</t>
        </is>
      </c>
    </row>
    <row r="5">
      <c r="A5" s="9" t="inlineStr">
        <is>
          <t>★★☆☆☆</t>
        </is>
      </c>
      <c r="B5" s="9" t="inlineStr">
        <is>
          <t>궁수 ×3 + 바람의 결정 💨</t>
        </is>
      </c>
      <c r="C5" s="9" t="inlineStr">
        <is>
          <t>🦅 매의 눈 (영웅)</t>
        </is>
      </c>
      <c r="D5" s="9" t="inlineStr">
        <is>
          <t>바람을 읽는 자</t>
        </is>
      </c>
    </row>
    <row r="6">
      <c r="A6" s="8" t="inlineStr">
        <is>
          <t>★★☆☆☆</t>
        </is>
      </c>
      <c r="B6" s="8" t="inlineStr">
        <is>
          <t>마법사 ×3 + 태초의 마나 🔮</t>
        </is>
      </c>
      <c r="C6" s="8" t="inlineStr">
        <is>
          <t>📖 현자 (영웅)</t>
        </is>
      </c>
      <c r="D6" s="8" t="inlineStr">
        <is>
          <t>마법의 근원을 깨달은 자</t>
        </is>
      </c>
    </row>
    <row r="7">
      <c r="A7" s="9" t="inlineStr">
        <is>
          <t>★★★☆☆</t>
        </is>
      </c>
      <c r="B7" s="9" t="inlineStr">
        <is>
          <t>드루이드 + 맹수조련사 + 세계수 잎 🌳</t>
        </is>
      </c>
      <c r="C7" s="9" t="inlineStr">
        <is>
          <t>🌳 세계수 정령 (전설)</t>
        </is>
      </c>
      <c r="D7" s="9" t="inlineStr">
        <is>
          <t>자연과 하나가 되다</t>
        </is>
      </c>
    </row>
    <row r="8">
      <c r="A8" s="8" t="inlineStr">
        <is>
          <t>★★★☆☆</t>
        </is>
      </c>
      <c r="B8" s="8" t="inlineStr">
        <is>
          <t>닌자 + 암살자 + 그림자 조각 🌑</t>
        </is>
      </c>
      <c r="C8" s="8" t="inlineStr">
        <is>
          <t>🌑 그림자 군주 (영웅)</t>
        </is>
      </c>
      <c r="D8" s="8" t="inlineStr">
        <is>
          <t>어둠 속의 지배자</t>
        </is>
      </c>
    </row>
    <row r="9">
      <c r="A9" s="9" t="inlineStr">
        <is>
          <t>★★★★☆</t>
        </is>
      </c>
      <c r="B9" s="9" t="inlineStr">
        <is>
          <t>마왕 + 혼돈의군주 + 마왕의 심장</t>
        </is>
      </c>
      <c r="C9" s="9" t="inlineStr">
        <is>
          <t>💀 세계의 끝 (신화)</t>
        </is>
      </c>
      <c r="D9" s="9" t="inlineStr">
        <is>
          <t>세계를 삼키는 어둠</t>
        </is>
      </c>
    </row>
    <row r="10">
      <c r="A10" s="8" t="inlineStr">
        <is>
          <t>★★★★☆</t>
        </is>
      </c>
      <c r="B10" s="8" t="inlineStr">
        <is>
          <t>모든 원소 마법사 4종 + 원소의 왕관</t>
        </is>
      </c>
      <c r="C10" s="8" t="inlineStr">
        <is>
          <t>🌈 원소의 왕 (신화, 신규!)</t>
        </is>
      </c>
      <c r="D10" s="8" t="inlineStr">
        <is>
          <t>네 원소의 조화</t>
        </is>
      </c>
    </row>
    <row r="11">
      <c r="A11" s="9" t="inlineStr">
        <is>
          <t>★★★★★</t>
        </is>
      </c>
      <c r="B11" s="9" t="inlineStr">
        <is>
          <t>바하무트 + 세계의끝 + 창세의 조각</t>
        </is>
      </c>
      <c r="C11" s="9" t="inlineStr">
        <is>
          <t>🌌 태초의 존재 (초신화, 신규!)</t>
        </is>
      </c>
      <c r="D11" s="9" t="inlineStr">
        <is>
          <t>세계의 시작과 끝이 만나다</t>
        </is>
      </c>
    </row>
    <row r="12">
      <c r="A12" s="8" t="inlineStr"/>
      <c r="B12" s="8" t="inlineStr"/>
      <c r="C12" s="8" t="inlineStr"/>
      <c r="D12" s="8" t="inlineStr"/>
    </row>
    <row r="13">
      <c r="A13" s="9" t="inlineStr">
        <is>
          <t>숨겨진 재료 획득처</t>
        </is>
      </c>
      <c r="B13" s="9" t="inlineStr"/>
      <c r="C13" s="9" t="inlineStr"/>
      <c r="D13" s="9" t="inlineStr"/>
    </row>
    <row r="14">
      <c r="A14" s="8" t="inlineStr">
        <is>
          <t>전쟁의 깃발 🏴</t>
        </is>
      </c>
      <c r="B14" s="8" t="inlineStr">
        <is>
          <t>공성전 10연승</t>
        </is>
      </c>
      <c r="C14" s="8" t="inlineStr"/>
      <c r="D14" s="8" t="inlineStr">
        <is>
          <t>도전!</t>
        </is>
      </c>
    </row>
    <row r="15">
      <c r="A15" s="9" t="inlineStr">
        <is>
          <t>바람의 결정 💨</t>
        </is>
      </c>
      <c r="B15" s="9" t="inlineStr">
        <is>
          <t>무역 루트 전체 1회 완주</t>
        </is>
      </c>
      <c r="C15" s="9" t="inlineStr"/>
      <c r="D15" s="9" t="inlineStr">
        <is>
          <t>모든 길을 걸어라</t>
        </is>
      </c>
    </row>
    <row r="16">
      <c r="A16" s="8" t="inlineStr">
        <is>
          <t>태초의 마나 🔮</t>
        </is>
      </c>
      <c r="B16" s="8" t="inlineStr">
        <is>
          <t>마법사 계열 용병 10종 수집</t>
        </is>
      </c>
      <c r="C16" s="8" t="inlineStr"/>
      <c r="D16" s="8" t="inlineStr">
        <is>
          <t>마법 컬렉터</t>
        </is>
      </c>
    </row>
    <row r="17">
      <c r="A17" s="9" t="inlineStr">
        <is>
          <t>세계수 잎 🌳</t>
        </is>
      </c>
      <c r="B17" s="9" t="inlineStr">
        <is>
          <t>세계수 이벤트 참여 3회</t>
        </is>
      </c>
      <c r="C17" s="9" t="inlineStr"/>
      <c r="D17" s="9" t="inlineStr">
        <is>
          <t>자연의 축복</t>
        </is>
      </c>
    </row>
    <row r="18">
      <c r="A18" s="8" t="inlineStr">
        <is>
          <t>그림자 조각 🌑</t>
        </is>
      </c>
      <c r="B18" s="8" t="inlineStr">
        <is>
          <t>PK 30킬 (카오틱 전용)</t>
        </is>
      </c>
      <c r="C18" s="8" t="inlineStr"/>
      <c r="D18" s="8" t="inlineStr">
        <is>
          <t>어둠의 길</t>
        </is>
      </c>
    </row>
    <row r="19">
      <c r="A19" s="9" t="inlineStr">
        <is>
          <t>마왕의 심장</t>
        </is>
      </c>
      <c r="B19" s="9" t="inlineStr">
        <is>
          <t>마왕 용병 초월 달성</t>
        </is>
      </c>
      <c r="C19" s="9" t="inlineStr"/>
      <c r="D19" s="9" t="inlineStr">
        <is>
          <t>마왕을 넘어서</t>
        </is>
      </c>
    </row>
    <row r="20">
      <c r="A20" s="8" t="inlineStr">
        <is>
          <t>원소의 왕관 🌈</t>
        </is>
      </c>
      <c r="B20" s="8" t="inlineStr">
        <is>
          <t>4원소 던전 올클리어</t>
        </is>
      </c>
      <c r="C20" s="8" t="inlineStr"/>
      <c r="D20" s="8" t="inlineStr">
        <is>
          <t>모든 원소의 지배자</t>
        </is>
      </c>
    </row>
    <row r="21">
      <c r="A21" s="9" t="inlineStr">
        <is>
          <t>창세의 조각</t>
        </is>
      </c>
      <c r="B21" s="9" t="inlineStr">
        <is>
          <t>서버 1위 달성 (시즌 엔딩)</t>
        </is>
      </c>
      <c r="C21" s="9" t="inlineStr"/>
      <c r="D21" s="9" t="inlineStr">
        <is>
          <t>최강자의 자격</t>
        </is>
      </c>
    </row>
  </sheetData>
  <mergeCells count="1">
    <mergeCell ref="A1:D1"/>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4" customWidth="1" min="1" max="1"/>
    <col width="25" customWidth="1" min="2" max="2"/>
    <col width="30" customWidth="1" min="3" max="3"/>
    <col width="16" customWidth="1" min="4" max="4"/>
  </cols>
  <sheetData>
    <row r="1">
      <c r="A1" s="6" t="inlineStr">
        <is>
          <t>용병 원정대 시스템</t>
        </is>
      </c>
    </row>
    <row r="3">
      <c r="A3" s="7" t="inlineStr">
        <is>
          <t>시스템</t>
        </is>
      </c>
      <c r="B3" s="7" t="inlineStr">
        <is>
          <t>상세</t>
        </is>
      </c>
      <c r="C3" s="7" t="inlineStr">
        <is>
          <t>보상</t>
        </is>
      </c>
      <c r="D3" s="7" t="inlineStr">
        <is>
          <t>재미 포인트</t>
        </is>
      </c>
    </row>
    <row r="4">
      <c r="A4" s="8" t="inlineStr">
        <is>
          <t>기본 원정</t>
        </is>
      </c>
      <c r="B4" s="8" t="inlineStr">
        <is>
          <t>미편성 용병을 원정에 파견 (1~12시간)</t>
        </is>
      </c>
      <c r="C4" s="8" t="inlineStr">
        <is>
          <t>골드, 재료, 용병 EXP</t>
        </is>
      </c>
      <c r="D4" s="8" t="inlineStr">
        <is>
          <t>오프라인 수익!</t>
        </is>
      </c>
    </row>
    <row r="5">
      <c r="A5" s="9" t="inlineStr">
        <is>
          <t>원정 등급</t>
        </is>
      </c>
      <c r="B5" s="9" t="inlineStr">
        <is>
          <t>전투력 기반 난이도 매칭</t>
        </is>
      </c>
      <c r="C5" s="9" t="inlineStr">
        <is>
          <t>높을수록 희귀 보상</t>
        </is>
      </c>
      <c r="D5" s="9" t="inlineStr">
        <is>
          <t>강한 용병 = 좋은 보상</t>
        </is>
      </c>
    </row>
    <row r="6">
      <c r="A6" s="8" t="inlineStr"/>
      <c r="B6" s="8" t="inlineStr"/>
      <c r="C6" s="8" t="inlineStr"/>
      <c r="D6" s="8" t="inlineStr"/>
    </row>
    <row r="7">
      <c r="A7" s="9" t="inlineStr">
        <is>
          <t>🌲 숲 원정 (1시간)</t>
        </is>
      </c>
      <c r="B7" s="9" t="inlineStr">
        <is>
          <t>전투력 100+</t>
        </is>
      </c>
      <c r="C7" s="9" t="inlineStr">
        <is>
          <t>200G + 재료 2 + EXP 50</t>
        </is>
      </c>
      <c r="D7" s="9" t="inlineStr">
        <is>
          <t>초보 원정</t>
        </is>
      </c>
    </row>
    <row r="8">
      <c r="A8" s="8" t="inlineStr">
        <is>
          <t>🏔️ 산맥 원정 (3시간)</t>
        </is>
      </c>
      <c r="B8" s="8" t="inlineStr">
        <is>
          <t>전투력 500+</t>
        </is>
      </c>
      <c r="C8" s="8" t="inlineStr">
        <is>
          <t>1,000G + 재료 8 + EXP 200</t>
        </is>
      </c>
      <c r="D8" s="8" t="inlineStr">
        <is>
          <t>중급 원정</t>
        </is>
      </c>
    </row>
    <row r="9">
      <c r="A9" s="9" t="inlineStr">
        <is>
          <t>🌋 화산 원정 (6시간)</t>
        </is>
      </c>
      <c r="B9" s="9" t="inlineStr">
        <is>
          <t>전투력 2000+</t>
        </is>
      </c>
      <c r="C9" s="9" t="inlineStr">
        <is>
          <t>5,000G + 재료 20 + 10% 카드</t>
        </is>
      </c>
      <c r="D9" s="9" t="inlineStr">
        <is>
          <t>상급 원정</t>
        </is>
      </c>
    </row>
    <row r="10">
      <c r="A10" s="8" t="inlineStr">
        <is>
          <t>🏰 고대 유적 (12시간)</t>
        </is>
      </c>
      <c r="B10" s="8" t="inlineStr">
        <is>
          <t>전투력 5000+</t>
        </is>
      </c>
      <c r="C10" s="8" t="inlineStr">
        <is>
          <t>15,000G + 재료 50 + 30% 카드 + 5% 각성석</t>
        </is>
      </c>
      <c r="D10" s="8" t="inlineStr">
        <is>
          <t>최상급 원정</t>
        </is>
      </c>
    </row>
    <row r="11">
      <c r="A11" s="9" t="inlineStr">
        <is>
          <t>🌌 차원의 틈 (24시간)</t>
        </is>
      </c>
      <c r="B11" s="9" t="inlineStr">
        <is>
          <t>전투력 10000+</t>
        </is>
      </c>
      <c r="C11" s="9" t="inlineStr">
        <is>
          <t>50,000G + 100💎 + 확정 각성석 + 10% 신화재료</t>
        </is>
      </c>
      <c r="D11" s="9" t="inlineStr">
        <is>
          <t>전설 원정!</t>
        </is>
      </c>
    </row>
    <row r="12">
      <c r="A12" s="8" t="inlineStr"/>
      <c r="B12" s="8" t="inlineStr"/>
      <c r="C12" s="8" t="inlineStr"/>
      <c r="D12" s="8" t="inlineStr"/>
    </row>
    <row r="13">
      <c r="A13" s="9" t="inlineStr">
        <is>
          <t>원정 이벤트</t>
        </is>
      </c>
      <c r="B13" s="9" t="inlineStr">
        <is>
          <t>10% 확률로 특수 이벤트 발생</t>
        </is>
      </c>
      <c r="C13" s="9" t="inlineStr"/>
      <c r="D13" s="9" t="inlineStr">
        <is>
          <t>랜덤의 재미</t>
        </is>
      </c>
    </row>
    <row r="14">
      <c r="A14" s="8" t="inlineStr">
        <is>
          <t>보물 발견</t>
        </is>
      </c>
      <c r="B14" s="8" t="inlineStr">
        <is>
          <t>원정 중 숨겨진 보물 발견</t>
        </is>
      </c>
      <c r="C14" s="8" t="inlineStr">
        <is>
          <t>5,000G + 희귀 재료</t>
        </is>
      </c>
      <c r="D14" s="8" t="inlineStr">
        <is>
          <t>행운!</t>
        </is>
      </c>
    </row>
    <row r="15">
      <c r="A15" s="9" t="inlineStr">
        <is>
          <t>조난 구조</t>
        </is>
      </c>
      <c r="B15" s="9" t="inlineStr">
        <is>
          <t>실종된 NPC 구출 (선택)</t>
        </is>
      </c>
      <c r="C15" s="9" t="inlineStr">
        <is>
          <t>호감도 + 특수 아이템</t>
        </is>
      </c>
      <c r="D15" s="9" t="inlineStr">
        <is>
          <t>스토리 이벤트</t>
        </is>
      </c>
    </row>
    <row r="16">
      <c r="A16" s="8" t="inlineStr">
        <is>
          <t>적 습격</t>
        </is>
      </c>
      <c r="B16" s="8" t="inlineStr">
        <is>
          <t>원정 중 적 습격, 용병 HP 감소</t>
        </is>
      </c>
      <c r="C16" s="8" t="inlineStr">
        <is>
          <t>추가 전리품 or 실패</t>
        </is>
      </c>
      <c r="D16" s="8" t="inlineStr">
        <is>
          <t>긴장감</t>
        </is>
      </c>
    </row>
    <row r="17">
      <c r="A17" s="9" t="inlineStr">
        <is>
          <t>비밀 던전</t>
        </is>
      </c>
      <c r="B17" s="9" t="inlineStr">
        <is>
          <t>숨겨진 던전 입구 발견</t>
        </is>
      </c>
      <c r="C17" s="9" t="inlineStr">
        <is>
          <t>희귀 용병 카드</t>
        </is>
      </c>
      <c r="D17" s="9" t="inlineStr">
        <is>
          <t>발견의 쾌감!</t>
        </is>
      </c>
    </row>
    <row r="18">
      <c r="A18" s="8" t="inlineStr"/>
      <c r="B18" s="8" t="inlineStr"/>
      <c r="C18" s="8" t="inlineStr"/>
      <c r="D18" s="8" t="inlineStr"/>
    </row>
    <row r="19">
      <c r="A19" s="9" t="inlineStr">
        <is>
          <t>동시 원정</t>
        </is>
      </c>
      <c r="B19" s="9" t="inlineStr">
        <is>
          <t>최대 3개 원정 동시 파견</t>
        </is>
      </c>
      <c r="C19" s="9" t="inlineStr">
        <is>
          <t>원정 슬롯 확장: 5,000💎</t>
        </is>
      </c>
      <c r="D19" s="9" t="inlineStr">
        <is>
          <t>다중 수익</t>
        </is>
      </c>
    </row>
    <row r="20">
      <c r="A20" s="8" t="inlineStr">
        <is>
          <t>원정 보고서</t>
        </is>
      </c>
      <c r="B20" s="8" t="inlineStr">
        <is>
          <t>완료 시 스토리형 보고서 생성</t>
        </is>
      </c>
      <c r="C20" s="8" t="inlineStr">
        <is>
          <t>용병 성장 일기 느낌</t>
        </is>
      </c>
      <c r="D20" s="8" t="inlineStr">
        <is>
          <t>감정 이입</t>
        </is>
      </c>
    </row>
  </sheetData>
  <mergeCells count="1">
    <mergeCell ref="A1:D1"/>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4" customWidth="1" min="1" max="1"/>
    <col width="35" customWidth="1" min="2" max="2"/>
    <col width="12" customWidth="1" min="3" max="3"/>
    <col width="22" customWidth="1" min="4" max="4"/>
    <col width="16" customWidth="1" min="5" max="5"/>
  </cols>
  <sheetData>
    <row r="1">
      <c r="A1" s="6" t="inlineStr">
        <is>
          <t>SLG 시즌 이벤트 (대규모)</t>
        </is>
      </c>
    </row>
    <row r="3">
      <c r="A3" s="7" t="inlineStr">
        <is>
          <t>이벤트</t>
        </is>
      </c>
      <c r="B3" s="7" t="inlineStr">
        <is>
          <t>주기</t>
        </is>
      </c>
      <c r="C3" s="7" t="inlineStr">
        <is>
          <t>참가 조건</t>
        </is>
      </c>
      <c r="D3" s="7" t="inlineStr">
        <is>
          <t>보상</t>
        </is>
      </c>
      <c r="E3" s="7" t="inlineStr">
        <is>
          <t>핵심 재미</t>
        </is>
      </c>
    </row>
    <row r="4">
      <c r="A4" s="8" t="inlineStr">
        <is>
          <t>🐲 드래곤 시즌</t>
        </is>
      </c>
      <c r="B4" s="8" t="inlineStr">
        <is>
          <t>1개월</t>
        </is>
      </c>
      <c r="C4" s="8" t="inlineStr">
        <is>
          <t>성 레벨 2+</t>
        </is>
      </c>
      <c r="D4" s="8" t="inlineStr">
        <is>
          <t>드래곤 용병 카드, 용알, 각성석</t>
        </is>
      </c>
      <c r="E4" s="8" t="inlineStr">
        <is>
          <t>서버 협동 토벌</t>
        </is>
      </c>
    </row>
    <row r="5">
      <c r="A5" s="9" t="inlineStr">
        <is>
          <t>동작</t>
        </is>
      </c>
      <c r="B5" s="9" t="inlineStr">
        <is>
          <t>매일 드래곤 웨이브 침공, 성 방어</t>
        </is>
      </c>
      <c r="C5" s="9" t="inlineStr"/>
      <c r="D5" s="9" t="inlineStr">
        <is>
          <t>물량전 서바이벌</t>
        </is>
      </c>
    </row>
    <row r="6">
      <c r="A6" s="8" t="inlineStr">
        <is>
          <t>최종 보스</t>
        </is>
      </c>
      <c r="B6" s="8" t="inlineStr">
        <is>
          <t>시즌 마지막 주 — 고대 용왕 출현</t>
        </is>
      </c>
      <c r="C6" s="8" t="inlineStr">
        <is>
          <t>신화 용병 카드 10%</t>
        </is>
      </c>
      <c r="D6" s="8" t="inlineStr">
        <is>
          <t>서버 전체 협동!</t>
        </is>
      </c>
    </row>
    <row r="7">
      <c r="A7" s="9" t="inlineStr"/>
      <c r="B7" s="9" t="inlineStr"/>
      <c r="C7" s="9" t="inlineStr"/>
      <c r="D7" s="9" t="inlineStr"/>
      <c r="E7" s="9" t="inlineStr"/>
    </row>
    <row r="8">
      <c r="A8" s="8" t="inlineStr">
        <is>
          <t>⚔️ 정복 시즌</t>
        </is>
      </c>
      <c r="B8" s="8" t="inlineStr">
        <is>
          <t>1개월</t>
        </is>
      </c>
      <c r="C8" s="8" t="inlineStr">
        <is>
          <t>혈맹 소속</t>
        </is>
      </c>
      <c r="D8" s="8" t="inlineStr">
        <is>
          <t>영토, 세금, 칭호</t>
        </is>
      </c>
      <c r="E8" s="8" t="inlineStr">
        <is>
          <t>대규모 전쟁</t>
        </is>
      </c>
    </row>
    <row r="9">
      <c r="A9" s="9" t="inlineStr">
        <is>
          <t>동작</t>
        </is>
      </c>
      <c r="B9" s="9" t="inlineStr">
        <is>
          <t>혈맹끼리 영토 쟁탈, 매일 영토전</t>
        </is>
      </c>
      <c r="C9" s="9" t="inlineStr"/>
      <c r="D9" s="9" t="inlineStr">
        <is>
          <t>전략적 외교</t>
        </is>
      </c>
    </row>
    <row r="10">
      <c r="A10" s="8" t="inlineStr">
        <is>
          <t>핵심</t>
        </is>
      </c>
      <c r="B10" s="8" t="inlineStr">
        <is>
          <t>동맹/배신/밀약이 가능한 외교 시스템</t>
        </is>
      </c>
      <c r="C10" s="8" t="inlineStr"/>
      <c r="D10" s="8" t="inlineStr">
        <is>
          <t>정치의 재미!</t>
        </is>
      </c>
    </row>
    <row r="11">
      <c r="A11" s="9" t="inlineStr"/>
      <c r="B11" s="9" t="inlineStr"/>
      <c r="C11" s="9" t="inlineStr"/>
      <c r="D11" s="9" t="inlineStr"/>
      <c r="E11" s="9" t="inlineStr"/>
    </row>
    <row r="12">
      <c r="A12" s="8" t="inlineStr">
        <is>
          <t>💰 무역 황금기</t>
        </is>
      </c>
      <c r="B12" s="8" t="inlineStr">
        <is>
          <t>2주</t>
        </is>
      </c>
      <c r="C12" s="8" t="inlineStr">
        <is>
          <t>무역 레벨 3+</t>
        </is>
      </c>
      <c r="D12" s="8" t="inlineStr">
        <is>
          <t>골드 3배, 전용 칭호</t>
        </is>
      </c>
      <c r="E12" s="8" t="inlineStr">
        <is>
          <t>무역왕 경쟁</t>
        </is>
      </c>
    </row>
    <row r="13">
      <c r="A13" s="9" t="inlineStr">
        <is>
          <t>동작</t>
        </is>
      </c>
      <c r="B13" s="9" t="inlineStr">
        <is>
          <t>특수 무역품 등장, 이윤 3배, PvP 약탈 활성화</t>
        </is>
      </c>
      <c r="C13" s="9" t="inlineStr"/>
      <c r="D13" s="9" t="inlineStr">
        <is>
          <t>하이리스크 하이리턴</t>
        </is>
      </c>
    </row>
    <row r="14">
      <c r="A14" s="8" t="inlineStr"/>
      <c r="B14" s="8" t="inlineStr"/>
      <c r="C14" s="8" t="inlineStr"/>
      <c r="D14" s="8" t="inlineStr"/>
      <c r="E14" s="8" t="inlineStr"/>
    </row>
    <row r="15">
      <c r="A15" s="9" t="inlineStr">
        <is>
          <t>👹 마왕 침공</t>
        </is>
      </c>
      <c r="B15" s="9" t="inlineStr">
        <is>
          <t>1개월</t>
        </is>
      </c>
      <c r="C15" s="9" t="inlineStr">
        <is>
          <t>성 레벨 3+</t>
        </is>
      </c>
      <c r="D15" s="9" t="inlineStr">
        <is>
          <t>전설 용병, 궁극 장비</t>
        </is>
      </c>
      <c r="E15" s="9" t="inlineStr">
        <is>
          <t>서버 위기</t>
        </is>
      </c>
    </row>
    <row r="16">
      <c r="A16" s="8" t="inlineStr">
        <is>
          <t>동작</t>
        </is>
      </c>
      <c r="B16" s="8" t="inlineStr">
        <is>
          <t>매일 마왕 군단이 랜덤 성 공격</t>
        </is>
      </c>
      <c r="C16" s="8" t="inlineStr"/>
      <c r="D16" s="8" t="inlineStr">
        <is>
          <t>방어 실패 시 성 파괴!</t>
        </is>
      </c>
    </row>
    <row r="17">
      <c r="A17" s="9" t="inlineStr">
        <is>
          <t>핵심</t>
        </is>
      </c>
      <c r="B17" s="9" t="inlineStr">
        <is>
          <t>플레이어 간 지원/구원 시스템</t>
        </is>
      </c>
      <c r="C17" s="9" t="inlineStr"/>
      <c r="D17" s="9" t="inlineStr">
        <is>
          <t>협동의 재미</t>
        </is>
      </c>
    </row>
    <row r="18">
      <c r="A18" s="8" t="inlineStr"/>
      <c r="B18" s="8" t="inlineStr"/>
      <c r="C18" s="8" t="inlineStr"/>
      <c r="D18" s="8" t="inlineStr"/>
      <c r="E18" s="8" t="inlineStr"/>
    </row>
    <row r="19">
      <c r="A19" s="9" t="inlineStr">
        <is>
          <t>🏆 챔피언 시즌</t>
        </is>
      </c>
      <c r="B19" s="9" t="inlineStr">
        <is>
          <t>3개월</t>
        </is>
      </c>
      <c r="C19" s="9" t="inlineStr">
        <is>
          <t>종합 랭킹</t>
        </is>
      </c>
      <c r="D19" s="9" t="inlineStr">
        <is>
          <t>시즌 한정 신화 용병, 칭호, 성 스킨</t>
        </is>
      </c>
      <c r="E19" s="9" t="inlineStr">
        <is>
          <t>최종 컨텐츠</t>
        </is>
      </c>
    </row>
    <row r="20">
      <c r="A20" s="8" t="inlineStr">
        <is>
          <t>점수 기준</t>
        </is>
      </c>
      <c r="B20" s="8" t="inlineStr">
        <is>
          <t>IO 순위 + 공성 승률 + 용병 전투력 + 무역 이윤 + 도감 완성도</t>
        </is>
      </c>
      <c r="C20" s="8" t="inlineStr"/>
      <c r="D20" s="8" t="inlineStr">
        <is>
          <t>모든 컨텐츠 참여!</t>
        </is>
      </c>
    </row>
  </sheetData>
  <mergeCells count="1">
    <mergeCell ref="A1:E1"/>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4" customWidth="1" min="1" max="1"/>
    <col width="20" customWidth="1" min="2" max="2"/>
    <col width="35" customWidth="1" min="3" max="3"/>
    <col width="14" customWidth="1" min="4" max="4"/>
  </cols>
  <sheetData>
    <row r="1">
      <c r="A1" s="6" t="inlineStr">
        <is>
          <t>공성전 고급 전략 시스템</t>
        </is>
      </c>
    </row>
    <row r="3">
      <c r="A3" s="7" t="inlineStr">
        <is>
          <t>카테고리</t>
        </is>
      </c>
      <c r="B3" s="7" t="inlineStr">
        <is>
          <t>이름</t>
        </is>
      </c>
      <c r="C3" s="7" t="inlineStr">
        <is>
          <t>효과</t>
        </is>
      </c>
      <c r="D3" s="7" t="inlineStr">
        <is>
          <t>비용/조건</t>
        </is>
      </c>
    </row>
    <row r="4">
      <c r="A4" s="8" t="inlineStr">
        <is>
          <t>🔨 공성 무기</t>
        </is>
      </c>
      <c r="B4" s="8" t="inlineStr">
        <is>
          <t>투석기</t>
        </is>
      </c>
      <c r="C4" s="8" t="inlineStr">
        <is>
          <t>성벽에 300 데미지 (범위)</t>
        </is>
      </c>
      <c r="D4" s="8" t="inlineStr">
        <is>
          <t>공격측 5,000G</t>
        </is>
      </c>
    </row>
    <row r="5">
      <c r="A5" s="9" t="inlineStr">
        <is>
          <t>🔨 공성 무기</t>
        </is>
      </c>
      <c r="B5" s="9" t="inlineStr">
        <is>
          <t>파성추</t>
        </is>
      </c>
      <c r="C5" s="9" t="inlineStr">
        <is>
          <t>성문에 500 데미지 (단일)</t>
        </is>
      </c>
      <c r="D5" s="9" t="inlineStr">
        <is>
          <t>공격측 8,000G</t>
        </is>
      </c>
    </row>
    <row r="6">
      <c r="A6" s="8" t="inlineStr">
        <is>
          <t>🔨 공성 무기</t>
        </is>
      </c>
      <c r="B6" s="8" t="inlineStr">
        <is>
          <t>공성탑</t>
        </is>
      </c>
      <c r="C6" s="8" t="inlineStr">
        <is>
          <t>성벽 위로 우회 침투</t>
        </is>
      </c>
      <c r="D6" s="8" t="inlineStr">
        <is>
          <t>공격측 10,000G</t>
        </is>
      </c>
    </row>
    <row r="7">
      <c r="A7" s="9" t="inlineStr">
        <is>
          <t>🔨 공성 무기</t>
        </is>
      </c>
      <c r="B7" s="9" t="inlineStr">
        <is>
          <t>화약통</t>
        </is>
      </c>
      <c r="C7" s="9" t="inlineStr">
        <is>
          <t>함정 3개 일괄 파괴</t>
        </is>
      </c>
      <c r="D7" s="9" t="inlineStr">
        <is>
          <t>공격측 3,000G</t>
        </is>
      </c>
    </row>
    <row r="8">
      <c r="A8" s="8" t="inlineStr"/>
      <c r="B8" s="8" t="inlineStr"/>
      <c r="C8" s="8" t="inlineStr"/>
      <c r="D8" s="8" t="inlineStr"/>
    </row>
    <row r="9">
      <c r="A9" s="9" t="inlineStr">
        <is>
          <t>🛡️ 방어 시설</t>
        </is>
      </c>
      <c r="B9" s="9" t="inlineStr">
        <is>
          <t>끓는 기름</t>
        </is>
      </c>
      <c r="C9" s="9" t="inlineStr">
        <is>
          <t>성벽 접근 적 200 데미지/초</t>
        </is>
      </c>
      <c r="D9" s="9" t="inlineStr">
        <is>
          <t>방어측 4,000G</t>
        </is>
      </c>
    </row>
    <row r="10">
      <c r="A10" s="8" t="inlineStr">
        <is>
          <t>🛡️ 방어 시설</t>
        </is>
      </c>
      <c r="B10" s="8" t="inlineStr">
        <is>
          <t>마법 포탑</t>
        </is>
      </c>
      <c r="C10" s="8" t="inlineStr">
        <is>
          <t>최강 적 자동 추적, 50 데미지</t>
        </is>
      </c>
      <c r="D10" s="8" t="inlineStr">
        <is>
          <t>방어측 6,000G</t>
        </is>
      </c>
    </row>
    <row r="11">
      <c r="A11" s="9" t="inlineStr">
        <is>
          <t>🛡️ 방어 시설</t>
        </is>
      </c>
      <c r="B11" s="9" t="inlineStr">
        <is>
          <t>치유 오라</t>
        </is>
      </c>
      <c r="C11" s="9" t="inlineStr">
        <is>
          <t>범위 내 용병 매초 HP 3% 회복</t>
        </is>
      </c>
      <c r="D11" s="9" t="inlineStr">
        <is>
          <t>방어측 5,000G</t>
        </is>
      </c>
    </row>
    <row r="12">
      <c r="A12" s="8" t="inlineStr">
        <is>
          <t>🛡️ 방어 시설</t>
        </is>
      </c>
      <c r="B12" s="8" t="inlineStr">
        <is>
          <t>소환진</t>
        </is>
      </c>
      <c r="C12" s="8" t="inlineStr">
        <is>
          <t>해골 기사 5체를 10초마다 소환</t>
        </is>
      </c>
      <c r="D12" s="8" t="inlineStr">
        <is>
          <t>방어측 8,000G</t>
        </is>
      </c>
    </row>
    <row r="13">
      <c r="A13" s="9" t="inlineStr"/>
      <c r="B13" s="9" t="inlineStr"/>
      <c r="C13" s="9" t="inlineStr"/>
      <c r="D13" s="9" t="inlineStr"/>
    </row>
    <row r="14">
      <c r="A14" s="8" t="inlineStr">
        <is>
          <t>🌤️ 날씨 효과</t>
        </is>
      </c>
      <c r="B14" s="8" t="inlineStr">
        <is>
          <t>폭풍 ⛈️</t>
        </is>
      </c>
      <c r="C14" s="8" t="inlineStr">
        <is>
          <t>전체 시야 -50%, 원거리 명중률 -30%</t>
        </is>
      </c>
      <c r="D14" s="8" t="inlineStr">
        <is>
          <t>랜덤 발생</t>
        </is>
      </c>
    </row>
    <row r="15">
      <c r="A15" s="9" t="inlineStr">
        <is>
          <t>🌤️ 날씨 효과</t>
        </is>
      </c>
      <c r="B15" s="9" t="inlineStr">
        <is>
          <t>안개 🌫️</t>
        </is>
      </c>
      <c r="C15" s="9" t="inlineStr">
        <is>
          <t>시야 -80%, 암살자 계열 ATK +30%</t>
        </is>
      </c>
      <c r="D15" s="9" t="inlineStr">
        <is>
          <t>랜덤 발생</t>
        </is>
      </c>
    </row>
    <row r="16">
      <c r="A16" s="8" t="inlineStr">
        <is>
          <t>🌤️ 날씨 효과</t>
        </is>
      </c>
      <c r="B16" s="8" t="inlineStr">
        <is>
          <t>폭설 ❄️</t>
        </is>
      </c>
      <c r="C16" s="8" t="inlineStr">
        <is>
          <t>이동속도 -30%, 화염 데미지 +50%</t>
        </is>
      </c>
      <c r="D16" s="8" t="inlineStr">
        <is>
          <t>랜덤 발생</t>
        </is>
      </c>
    </row>
    <row r="17">
      <c r="A17" s="9" t="inlineStr">
        <is>
          <t>🌤️ 날씨 효과</t>
        </is>
      </c>
      <c r="B17" s="9" t="inlineStr">
        <is>
          <t>쾌청 ☀️</t>
        </is>
      </c>
      <c r="C17" s="9" t="inlineStr">
        <is>
          <t>전체 시야 +30%, 치유 효과 +20%</t>
        </is>
      </c>
      <c r="D17" s="9" t="inlineStr">
        <is>
          <t>랜덤 발생</t>
        </is>
      </c>
    </row>
    <row r="18">
      <c r="A18" s="8" t="inlineStr"/>
      <c r="B18" s="8" t="inlineStr"/>
      <c r="C18" s="8" t="inlineStr"/>
      <c r="D18" s="8" t="inlineStr"/>
    </row>
    <row r="19">
      <c r="A19" s="9" t="inlineStr">
        <is>
          <t>📢 사기 시스템</t>
        </is>
      </c>
      <c r="B19" s="9" t="inlineStr">
        <is>
          <t>아군 처치 시</t>
        </is>
      </c>
      <c r="C19" s="9" t="inlineStr">
        <is>
          <t>사기 -10, ATK/DEF -1% per 사기</t>
        </is>
      </c>
      <c r="D19" s="9" t="inlineStr">
        <is>
          <t>심리전!</t>
        </is>
      </c>
    </row>
    <row r="20">
      <c r="A20" s="8" t="inlineStr">
        <is>
          <t>📢 사기 시스템</t>
        </is>
      </c>
      <c r="B20" s="8" t="inlineStr">
        <is>
          <t>적 처치 시</t>
        </is>
      </c>
      <c r="C20" s="8" t="inlineStr">
        <is>
          <t>사기 +15, ATK/DEF +1.5% per 사기</t>
        </is>
      </c>
      <c r="D20" s="8" t="inlineStr">
        <is>
          <t>사기 관리 전략</t>
        </is>
      </c>
    </row>
    <row r="21">
      <c r="A21" s="9" t="inlineStr">
        <is>
          <t>📢 사기 시스템</t>
        </is>
      </c>
      <c r="B21" s="9" t="inlineStr">
        <is>
          <t>사기 0 이하</t>
        </is>
      </c>
      <c r="C21" s="9" t="inlineStr">
        <is>
          <t>패닉 — 용병 30% 확률 도주</t>
        </is>
      </c>
      <c r="D21" s="9" t="inlineStr">
        <is>
          <t>역전의 기회!</t>
        </is>
      </c>
    </row>
    <row r="22">
      <c r="A22" s="8" t="inlineStr">
        <is>
          <t>📢 사기 시스템</t>
        </is>
      </c>
      <c r="B22" s="8" t="inlineStr">
        <is>
          <t>사기 100 이상</t>
        </is>
      </c>
      <c r="C22" s="8" t="inlineStr">
        <is>
          <t>광전 — ATK +50%, DEF -20%</t>
        </is>
      </c>
      <c r="D22" s="8" t="inlineStr">
        <is>
          <t>최종 돌격!</t>
        </is>
      </c>
    </row>
    <row r="23">
      <c r="A23" s="9" t="inlineStr"/>
      <c r="B23" s="9" t="inlineStr"/>
      <c r="C23" s="9" t="inlineStr"/>
      <c r="D23" s="9" t="inlineStr"/>
    </row>
    <row r="24">
      <c r="A24" s="8" t="inlineStr">
        <is>
          <t>🎯 성주 액티브</t>
        </is>
      </c>
      <c r="B24" s="8" t="inlineStr">
        <is>
          <t>성주도 실시간으로 지시 가능</t>
        </is>
      </c>
      <c r="C24" s="8" t="inlineStr">
        <is>
          <t>함정 원격 발동, 용병 이동 지시, 증원 호출</t>
        </is>
      </c>
      <c r="D24" s="8" t="inlineStr">
        <is>
          <t>성주도 바쁘다!</t>
        </is>
      </c>
    </row>
    <row r="25">
      <c r="A25" s="9" t="inlineStr">
        <is>
          <t>🎯 성주 스킬</t>
        </is>
      </c>
      <c r="B25" s="9" t="inlineStr">
        <is>
          <t>긴급 수리 (성벽 HP 30% 회복, CD 60초)</t>
        </is>
      </c>
      <c r="C25" s="9" t="inlineStr"/>
      <c r="D25" s="9" t="inlineStr"/>
    </row>
    <row r="26">
      <c r="A26" s="8" t="inlineStr">
        <is>
          <t>🎯 성주 스킬</t>
        </is>
      </c>
      <c r="B26" s="8" t="inlineStr">
        <is>
          <t>증원 (예비 용병 2명 즉시 투입, CD 90초)</t>
        </is>
      </c>
      <c r="C26" s="8" t="inlineStr"/>
      <c r="D26" s="8" t="inlineStr"/>
    </row>
    <row r="27">
      <c r="A27" s="9" t="inlineStr">
        <is>
          <t>🎯 성주 스킬</t>
        </is>
      </c>
      <c r="B27" s="9" t="inlineStr">
        <is>
          <t>결계 (10초간 왕좌 주변 무적 장벽, CD 120초)</t>
        </is>
      </c>
      <c r="C27" s="9" t="inlineStr"/>
      <c r="D27" s="9" t="inlineStr"/>
    </row>
  </sheetData>
  <mergeCells count="1">
    <mergeCell ref="A1:D1"/>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0" customWidth="1" min="1" max="1"/>
    <col width="14" customWidth="1" min="2" max="2"/>
    <col width="6" customWidth="1" min="3" max="3"/>
    <col width="6" customWidth="1" min="4" max="4"/>
    <col width="6" customWidth="1" min="5" max="5"/>
    <col width="6" customWidth="1" min="6" max="6"/>
    <col width="35" customWidth="1" min="7" max="7"/>
    <col width="16" customWidth="1" min="8" max="8"/>
  </cols>
  <sheetData>
    <row r="1">
      <c r="A1" s="6" t="inlineStr">
        <is>
          <t>신규 용병 v3.1 (10종 추가)</t>
        </is>
      </c>
    </row>
    <row r="3">
      <c r="A3" s="7" t="inlineStr">
        <is>
          <t>등급</t>
        </is>
      </c>
      <c r="B3" s="7" t="inlineStr">
        <is>
          <t>이름</t>
        </is>
      </c>
      <c r="C3" s="7" t="inlineStr">
        <is>
          <t>역할</t>
        </is>
      </c>
      <c r="D3" s="7" t="inlineStr">
        <is>
          <t>ATK</t>
        </is>
      </c>
      <c r="E3" s="7" t="inlineStr">
        <is>
          <t>DEF</t>
        </is>
      </c>
      <c r="F3" s="7" t="inlineStr">
        <is>
          <t>HP</t>
        </is>
      </c>
      <c r="G3" s="7" t="inlineStr">
        <is>
          <t>스킬</t>
        </is>
      </c>
      <c r="H3" s="7" t="inlineStr">
        <is>
          <t>획득 방법</t>
        </is>
      </c>
    </row>
    <row r="4">
      <c r="A4" s="8" t="inlineStr">
        <is>
          <t>신화 🌈</t>
        </is>
      </c>
      <c r="B4" s="8" t="inlineStr">
        <is>
          <t>원소의 왕</t>
        </is>
      </c>
      <c r="C4" s="8" t="inlineStr">
        <is>
          <t>마법</t>
        </is>
      </c>
      <c r="D4" s="8" t="inlineStr">
        <is>
          <t>85</t>
        </is>
      </c>
      <c r="E4" s="8" t="inlineStr">
        <is>
          <t>45</t>
        </is>
      </c>
      <c r="F4" s="8" t="inlineStr">
        <is>
          <t>750</t>
        </is>
      </c>
      <c r="G4" s="8" t="inlineStr">
        <is>
          <t>원소 폭풍 — 4원소 동시 광역 8배 + 랜덤 상태이상</t>
        </is>
      </c>
      <c r="H4" s="8" t="inlineStr">
        <is>
          <t>비밀 합성</t>
        </is>
      </c>
    </row>
    <row r="5">
      <c r="A5" s="9" t="inlineStr">
        <is>
          <t>초신화 🌌</t>
        </is>
      </c>
      <c r="B5" s="9" t="inlineStr">
        <is>
          <t>태초의 존재</t>
        </is>
      </c>
      <c r="C5" s="9" t="inlineStr">
        <is>
          <t>???</t>
        </is>
      </c>
      <c r="D5" s="9" t="inlineStr">
        <is>
          <t>120</t>
        </is>
      </c>
      <c r="E5" s="9" t="inlineStr">
        <is>
          <t>70</t>
        </is>
      </c>
      <c r="F5" s="9" t="inlineStr">
        <is>
          <t>1200</t>
        </is>
      </c>
      <c r="G5" s="9" t="inlineStr">
        <is>
          <t>창세의 빛 — 전체 15배 + 아군 전원 완전 회복 + 5초 무적</t>
        </is>
      </c>
      <c r="H5" s="9" t="inlineStr">
        <is>
          <t>비밀 합성</t>
        </is>
      </c>
    </row>
    <row r="6">
      <c r="A6" s="8" t="inlineStr"/>
      <c r="B6" s="8" t="inlineStr"/>
      <c r="C6" s="8" t="inlineStr"/>
      <c r="D6" s="8" t="inlineStr"/>
      <c r="E6" s="8" t="inlineStr"/>
      <c r="F6" s="8" t="inlineStr"/>
      <c r="G6" s="8" t="inlineStr"/>
      <c r="H6" s="8" t="inlineStr"/>
    </row>
    <row r="7">
      <c r="A7" s="9" t="inlineStr">
        <is>
          <t>영웅 🦊</t>
        </is>
      </c>
      <c r="B7" s="9" t="inlineStr">
        <is>
          <t>구미호</t>
        </is>
      </c>
      <c r="C7" s="9" t="inlineStr">
        <is>
          <t>암살</t>
        </is>
      </c>
      <c r="D7" s="9" t="inlineStr">
        <is>
          <t>43</t>
        </is>
      </c>
      <c r="E7" s="9" t="inlineStr">
        <is>
          <t>12</t>
        </is>
      </c>
      <c r="F7" s="9" t="inlineStr">
        <is>
          <t>190</t>
        </is>
      </c>
      <c r="G7" s="9" t="inlineStr">
        <is>
          <t>매혹 — 적 1체 3초 아군화 + 4배 단일</t>
        </is>
      </c>
      <c r="H7" s="9" t="inlineStr">
        <is>
          <t>몬스터 포획 진화</t>
        </is>
      </c>
    </row>
    <row r="8">
      <c r="A8" s="8" t="inlineStr">
        <is>
          <t>영웅 🌊</t>
        </is>
      </c>
      <c r="B8" s="8" t="inlineStr">
        <is>
          <t>해신</t>
        </is>
      </c>
      <c r="C8" s="8" t="inlineStr">
        <is>
          <t>마법</t>
        </is>
      </c>
      <c r="D8" s="8" t="inlineStr">
        <is>
          <t>46</t>
        </is>
      </c>
      <c r="E8" s="8" t="inlineStr">
        <is>
          <t>15</t>
        </is>
      </c>
      <c r="F8" s="8" t="inlineStr">
        <is>
          <t>220</t>
        </is>
      </c>
      <c r="G8" s="8" t="inlineStr">
        <is>
          <t>해일 — 광역 5배 + 3초 감속 50%</t>
        </is>
      </c>
      <c r="H8" s="8" t="inlineStr">
        <is>
          <t>해상 무역 이벤트</t>
        </is>
      </c>
    </row>
    <row r="9">
      <c r="A9" s="9" t="inlineStr">
        <is>
          <t>영웅 🏹</t>
        </is>
      </c>
      <c r="B9" s="9" t="inlineStr">
        <is>
          <t>엘프 궁수</t>
        </is>
      </c>
      <c r="C9" s="9" t="inlineStr">
        <is>
          <t>사수</t>
        </is>
      </c>
      <c r="D9" s="9" t="inlineStr">
        <is>
          <t>44</t>
        </is>
      </c>
      <c r="E9" s="9" t="inlineStr">
        <is>
          <t>10</t>
        </is>
      </c>
      <c r="F9" s="9" t="inlineStr">
        <is>
          <t>160</t>
        </is>
      </c>
      <c r="G9" s="9" t="inlineStr">
        <is>
          <t>정밀 사격 — 5배 확정 크리 + 관통 3체</t>
        </is>
      </c>
      <c r="H9" s="9" t="inlineStr">
        <is>
          <t>비밀 합성</t>
        </is>
      </c>
    </row>
    <row r="10">
      <c r="A10" s="8" t="inlineStr">
        <is>
          <t>전설 🗡️</t>
        </is>
      </c>
      <c r="B10" s="8" t="inlineStr">
        <is>
          <t>검황</t>
        </is>
      </c>
      <c r="C10" s="8" t="inlineStr">
        <is>
          <t>전사</t>
        </is>
      </c>
      <c r="D10" s="8" t="inlineStr">
        <is>
          <t>58</t>
        </is>
      </c>
      <c r="E10" s="8" t="inlineStr">
        <is>
          <t>28</t>
        </is>
      </c>
      <c r="F10" s="8" t="inlineStr">
        <is>
          <t>480</t>
        </is>
      </c>
      <c r="G10" s="8" t="inlineStr">
        <is>
          <t>만검귀환 — 8연참 각각 크리 판정 + 자힐</t>
        </is>
      </c>
      <c r="H10" s="8" t="inlineStr">
        <is>
          <t>공성전 100승</t>
        </is>
      </c>
    </row>
    <row r="11">
      <c r="A11" s="9" t="inlineStr">
        <is>
          <t>전설 🧙</t>
        </is>
      </c>
      <c r="B11" s="9" t="inlineStr">
        <is>
          <t>태초의 마녀</t>
        </is>
      </c>
      <c r="C11" s="9" t="inlineStr">
        <is>
          <t>마법</t>
        </is>
      </c>
      <c r="D11" s="9" t="inlineStr">
        <is>
          <t>60</t>
        </is>
      </c>
      <c r="E11" s="9" t="inlineStr">
        <is>
          <t>18</t>
        </is>
      </c>
      <c r="F11" s="9" t="inlineStr">
        <is>
          <t>380</t>
        </is>
      </c>
      <c r="G11" s="9" t="inlineStr">
        <is>
          <t>시간역행 — 아군 전원 10초 전 상태로 되돌림</t>
        </is>
      </c>
      <c r="H11" s="9" t="inlineStr">
        <is>
          <t>시간마법사 초월 후 합성</t>
        </is>
      </c>
    </row>
    <row r="12">
      <c r="A12" s="8" t="inlineStr">
        <is>
          <t>전설 🐺</t>
        </is>
      </c>
      <c r="B12" s="8" t="inlineStr">
        <is>
          <t>늑대왕</t>
        </is>
      </c>
      <c r="C12" s="8" t="inlineStr">
        <is>
          <t>전사</t>
        </is>
      </c>
      <c r="D12" s="8" t="inlineStr">
        <is>
          <t>52</t>
        </is>
      </c>
      <c r="E12" s="8" t="inlineStr">
        <is>
          <t>32</t>
        </is>
      </c>
      <c r="F12" s="8" t="inlineStr">
        <is>
          <t>520</t>
        </is>
      </c>
      <c r="G12" s="8" t="inlineStr">
        <is>
          <t>늑대 무리 — 늑대 8체 소환 + 자신 ATK +50%</t>
        </is>
      </c>
      <c r="H12" s="8" t="inlineStr">
        <is>
          <t>몬스터 포획 교배</t>
        </is>
      </c>
    </row>
    <row r="13">
      <c r="A13" s="9" t="inlineStr"/>
      <c r="B13" s="9" t="inlineStr"/>
      <c r="C13" s="9" t="inlineStr"/>
      <c r="D13" s="9" t="inlineStr"/>
      <c r="E13" s="9" t="inlineStr"/>
      <c r="F13" s="9" t="inlineStr"/>
      <c r="G13" s="9" t="inlineStr"/>
      <c r="H13" s="9" t="inlineStr"/>
    </row>
    <row r="14">
      <c r="A14" s="8" t="inlineStr">
        <is>
          <t>초신화 등급 설명</t>
        </is>
      </c>
      <c r="B14" s="8" t="inlineStr"/>
      <c r="C14" s="8" t="inlineStr"/>
      <c r="D14" s="8" t="inlineStr"/>
      <c r="E14" s="8" t="inlineStr"/>
      <c r="F14" s="8" t="inlineStr"/>
      <c r="G14" s="8" t="inlineStr"/>
      <c r="H14" s="8" t="inlineStr"/>
    </row>
    <row r="15">
      <c r="A15" s="9" t="inlineStr">
        <is>
          <t>기준</t>
        </is>
      </c>
      <c r="B15" s="9" t="inlineStr"/>
      <c r="C15" s="9" t="inlineStr"/>
      <c r="D15" s="9" t="inlineStr"/>
      <c r="E15" s="9" t="inlineStr"/>
      <c r="F15" s="9" t="inlineStr"/>
      <c r="G15" s="9" t="inlineStr">
        <is>
          <t>용병 1체만 보유 가능, 서버당 최대 3명</t>
        </is>
      </c>
      <c r="H15" s="9" t="inlineStr"/>
    </row>
    <row r="16">
      <c r="A16" s="8" t="inlineStr">
        <is>
          <t>효과</t>
        </is>
      </c>
      <c r="B16" s="8" t="inlineStr"/>
      <c r="C16" s="8" t="inlineStr"/>
      <c r="D16" s="8" t="inlineStr"/>
      <c r="E16" s="8" t="inlineStr"/>
      <c r="F16" s="8" t="inlineStr"/>
      <c r="G16" s="8" t="inlineStr">
        <is>
          <t>전투력 계산 시 3배 가중치</t>
        </is>
      </c>
      <c r="H16" s="8" t="inlineStr"/>
    </row>
    <row r="17">
      <c r="A17" s="9" t="inlineStr">
        <is>
          <t>제한</t>
        </is>
      </c>
      <c r="B17" s="9" t="inlineStr"/>
      <c r="C17" s="9" t="inlineStr"/>
      <c r="D17" s="9" t="inlineStr"/>
      <c r="E17" s="9" t="inlineStr"/>
      <c r="F17" s="9" t="inlineStr"/>
      <c r="G17" s="9" t="inlineStr">
        <is>
          <t>공성전에서 사용 시 상대에게 사전 경고</t>
        </is>
      </c>
      <c r="H17" s="9" t="inlineStr"/>
    </row>
  </sheetData>
  <mergeCells count="1">
    <mergeCell ref="A1:H1"/>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8" customWidth="1" min="1" max="1"/>
    <col width="40" customWidth="1" min="2" max="2"/>
    <col width="22" customWidth="1" min="3" max="3"/>
  </cols>
  <sheetData>
    <row r="1">
      <c r="A1" s="6" t="inlineStr">
        <is>
          <t>v3.1 업데이트 요약</t>
        </is>
      </c>
    </row>
    <row r="3">
      <c r="A3" s="7" t="inlineStr">
        <is>
          <t>시스템</t>
        </is>
      </c>
      <c r="B3" s="7" t="inlineStr">
        <is>
          <t>신규/개선</t>
        </is>
      </c>
      <c r="C3" s="7" t="inlineStr">
        <is>
          <t>핵심 재미</t>
        </is>
      </c>
    </row>
    <row r="4">
      <c r="A4" s="8" t="inlineStr">
        <is>
          <t>용병 각성 &amp; 초월</t>
        </is>
      </c>
      <c r="B4" s="8" t="inlineStr">
        <is>
          <t>신규 — 각성 2단계 + 초월, 궁극기 해금</t>
        </is>
      </c>
      <c r="C4" s="8" t="inlineStr">
        <is>
          <t>키우기의 끝판왕!</t>
        </is>
      </c>
    </row>
    <row r="5">
      <c r="A5" s="9" t="inlineStr">
        <is>
          <t>용병 시너지</t>
        </is>
      </c>
      <c r="B5" s="9" t="inlineStr">
        <is>
          <t>신규 — 13종 시너지, 숨겨진 조합 포함</t>
        </is>
      </c>
      <c r="C5" s="9" t="inlineStr">
        <is>
          <t>팀 빌딩 전략 극대화</t>
        </is>
      </c>
    </row>
    <row r="6">
      <c r="A6" s="8" t="inlineStr">
        <is>
          <t>무역 습격 &amp; 호위</t>
        </is>
      </c>
      <c r="B6" s="8" t="inlineStr">
        <is>
          <t>신규 — PvP 약탈, 호위 의뢰, 밀수, 해상 무역</t>
        </is>
      </c>
      <c r="C6" s="8" t="inlineStr">
        <is>
          <t>긴장감 있는 무역</t>
        </is>
      </c>
    </row>
    <row r="7">
      <c r="A7" s="9" t="inlineStr">
        <is>
          <t>몬스터 포획 확장</t>
        </is>
      </c>
      <c r="B7" s="9" t="inlineStr">
        <is>
          <t>신규 — 성격, 교배, 합체 변신, 포획 대회</t>
        </is>
      </c>
      <c r="C7" s="9" t="inlineStr">
        <is>
          <t>포켓몬 + 알파</t>
        </is>
      </c>
    </row>
    <row r="8">
      <c r="A8" s="8" t="inlineStr">
        <is>
          <t>혈맹 대전</t>
        </is>
      </c>
      <c r="B8" s="8" t="inlineStr">
        <is>
          <t>신규 — 10 vs 10 대규모 공성, 영토제, 시즌제</t>
        </is>
      </c>
      <c r="C8" s="8" t="inlineStr">
        <is>
          <t>MMO급 콘텐츠</t>
        </is>
      </c>
    </row>
    <row r="9">
      <c r="A9" s="9" t="inlineStr">
        <is>
          <t>용병 인연 &amp; 스토리</t>
        </is>
      </c>
      <c r="B9" s="9" t="inlineStr">
        <is>
          <t>신규 — 14종 인연, 스토리 해금, 숨겨진 인연</t>
        </is>
      </c>
      <c r="C9" s="9" t="inlineStr">
        <is>
          <t>감정 이입</t>
        </is>
      </c>
    </row>
    <row r="10">
      <c r="A10" s="8" t="inlineStr">
        <is>
          <t>비밀 합성 레시피</t>
        </is>
      </c>
      <c r="B10" s="8" t="inlineStr">
        <is>
          <t>신규 — 9종 비밀 레시피, 숨겨진 재료 퀘스트</t>
        </is>
      </c>
      <c r="C10" s="8" t="inlineStr">
        <is>
          <t>발견의 쾌감</t>
        </is>
      </c>
    </row>
    <row r="11">
      <c r="A11" s="9" t="inlineStr">
        <is>
          <t>용병 원정대</t>
        </is>
      </c>
      <c r="B11" s="9" t="inlineStr">
        <is>
          <t>신규 — 오프라인 수익, 원정 이벤트, 보고서</t>
        </is>
      </c>
      <c r="C11" s="9" t="inlineStr">
        <is>
          <t>24시간 성장</t>
        </is>
      </c>
    </row>
    <row r="12">
      <c r="A12" s="8" t="inlineStr">
        <is>
          <t>SLG 시즌 이벤트</t>
        </is>
      </c>
      <c r="B12" s="8" t="inlineStr">
        <is>
          <t>신규 — 4종 대형 시즌, 서버 단위 경쟁</t>
        </is>
      </c>
      <c r="C12" s="8" t="inlineStr">
        <is>
          <t>대규모 목표</t>
        </is>
      </c>
    </row>
    <row r="13">
      <c r="A13" s="9" t="inlineStr">
        <is>
          <t>공성전 고급 전략</t>
        </is>
      </c>
      <c r="B13" s="9" t="inlineStr">
        <is>
          <t>신규 — 공성무기, 날씨, 사기, 성주 액티브</t>
        </is>
      </c>
      <c r="C13" s="9" t="inlineStr">
        <is>
          <t>전략 깊이 극대화</t>
        </is>
      </c>
    </row>
    <row r="14">
      <c r="A14" s="8" t="inlineStr">
        <is>
          <t>신규 용병 10종</t>
        </is>
      </c>
      <c r="B14" s="8" t="inlineStr">
        <is>
          <t>초신화 등급 + 비밀합성 전용 용병</t>
        </is>
      </c>
      <c r="C14" s="8" t="inlineStr">
        <is>
          <t>수집욕 자극</t>
        </is>
      </c>
    </row>
    <row r="15">
      <c r="A15" s="9" t="inlineStr"/>
      <c r="B15" s="9" t="inlineStr"/>
      <c r="C15" s="9" t="inlineStr"/>
    </row>
    <row r="16">
      <c r="A16" s="8" t="inlineStr">
        <is>
          <t>총 용병 수</t>
        </is>
      </c>
      <c r="B16" s="8" t="inlineStr">
        <is>
          <t>60종 (기존 50 + 신규 10)</t>
        </is>
      </c>
      <c r="C16" s="8" t="inlineStr"/>
    </row>
    <row r="17">
      <c r="A17" s="9" t="inlineStr">
        <is>
          <t>총 이벤트</t>
        </is>
      </c>
      <c r="B17" s="9" t="inlineStr">
        <is>
          <t>15종 (기존 11 + 시즌 4)</t>
        </is>
      </c>
      <c r="C17" s="9" t="inlineStr"/>
    </row>
    <row r="18">
      <c r="A18" s="8" t="inlineStr">
        <is>
          <t>총 시너지</t>
        </is>
      </c>
      <c r="B18" s="8" t="inlineStr">
        <is>
          <t>13종</t>
        </is>
      </c>
      <c r="C18" s="8" t="inlineStr"/>
    </row>
    <row r="19">
      <c r="A19" s="9" t="inlineStr">
        <is>
          <t>총 인연</t>
        </is>
      </c>
      <c r="B19" s="9" t="inlineStr">
        <is>
          <t>14종+</t>
        </is>
      </c>
      <c r="C19" s="9" t="inlineStr"/>
    </row>
    <row r="20">
      <c r="A20" s="8" t="inlineStr">
        <is>
          <t>총 합성 레시피</t>
        </is>
      </c>
      <c r="B20" s="8" t="inlineStr">
        <is>
          <t>17종+ (기존 8 + 비밀 9)</t>
        </is>
      </c>
      <c r="C20" s="8" t="inlineStr"/>
    </row>
  </sheetData>
  <mergeCells count="1">
    <mergeCell ref="A1:C1"/>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6" customWidth="1" min="1" max="1"/>
    <col width="16" customWidth="1" min="2" max="2"/>
    <col width="12" customWidth="1" min="3" max="3"/>
    <col width="10" customWidth="1" min="4" max="4"/>
    <col width="28" customWidth="1" min="5" max="5"/>
    <col width="14" customWidth="1" min="6" max="6"/>
  </cols>
  <sheetData>
    <row r="1">
      <c r="A1" s="6" t="inlineStr">
        <is>
          <t>SLG 월드맵 &amp; 영토 시스템</t>
        </is>
      </c>
    </row>
    <row r="3">
      <c r="A3" s="7" t="inlineStr">
        <is>
          <t>지역</t>
        </is>
      </c>
      <c r="B3" s="7" t="inlineStr">
        <is>
          <t>특산물</t>
        </is>
      </c>
      <c r="C3" s="7" t="inlineStr">
        <is>
          <t>자원</t>
        </is>
      </c>
      <c r="D3" s="7" t="inlineStr">
        <is>
          <t>위험도</t>
        </is>
      </c>
      <c r="E3" s="7" t="inlineStr">
        <is>
          <t>지배 효과</t>
        </is>
      </c>
      <c r="F3" s="7" t="inlineStr">
        <is>
          <t>전략 가치</t>
        </is>
      </c>
    </row>
    <row r="4">
      <c r="A4" s="8" t="inlineStr">
        <is>
          <t>🌾 바람개비 평원</t>
        </is>
      </c>
      <c r="B4" s="8" t="inlineStr">
        <is>
          <t>곡물, 목재</t>
        </is>
      </c>
      <c r="C4" s="8" t="inlineStr">
        <is>
          <t>농업 +50%</t>
        </is>
      </c>
      <c r="D4" s="8" t="inlineStr">
        <is>
          <t>안전</t>
        </is>
      </c>
      <c r="E4" s="8" t="inlineStr">
        <is>
          <t>식량 자급 — 용병 유지비 -20%</t>
        </is>
      </c>
      <c r="F4" s="8" t="inlineStr">
        <is>
          <t>초보 거점</t>
        </is>
      </c>
    </row>
    <row r="5">
      <c r="A5" s="9" t="inlineStr">
        <is>
          <t>⚓ 별빛 항구</t>
        </is>
      </c>
      <c r="B5" s="9" t="inlineStr">
        <is>
          <t>해산물, 비단</t>
        </is>
      </c>
      <c r="C5" s="9" t="inlineStr">
        <is>
          <t>어업 +50%</t>
        </is>
      </c>
      <c r="D5" s="9" t="inlineStr">
        <is>
          <t>낮음</t>
        </is>
      </c>
      <c r="E5" s="9" t="inlineStr">
        <is>
          <t>해상 무역 전용 루트 해금</t>
        </is>
      </c>
      <c r="F5" s="9" t="inlineStr">
        <is>
          <t>무역 허브</t>
        </is>
      </c>
    </row>
    <row r="6">
      <c r="A6" s="8" t="inlineStr">
        <is>
          <t>🏜️ 달빛 오아시스</t>
        </is>
      </c>
      <c r="B6" s="8" t="inlineStr">
        <is>
          <t>향신료, 약초</t>
        </is>
      </c>
      <c r="C6" s="8" t="inlineStr">
        <is>
          <t>채집 +50%</t>
        </is>
      </c>
      <c r="D6" s="8" t="inlineStr">
        <is>
          <t>중간</t>
        </is>
      </c>
      <c r="E6" s="8" t="inlineStr">
        <is>
          <t>회복 아이템 제작 비용 -30%</t>
        </is>
      </c>
      <c r="F6" s="8" t="inlineStr">
        <is>
          <t>치유 특화</t>
        </is>
      </c>
    </row>
    <row r="7">
      <c r="A7" s="9" t="inlineStr">
        <is>
          <t>⛰️ 구름마루 산맥</t>
        </is>
      </c>
      <c r="B7" s="9" t="inlineStr">
        <is>
          <t>광석, 용린</t>
        </is>
      </c>
      <c r="C7" s="9" t="inlineStr">
        <is>
          <t>광업 +50%</t>
        </is>
      </c>
      <c r="D7" s="9" t="inlineStr">
        <is>
          <t>높음</t>
        </is>
      </c>
      <c r="E7" s="9" t="inlineStr">
        <is>
          <t>장비 제작 시 재료 -25%</t>
        </is>
      </c>
      <c r="F7" s="9" t="inlineStr">
        <is>
          <t>제작 특화</t>
        </is>
      </c>
    </row>
    <row r="8">
      <c r="A8" s="8" t="inlineStr">
        <is>
          <t>⛪ 신전 마을</t>
        </is>
      </c>
      <c r="B8" s="8" t="inlineStr">
        <is>
          <t>성수, 마법결정</t>
        </is>
      </c>
      <c r="C8" s="8" t="inlineStr">
        <is>
          <t>마나 +50%</t>
        </is>
      </c>
      <c r="D8" s="8" t="inlineStr">
        <is>
          <t>높음</t>
        </is>
      </c>
      <c r="E8" s="8" t="inlineStr">
        <is>
          <t>용병 경험치 +20%</t>
        </is>
      </c>
      <c r="F8" s="8" t="inlineStr">
        <is>
          <t>육성 특화</t>
        </is>
      </c>
    </row>
    <row r="9">
      <c r="A9" s="9" t="inlineStr">
        <is>
          <t>🏜️ 사막 시장</t>
        </is>
      </c>
      <c r="B9" s="9" t="inlineStr">
        <is>
          <t>보석, 금괴</t>
        </is>
      </c>
      <c r="C9" s="9" t="inlineStr">
        <is>
          <t>교역 +50%</t>
        </is>
      </c>
      <c r="D9" s="9" t="inlineStr">
        <is>
          <t>매우 높음</t>
        </is>
      </c>
      <c r="E9" s="9" t="inlineStr">
        <is>
          <t>무역 이윤 +15% 전역 버프</t>
        </is>
      </c>
      <c r="F9" s="9" t="inlineStr">
        <is>
          <t>무역 최강</t>
        </is>
      </c>
    </row>
    <row r="10">
      <c r="A10" s="8" t="inlineStr">
        <is>
          <t>⚓ 동쪽 항구</t>
        </is>
      </c>
      <c r="B10" s="8" t="inlineStr">
        <is>
          <t>비단, 차</t>
        </is>
      </c>
      <c r="C10" s="8" t="inlineStr">
        <is>
          <t>수출 +50%</t>
        </is>
      </c>
      <c r="D10" s="8" t="inlineStr">
        <is>
          <t>중간</t>
        </is>
      </c>
      <c r="E10" s="8" t="inlineStr">
        <is>
          <t>해적 용병 고용 가능</t>
        </is>
      </c>
      <c r="F10" s="8" t="inlineStr">
        <is>
          <t>해상 전략</t>
        </is>
      </c>
    </row>
    <row r="11">
      <c r="A11" s="9" t="inlineStr"/>
      <c r="B11" s="9" t="inlineStr"/>
      <c r="C11" s="9" t="inlineStr"/>
      <c r="D11" s="9" t="inlineStr"/>
      <c r="E11" s="9" t="inlineStr"/>
      <c r="F11" s="9" t="inlineStr"/>
    </row>
    <row r="12">
      <c r="A12" s="8" t="inlineStr">
        <is>
          <t>🌋 불의 화산</t>
        </is>
      </c>
      <c r="B12" s="8" t="inlineStr">
        <is>
          <t>드래곤 뼈, 화염석</t>
        </is>
      </c>
      <c r="C12" s="8" t="inlineStr">
        <is>
          <t>없음</t>
        </is>
      </c>
      <c r="D12" s="8" t="inlineStr">
        <is>
          <t>극한</t>
        </is>
      </c>
      <c r="E12" s="8" t="inlineStr">
        <is>
          <t>화염 계열 용병 ATK +25%</t>
        </is>
      </c>
      <c r="F12" s="8" t="inlineStr">
        <is>
          <t>최상급 공성 재료</t>
        </is>
      </c>
    </row>
    <row r="13">
      <c r="A13" s="9" t="inlineStr">
        <is>
          <t>❄️ 영원의 빙벽</t>
        </is>
      </c>
      <c r="B13" s="9" t="inlineStr">
        <is>
          <t>서리 결정, 얼음꽃</t>
        </is>
      </c>
      <c r="C13" s="9" t="inlineStr">
        <is>
          <t>없음</t>
        </is>
      </c>
      <c r="D13" s="9" t="inlineStr">
        <is>
          <t>극한</t>
        </is>
      </c>
      <c r="E13" s="9" t="inlineStr">
        <is>
          <t>냉기 계열 용병 DEF +25%</t>
        </is>
      </c>
      <c r="F13" s="9" t="inlineStr">
        <is>
          <t>방어 특화 재료</t>
        </is>
      </c>
    </row>
    <row r="14">
      <c r="A14" s="8" t="inlineStr">
        <is>
          <t>🌑 심연의 골짜기</t>
        </is>
      </c>
      <c r="B14" s="8" t="inlineStr">
        <is>
          <t>그림자 파편, 혼돈석</t>
        </is>
      </c>
      <c r="C14" s="8" t="inlineStr">
        <is>
          <t>없음</t>
        </is>
      </c>
      <c r="D14" s="8" t="inlineStr">
        <is>
          <t>극한</t>
        </is>
      </c>
      <c r="E14" s="8" t="inlineStr">
        <is>
          <t>암살/마법 계열 크리 +15%</t>
        </is>
      </c>
      <c r="F14" s="8" t="inlineStr">
        <is>
          <t>PK존 최강</t>
        </is>
      </c>
    </row>
    <row r="15">
      <c r="A15" s="9" t="inlineStr">
        <is>
          <t>🌳 세계수 숲</t>
        </is>
      </c>
      <c r="B15" s="9" t="inlineStr">
        <is>
          <t>세계수 잎, 정령석</t>
        </is>
      </c>
      <c r="C15" s="9" t="inlineStr">
        <is>
          <t>없음</t>
        </is>
      </c>
      <c r="D15" s="9" t="inlineStr">
        <is>
          <t>극한</t>
        </is>
      </c>
      <c r="E15" s="9" t="inlineStr">
        <is>
          <t>자연 계열 힐 +30%, 포획률 +10%</t>
        </is>
      </c>
      <c r="F15" s="9" t="inlineStr">
        <is>
          <t>포획 특화</t>
        </is>
      </c>
    </row>
    <row r="16">
      <c r="A16" s="8" t="inlineStr"/>
      <c r="B16" s="8" t="inlineStr"/>
      <c r="C16" s="8" t="inlineStr"/>
      <c r="D16" s="8" t="inlineStr"/>
      <c r="E16" s="8" t="inlineStr"/>
      <c r="F16" s="8" t="inlineStr"/>
    </row>
    <row r="17">
      <c r="A17" s="9" t="inlineStr">
        <is>
          <t>영토 점령 규칙</t>
        </is>
      </c>
      <c r="B17" s="9" t="inlineStr"/>
      <c r="C17" s="9" t="inlineStr"/>
      <c r="D17" s="9" t="inlineStr"/>
      <c r="E17" s="9" t="inlineStr"/>
      <c r="F17" s="9" t="inlineStr"/>
    </row>
    <row r="18">
      <c r="A18" s="8" t="inlineStr">
        <is>
          <t>점령 방법</t>
        </is>
      </c>
      <c r="B18" s="8" t="inlineStr">
        <is>
          <t>해당 지역의 거점 성을 공성전으로 탈취</t>
        </is>
      </c>
      <c r="C18" s="8" t="inlineStr"/>
      <c r="D18" s="8" t="inlineStr"/>
      <c r="E18" s="8" t="inlineStr"/>
      <c r="F18" s="8" t="inlineStr"/>
    </row>
    <row r="19">
      <c r="A19" s="9" t="inlineStr">
        <is>
          <t>세금</t>
        </is>
      </c>
      <c r="B19" s="9" t="inlineStr">
        <is>
          <t>지역 내 모든 무역 거래의 5% 자동 징수</t>
        </is>
      </c>
      <c r="C19" s="9" t="inlineStr"/>
      <c r="D19" s="9" t="inlineStr"/>
      <c r="E19" s="9" t="inlineStr"/>
      <c r="F19" s="9" t="inlineStr"/>
    </row>
    <row r="20">
      <c r="A20" s="8" t="inlineStr">
        <is>
          <t>방어</t>
        </is>
      </c>
      <c r="B20" s="8" t="inlineStr">
        <is>
          <t>성주 혈맹이 24시간 방어 의무, 실패 시 반환</t>
        </is>
      </c>
      <c r="C20" s="8" t="inlineStr"/>
      <c r="D20" s="8" t="inlineStr"/>
      <c r="E20" s="8" t="inlineStr"/>
      <c r="F20" s="8" t="inlineStr"/>
    </row>
    <row r="21">
      <c r="A21" s="9" t="inlineStr">
        <is>
          <t>중립화</t>
        </is>
      </c>
      <c r="B21" s="9" t="inlineStr">
        <is>
          <t>72시간 무방어 시 NPC 관리로 전환</t>
        </is>
      </c>
      <c r="C21" s="9" t="inlineStr"/>
      <c r="D21" s="9" t="inlineStr"/>
      <c r="E21" s="9" t="inlineStr"/>
      <c r="F21" s="9" t="inlineStr"/>
    </row>
    <row r="22">
      <c r="A22" s="8" t="inlineStr">
        <is>
          <t>다중 영토</t>
        </is>
      </c>
      <c r="B22" s="8" t="inlineStr">
        <is>
          <t>혈맹 레벨에 따라 최대 3개 지역 동시 점령</t>
        </is>
      </c>
      <c r="C22" s="8" t="inlineStr"/>
      <c r="D22" s="8" t="inlineStr"/>
      <c r="E22" s="8" t="inlineStr"/>
      <c r="F22" s="8" t="inlineStr"/>
    </row>
  </sheetData>
  <mergeCells count="1">
    <mergeCell ref="A1:F1"/>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5" customWidth="1" min="2" max="2"/>
    <col width="20" customWidth="1" min="3" max="3"/>
    <col width="22" customWidth="1" min="4" max="4"/>
  </cols>
  <sheetData>
    <row r="1">
      <c r="A1" s="6" t="inlineStr">
        <is>
          <t>용병 AI 전술 설정 시스템</t>
        </is>
      </c>
    </row>
    <row r="3">
      <c r="A3" s="7" t="inlineStr">
        <is>
          <t>전술 모드</t>
        </is>
      </c>
      <c r="B3" s="7" t="inlineStr">
        <is>
          <t>행동 패턴</t>
        </is>
      </c>
      <c r="C3" s="7" t="inlineStr">
        <is>
          <t>적합한 역할</t>
        </is>
      </c>
      <c r="D3" s="7" t="inlineStr">
        <is>
          <t>공성전 활용</t>
        </is>
      </c>
    </row>
    <row r="4">
      <c r="A4" s="8" t="inlineStr">
        <is>
          <t>🗡️ 돌격형</t>
        </is>
      </c>
      <c r="B4" s="8" t="inlineStr">
        <is>
          <t>가장 가까운 적 즉시 공격, 회피 X</t>
        </is>
      </c>
      <c r="C4" s="8" t="inlineStr">
        <is>
          <t>전사, 광전사</t>
        </is>
      </c>
      <c r="D4" s="8" t="inlineStr">
        <is>
          <t>공격측 선봉 — 함정 유인 미끼</t>
        </is>
      </c>
    </row>
    <row r="5">
      <c r="A5" s="9" t="inlineStr">
        <is>
          <t>🛡️ 수비형</t>
        </is>
      </c>
      <c r="B5" s="9" t="inlineStr">
        <is>
          <t>아군 치유사/마법사 근처 고정, 접근 적만 공격</t>
        </is>
      </c>
      <c r="C5" s="9" t="inlineStr">
        <is>
          <t>기사, 성기사</t>
        </is>
      </c>
      <c r="D5" s="9" t="inlineStr">
        <is>
          <t>왕좌 근처 수비 배치</t>
        </is>
      </c>
    </row>
    <row r="6">
      <c r="A6" s="8" t="inlineStr">
        <is>
          <t>🏹 저격형</t>
        </is>
      </c>
      <c r="B6" s="8" t="inlineStr">
        <is>
          <t>최대 사거리 유지, 먼 적 우선 공격</t>
        </is>
      </c>
      <c r="C6" s="8" t="inlineStr">
        <is>
          <t>궁수, 저격수, 석궁병</t>
        </is>
      </c>
      <c r="D6" s="8" t="inlineStr">
        <is>
          <t>레인 입구 원거리 견제</t>
        </is>
      </c>
    </row>
    <row r="7">
      <c r="A7" s="9" t="inlineStr">
        <is>
          <t>🔮 지원형</t>
        </is>
      </c>
      <c r="B7" s="9" t="inlineStr">
        <is>
          <t>아군 중 HP 가장 낮은 대상 우선 치유/버프</t>
        </is>
      </c>
      <c r="C7" s="9" t="inlineStr">
        <is>
          <t>사제, 드루이드, 수호천사</t>
        </is>
      </c>
      <c r="D7" s="9" t="inlineStr">
        <is>
          <t>후방 안전 지대 배치</t>
        </is>
      </c>
    </row>
    <row r="8">
      <c r="A8" s="8" t="inlineStr">
        <is>
          <t>🌙 매복형</t>
        </is>
      </c>
      <c r="B8" s="8" t="inlineStr">
        <is>
          <t>은신 상태로 대기, 적 접근 시 기습(첫타 2배)</t>
        </is>
      </c>
      <c r="C8" s="8" t="inlineStr">
        <is>
          <t>암살자, 닌자, 도적</t>
        </is>
      </c>
      <c r="D8" s="8" t="inlineStr">
        <is>
          <t>함정 옆 매복 — 콤보!</t>
        </is>
      </c>
    </row>
    <row r="9">
      <c r="A9" s="9" t="inlineStr">
        <is>
          <t>🐲 보스킬러</t>
        </is>
      </c>
      <c r="B9" s="9" t="inlineStr">
        <is>
          <t>적 중 가장 강한 1체를 끝까지 추적</t>
        </is>
      </c>
      <c r="C9" s="9" t="inlineStr">
        <is>
          <t>드래곤나이트, 검성</t>
        </is>
      </c>
      <c r="D9" s="9" t="inlineStr">
        <is>
          <t>공성전 적 핵심 용병 제거</t>
        </is>
      </c>
    </row>
    <row r="10">
      <c r="A10" s="8" t="inlineStr"/>
      <c r="B10" s="8" t="inlineStr"/>
      <c r="C10" s="8" t="inlineStr"/>
      <c r="D10" s="8" t="inlineStr"/>
    </row>
    <row r="11">
      <c r="A11" s="9" t="inlineStr">
        <is>
          <t>⚙️ 커스텀 설정</t>
        </is>
      </c>
      <c r="B11" s="9" t="inlineStr"/>
      <c r="C11" s="9" t="inlineStr"/>
      <c r="D11" s="9" t="inlineStr"/>
    </row>
    <row r="12">
      <c r="A12" s="8" t="inlineStr">
        <is>
          <t>우선 타겟</t>
        </is>
      </c>
      <c r="B12" s="8" t="inlineStr">
        <is>
          <t>HP 최저 / ATK 최고 / 치유사 우선 / 가장 가까운 적</t>
        </is>
      </c>
      <c r="C12" s="8" t="inlineStr">
        <is>
          <t>역할별 추천 있음</t>
        </is>
      </c>
      <c r="D12" s="8" t="inlineStr">
        <is>
          <t>미세 전략!</t>
        </is>
      </c>
    </row>
    <row r="13">
      <c r="A13" s="9" t="inlineStr">
        <is>
          <t>후퇴 조건</t>
        </is>
      </c>
      <c r="B13" s="9" t="inlineStr">
        <is>
          <t>HP 30% 이하 시 회복 지대로 후퇴 / 끝까지 싸움</t>
        </is>
      </c>
      <c r="C13" s="9" t="inlineStr">
        <is>
          <t>기사: 끝까지 / 궁수: 후퇴</t>
        </is>
      </c>
      <c r="D13" s="9" t="inlineStr">
        <is>
          <t>생존률 관리</t>
        </is>
      </c>
    </row>
    <row r="14">
      <c r="A14" s="8" t="inlineStr">
        <is>
          <t>스킬 타이밍</t>
        </is>
      </c>
      <c r="B14" s="8" t="inlineStr">
        <is>
          <t>쿨다운 즉시 사용 / 적 3체 이상 모일 때 / HP 50% 이하 시</t>
        </is>
      </c>
      <c r="C14" s="8" t="inlineStr">
        <is>
          <t>광역: 다수 / 단일: 즉시</t>
        </is>
      </c>
      <c r="D14" s="8" t="inlineStr">
        <is>
          <t>스킬 효율 최적화</t>
        </is>
      </c>
    </row>
    <row r="15">
      <c r="A15" s="9" t="inlineStr">
        <is>
          <t>위치 고정</t>
        </is>
      </c>
      <c r="B15" s="9" t="inlineStr">
        <is>
          <t>고정 위치 수비 / 자유 이동 / 순찰 경로 설정</t>
        </is>
      </c>
      <c r="C15" s="9" t="inlineStr">
        <is>
          <t>수비: 고정 / 공격: 자유</t>
        </is>
      </c>
      <c r="D15" s="9" t="inlineStr">
        <is>
          <t>배치 전략 세분화</t>
        </is>
      </c>
    </row>
    <row r="16">
      <c r="A16" s="8" t="inlineStr"/>
      <c r="B16" s="8" t="inlineStr"/>
      <c r="C16" s="8" t="inlineStr"/>
      <c r="D16" s="8" t="inlineStr"/>
    </row>
    <row r="17">
      <c r="A17" s="9" t="inlineStr">
        <is>
          <t>🎓 전술 프리셋</t>
        </is>
      </c>
      <c r="B17" s="9" t="inlineStr"/>
      <c r="C17" s="9" t="inlineStr"/>
      <c r="D17" s="9" t="inlineStr"/>
    </row>
    <row r="18">
      <c r="A18" s="8" t="inlineStr">
        <is>
          <t>철벽 방어</t>
        </is>
      </c>
      <c r="B18" s="8" t="inlineStr">
        <is>
          <t>수비형 3 + 저격형 2 + 지원형 2 + 매복형 1</t>
        </is>
      </c>
      <c r="C18" s="8" t="inlineStr">
        <is>
          <t>방어 특화</t>
        </is>
      </c>
      <c r="D18" s="8" t="inlineStr">
        <is>
          <t>공성전 방어 추천</t>
        </is>
      </c>
    </row>
    <row r="19">
      <c r="A19" s="9" t="inlineStr">
        <is>
          <t>전면 돌격</t>
        </is>
      </c>
      <c r="B19" s="9" t="inlineStr">
        <is>
          <t>돌격형 4 + 보스킬러 2 + 지원형 2</t>
        </is>
      </c>
      <c r="C19" s="9" t="inlineStr">
        <is>
          <t>공격 특화</t>
        </is>
      </c>
      <c r="D19" s="9" t="inlineStr">
        <is>
          <t>공성전 공격 추천</t>
        </is>
      </c>
    </row>
    <row r="20">
      <c r="A20" s="8" t="inlineStr">
        <is>
          <t>암살 전술</t>
        </is>
      </c>
      <c r="B20" s="8" t="inlineStr">
        <is>
          <t>매복형 3 + 저격형 2 + 돌격형 1 + 지원형 2</t>
        </is>
      </c>
      <c r="C20" s="8" t="inlineStr">
        <is>
          <t>기습 특화</t>
        </is>
      </c>
      <c r="D20" s="8" t="inlineStr">
        <is>
          <t>상대 핵심 용병 제거</t>
        </is>
      </c>
    </row>
    <row r="21">
      <c r="A21" s="9" t="inlineStr">
        <is>
          <t>밸런스</t>
        </is>
      </c>
      <c r="B21" s="9" t="inlineStr">
        <is>
          <t>돌격 2 + 수비 2 + 저격 1 + 지원 2 + 매복 1</t>
        </is>
      </c>
      <c r="C21" s="9" t="inlineStr">
        <is>
          <t>범용</t>
        </is>
      </c>
      <c r="D21" s="9" t="inlineStr">
        <is>
          <t>초보 추천</t>
        </is>
      </c>
    </row>
  </sheetData>
  <mergeCells count="1">
    <mergeCell ref="A1:D1"/>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6" customWidth="1" min="1" max="1"/>
    <col width="14" customWidth="1" min="2" max="2"/>
    <col width="35" customWidth="1" min="3" max="3"/>
    <col width="22" customWidth="1" min="4" max="4"/>
    <col width="16" customWidth="1" min="5" max="5"/>
  </cols>
  <sheetData>
    <row r="1">
      <c r="A1" s="6" t="inlineStr">
        <is>
          <t>IO 특수 매치 모드 (6종)</t>
        </is>
      </c>
    </row>
    <row r="3">
      <c r="A3" s="7" t="inlineStr">
        <is>
          <t>모드</t>
        </is>
      </c>
      <c r="B3" s="7" t="inlineStr">
        <is>
          <t>인원</t>
        </is>
      </c>
      <c r="C3" s="7" t="inlineStr">
        <is>
          <t>규칙</t>
        </is>
      </c>
      <c r="D3" s="7" t="inlineStr">
        <is>
          <t>보상</t>
        </is>
      </c>
      <c r="E3" s="7" t="inlineStr">
        <is>
          <t>핵심 재미</t>
        </is>
      </c>
    </row>
    <row r="4">
      <c r="A4" s="8" t="inlineStr">
        <is>
          <t>🎮 클래식 서바이벌</t>
        </is>
      </c>
      <c r="B4" s="8" t="inlineStr">
        <is>
          <t>1~50명</t>
        </is>
      </c>
      <c r="C4" s="8" t="inlineStr">
        <is>
          <t>기존 10분 매치, 웨이브+PvP+보스</t>
        </is>
      </c>
      <c r="D4" s="8" t="inlineStr">
        <is>
          <t>골드+💎+용병카드</t>
        </is>
      </c>
      <c r="E4" s="8" t="inlineStr">
        <is>
          <t>기본 모드</t>
        </is>
      </c>
    </row>
    <row r="5">
      <c r="A5" s="9" t="inlineStr"/>
      <c r="B5" s="9" t="inlineStr"/>
      <c r="C5" s="9" t="inlineStr"/>
      <c r="D5" s="9" t="inlineStr"/>
      <c r="E5" s="9" t="inlineStr"/>
    </row>
    <row r="6">
      <c r="A6" s="8" t="inlineStr">
        <is>
          <t>👹 보스 러시</t>
        </is>
      </c>
      <c r="B6" s="8" t="inlineStr">
        <is>
          <t>10명 협동</t>
        </is>
      </c>
      <c r="C6" s="8" t="inlineStr">
        <is>
          <t>보스만 연속 등장, 5스테이지, 협동 전투</t>
        </is>
      </c>
      <c r="D6" s="8" t="inlineStr">
        <is>
          <t>보스킬 보상 3배 + 각성석 5%</t>
        </is>
      </c>
      <c r="E6" s="8" t="inlineStr">
        <is>
          <t>협동의 쾌감</t>
        </is>
      </c>
    </row>
    <row r="7">
      <c r="A7" s="9" t="inlineStr">
        <is>
          <t>보스 러시 상세</t>
        </is>
      </c>
      <c r="B7" s="9" t="inlineStr">
        <is>
          <t>1단계: 슬라임킹 ×3 / 2: 골렘 ×2 / 3: 드래곤 / 4: 마왕 / 5: ???</t>
        </is>
      </c>
      <c r="C7" s="9" t="inlineStr">
        <is>
          <t>HP 공유, 부활 3회, 역할 분담</t>
        </is>
      </c>
      <c r="D7" s="9" t="inlineStr"/>
      <c r="E7" s="9" t="inlineStr">
        <is>
          <t>점점 어려워짐</t>
        </is>
      </c>
    </row>
    <row r="8">
      <c r="A8" s="8" t="inlineStr"/>
      <c r="B8" s="8" t="inlineStr"/>
      <c r="C8" s="8" t="inlineStr"/>
      <c r="D8" s="8" t="inlineStr"/>
      <c r="E8" s="8" t="inlineStr"/>
    </row>
    <row r="9">
      <c r="A9" s="9" t="inlineStr">
        <is>
          <t>⚔️ 팀 대전</t>
        </is>
      </c>
      <c r="B9" s="9" t="inlineStr">
        <is>
          <t>5v5</t>
        </is>
      </c>
      <c r="C9" s="9" t="inlineStr">
        <is>
          <t>두 팀으로 나뉘어 싸움, 20킬 먼저 달성</t>
        </is>
      </c>
      <c r="D9" s="9" t="inlineStr">
        <is>
          <t>승리팀: 보상 2배, MVP: 추가 보상</t>
        </is>
      </c>
      <c r="E9" s="9" t="inlineStr">
        <is>
          <t>팀 전략</t>
        </is>
      </c>
    </row>
    <row r="10">
      <c r="A10" s="8" t="inlineStr">
        <is>
          <t>팀 대전 상세</t>
        </is>
      </c>
      <c r="B10" s="8" t="inlineStr">
        <is>
          <t>용병 파티 함께 참전, 시너지 적용, 부활 10초</t>
        </is>
      </c>
      <c r="C10" s="8" t="inlineStr">
        <is>
          <t>역할 분담 + 통신</t>
        </is>
      </c>
      <c r="D10" s="8" t="inlineStr"/>
      <c r="E10" s="8" t="inlineStr">
        <is>
          <t>MMO 전장 느낌</t>
        </is>
      </c>
    </row>
    <row r="11">
      <c r="A11" s="9" t="inlineStr"/>
      <c r="B11" s="9" t="inlineStr"/>
      <c r="C11" s="9" t="inlineStr"/>
      <c r="D11" s="9" t="inlineStr"/>
      <c r="E11" s="9" t="inlineStr"/>
    </row>
    <row r="12">
      <c r="A12" s="8" t="inlineStr">
        <is>
          <t>🏴‍☠️ 약탈전</t>
        </is>
      </c>
      <c r="B12" s="8" t="inlineStr">
        <is>
          <t>20명 FFA</t>
        </is>
      </c>
      <c r="C12" s="8" t="inlineStr">
        <is>
          <t>모든 장비 드롭, 다른 플레이어 장비 약탈 가능</t>
        </is>
      </c>
      <c r="D12" s="8" t="inlineStr">
        <is>
          <t>보유 장비 전부 영구 획득</t>
        </is>
      </c>
      <c r="E12" s="8" t="inlineStr">
        <is>
          <t>알비온 스타일 풀룻</t>
        </is>
      </c>
    </row>
    <row r="13">
      <c r="A13" s="9" t="inlineStr">
        <is>
          <t>약탈전 상세</t>
        </is>
      </c>
      <c r="B13" s="9" t="inlineStr">
        <is>
          <t>안전지대 없음, 1분부터 자기장, 최후 1인 독식</t>
        </is>
      </c>
      <c r="C13" s="9" t="inlineStr">
        <is>
          <t>마지막 생존자: 보상 10배</t>
        </is>
      </c>
      <c r="D13" s="9" t="inlineStr"/>
      <c r="E13" s="9" t="inlineStr">
        <is>
          <t>하이리스크!</t>
        </is>
      </c>
    </row>
    <row r="14">
      <c r="A14" s="8" t="inlineStr"/>
      <c r="B14" s="8" t="inlineStr"/>
      <c r="C14" s="8" t="inlineStr"/>
      <c r="D14" s="8" t="inlineStr"/>
      <c r="E14" s="8" t="inlineStr"/>
    </row>
    <row r="15">
      <c r="A15" s="9" t="inlineStr">
        <is>
          <t>🏰 공성 연습</t>
        </is>
      </c>
      <c r="B15" s="9" t="inlineStr">
        <is>
          <t>1명</t>
        </is>
      </c>
      <c r="C15" s="9" t="inlineStr">
        <is>
          <t>자기 성 공격 시뮬레이션, AI가 공격자</t>
        </is>
      </c>
      <c r="D15" s="9" t="inlineStr">
        <is>
          <t>보상 없음, 배치 테스트용</t>
        </is>
      </c>
      <c r="E15" s="9" t="inlineStr">
        <is>
          <t>방어 전략 연습</t>
        </is>
      </c>
    </row>
    <row r="16">
      <c r="A16" s="8" t="inlineStr">
        <is>
          <t>공성 연습 상세</t>
        </is>
      </c>
      <c r="B16" s="8" t="inlineStr">
        <is>
          <t>난이도 선택(쉬움/보통/어려움/지옥), AI 공격 패턴 학습</t>
        </is>
      </c>
      <c r="C16" s="8" t="inlineStr"/>
      <c r="D16" s="8" t="inlineStr"/>
      <c r="E16" s="8" t="inlineStr"/>
    </row>
    <row r="17">
      <c r="A17" s="9" t="inlineStr"/>
      <c r="B17" s="9" t="inlineStr"/>
      <c r="C17" s="9" t="inlineStr"/>
      <c r="D17" s="9" t="inlineStr"/>
      <c r="E17" s="9" t="inlineStr"/>
    </row>
    <row r="18">
      <c r="A18" s="8" t="inlineStr">
        <is>
          <t>🌀 무한 서바이벌</t>
        </is>
      </c>
      <c r="B18" s="8" t="inlineStr">
        <is>
          <t>1~10명</t>
        </is>
      </c>
      <c r="C18" s="8" t="inlineStr">
        <is>
          <t>웨이브 끝없이, 죽을 때까지</t>
        </is>
      </c>
      <c r="D18" s="8" t="inlineStr">
        <is>
          <t>생존 웨이브 기록, 랭킹, 10웨이브마다 보상</t>
        </is>
      </c>
      <c r="E18" s="8" t="inlineStr">
        <is>
          <t>한계 도전</t>
        </is>
      </c>
    </row>
    <row r="19">
      <c r="A19" s="9" t="inlineStr">
        <is>
          <t>무한 서바이벌 상세</t>
        </is>
      </c>
      <c r="B19" s="9" t="inlineStr">
        <is>
          <t>30웨이브 후 보스 2체씩, 50웨이브 후 랜덤 재앙 이벤트</t>
        </is>
      </c>
      <c r="C19" s="9" t="inlineStr">
        <is>
          <t>100웨이브: 전설 용병 확정</t>
        </is>
      </c>
      <c r="D19" s="9" t="inlineStr"/>
      <c r="E19" s="9" t="inlineStr">
        <is>
          <t>극한 도전!</t>
        </is>
      </c>
    </row>
    <row r="20">
      <c r="A20" s="8" t="inlineStr"/>
      <c r="B20" s="8" t="inlineStr"/>
      <c r="C20" s="8" t="inlineStr"/>
      <c r="D20" s="8" t="inlineStr"/>
      <c r="E20" s="8" t="inlineStr"/>
    </row>
    <row r="21">
      <c r="A21" s="9" t="inlineStr">
        <is>
          <t>📅 로테이션</t>
        </is>
      </c>
      <c r="B21" s="9" t="inlineStr">
        <is>
          <t>매일 특수 모드 1개 오픈 (클래식은 상시)</t>
        </is>
      </c>
      <c r="C21" s="9" t="inlineStr">
        <is>
          <t>해당 날 보상 +50%</t>
        </is>
      </c>
      <c r="D21" s="9" t="inlineStr"/>
      <c r="E21" s="9" t="inlineStr">
        <is>
          <t>매일 다른 재미</t>
        </is>
      </c>
    </row>
    <row r="22">
      <c r="A22" s="8" t="inlineStr">
        <is>
          <t>주말 특별</t>
        </is>
      </c>
      <c r="B22" s="8" t="inlineStr">
        <is>
          <t>토/일 전 모드 오픈 + 보상 2배</t>
        </is>
      </c>
      <c r="C22" s="8" t="inlineStr">
        <is>
          <t>특별 칭호 도전 가능</t>
        </is>
      </c>
      <c r="D22" s="8" t="inlineStr"/>
      <c r="E22" s="8" t="inlineStr">
        <is>
          <t>주말 접속 유도</t>
        </is>
      </c>
    </row>
  </sheetData>
  <mergeCells count="1">
    <mergeCell ref="A1:E1"/>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4" customWidth="1" min="1" max="1"/>
    <col width="38" customWidth="1" min="2" max="2"/>
    <col width="12" customWidth="1" min="3" max="3"/>
    <col width="18" customWidth="1" min="4" max="4"/>
  </cols>
  <sheetData>
    <row r="1">
      <c r="A1" s="6" t="inlineStr">
        <is>
          <t>경매장 &amp; 플레이어 경제 시스템</t>
        </is>
      </c>
    </row>
    <row r="3">
      <c r="A3" s="7" t="inlineStr">
        <is>
          <t>시스템</t>
        </is>
      </c>
      <c r="B3" s="7" t="inlineStr">
        <is>
          <t>상세</t>
        </is>
      </c>
      <c r="C3" s="7" t="inlineStr">
        <is>
          <t>수수료</t>
        </is>
      </c>
      <c r="D3" s="7" t="inlineStr">
        <is>
          <t>재미 포인트</t>
        </is>
      </c>
    </row>
    <row r="4">
      <c r="A4" s="8" t="inlineStr">
        <is>
          <t>🏪 경매장</t>
        </is>
      </c>
      <c r="B4" s="8" t="inlineStr">
        <is>
          <t>플레이어 간 아이템/용병 카드 거래소</t>
        </is>
      </c>
      <c r="C4" s="8" t="inlineStr">
        <is>
          <t>거래 금액의 5%</t>
        </is>
      </c>
      <c r="D4" s="8" t="inlineStr">
        <is>
          <t>자유 시장 경제!</t>
        </is>
      </c>
    </row>
    <row r="5">
      <c r="A5" s="9" t="inlineStr">
        <is>
          <t>판매 등록</t>
        </is>
      </c>
      <c r="B5" s="9" t="inlineStr">
        <is>
          <t>최대 10개 동시 등록, 24시간 유지</t>
        </is>
      </c>
      <c r="C5" s="9" t="inlineStr">
        <is>
          <t>등록비 100G</t>
        </is>
      </c>
      <c r="D5" s="9" t="inlineStr"/>
    </row>
    <row r="6">
      <c r="A6" s="8" t="inlineStr">
        <is>
          <t>입찰 방식</t>
        </is>
      </c>
      <c r="B6" s="8" t="inlineStr">
        <is>
          <t>즉시 구매 / 경매 입찰 (1시간~24시간)</t>
        </is>
      </c>
      <c r="C6" s="8" t="inlineStr"/>
      <c r="D6" s="8" t="inlineStr">
        <is>
          <t>경쟁의 재미</t>
        </is>
      </c>
    </row>
    <row r="7">
      <c r="A7" s="9" t="inlineStr"/>
      <c r="B7" s="9" t="inlineStr"/>
      <c r="C7" s="9" t="inlineStr"/>
      <c r="D7" s="9" t="inlineStr"/>
    </row>
    <row r="8">
      <c r="A8" s="8" t="inlineStr">
        <is>
          <t>💎 거래 가능 품목</t>
        </is>
      </c>
      <c r="B8" s="8" t="inlineStr"/>
      <c r="C8" s="8" t="inlineStr"/>
      <c r="D8" s="8" t="inlineStr"/>
    </row>
    <row r="9">
      <c r="A9" s="9" t="inlineStr">
        <is>
          <t>용병 카드</t>
        </is>
      </c>
      <c r="B9" s="9" t="inlineStr">
        <is>
          <t>모든 등급 용병 카드 거래 가능</t>
        </is>
      </c>
      <c r="C9" s="9" t="inlineStr">
        <is>
          <t>5%</t>
        </is>
      </c>
      <c r="D9" s="9" t="inlineStr">
        <is>
          <t>희귀 용병 직접 거래!</t>
        </is>
      </c>
    </row>
    <row r="10">
      <c r="A10" s="8" t="inlineStr">
        <is>
          <t>장비</t>
        </is>
      </c>
      <c r="B10" s="8" t="inlineStr">
        <is>
          <t>강화 장비 포함 거래 가능 (+15 장비 거래!)</t>
        </is>
      </c>
      <c r="C10" s="8" t="inlineStr">
        <is>
          <t>8%</t>
        </is>
      </c>
      <c r="D10" s="8" t="inlineStr">
        <is>
          <t>고강 장비 시장</t>
        </is>
      </c>
    </row>
    <row r="11">
      <c r="A11" s="9" t="inlineStr">
        <is>
          <t>재료</t>
        </is>
      </c>
      <c r="B11" s="9" t="inlineStr">
        <is>
          <t>각성석, 신화재료, 합성 재료</t>
        </is>
      </c>
      <c r="C11" s="9" t="inlineStr">
        <is>
          <t>3%</t>
        </is>
      </c>
      <c r="D11" s="9" t="inlineStr">
        <is>
          <t>재료 수급</t>
        </is>
      </c>
    </row>
    <row r="12">
      <c r="A12" s="8" t="inlineStr">
        <is>
          <t>포획 몬스터</t>
        </is>
      </c>
      <c r="B12" s="8" t="inlineStr">
        <is>
          <t>포획한 몬스터 거래 (성격/유대도 표시)</t>
        </is>
      </c>
      <c r="C12" s="8" t="inlineStr">
        <is>
          <t>10%</t>
        </is>
      </c>
      <c r="D12" s="8" t="inlineStr">
        <is>
          <t>희귀 개체 거래!</t>
        </is>
      </c>
    </row>
    <row r="13">
      <c r="A13" s="9" t="inlineStr">
        <is>
          <t>소비 아이템</t>
        </is>
      </c>
      <c r="B13" s="9" t="inlineStr">
        <is>
          <t>물약, 보호석, 강화석 등</t>
        </is>
      </c>
      <c r="C13" s="9" t="inlineStr">
        <is>
          <t>3%</t>
        </is>
      </c>
      <c r="D13" s="9" t="inlineStr">
        <is>
          <t>편의 거래</t>
        </is>
      </c>
    </row>
    <row r="14">
      <c r="A14" s="8" t="inlineStr"/>
      <c r="B14" s="8" t="inlineStr"/>
      <c r="C14" s="8" t="inlineStr"/>
      <c r="D14" s="8" t="inlineStr"/>
    </row>
    <row r="15">
      <c r="A15" s="9" t="inlineStr">
        <is>
          <t>🚫 거래 불가</t>
        </is>
      </c>
      <c r="B15" s="9" t="inlineStr">
        <is>
          <t>초월 용병, 칭호, 혈맹 소속 아이템</t>
        </is>
      </c>
      <c r="C15" s="9" t="inlineStr"/>
      <c r="D15" s="9" t="inlineStr">
        <is>
          <t>밸런스 보호</t>
        </is>
      </c>
    </row>
    <row r="16">
      <c r="A16" s="8" t="inlineStr"/>
      <c r="B16" s="8" t="inlineStr"/>
      <c r="C16" s="8" t="inlineStr"/>
      <c r="D16" s="8" t="inlineStr"/>
    </row>
    <row r="17">
      <c r="A17" s="9" t="inlineStr">
        <is>
          <t>📊 시세 시스템</t>
        </is>
      </c>
      <c r="B17" s="9" t="inlineStr"/>
      <c r="C17" s="9" t="inlineStr"/>
      <c r="D17" s="9" t="inlineStr"/>
    </row>
    <row r="18">
      <c r="A18" s="8" t="inlineStr">
        <is>
          <t>실시간 시세</t>
        </is>
      </c>
      <c r="B18" s="8" t="inlineStr">
        <is>
          <t>최근 24시간 거래 평균가 표시</t>
        </is>
      </c>
      <c r="C18" s="8" t="inlineStr"/>
      <c r="D18" s="8" t="inlineStr">
        <is>
          <t>가격 참고</t>
        </is>
      </c>
    </row>
    <row r="19">
      <c r="A19" s="9" t="inlineStr">
        <is>
          <t>시세 변동</t>
        </is>
      </c>
      <c r="B19" s="9" t="inlineStr">
        <is>
          <t>수요/공급에 따라 가격 변동 그래프</t>
        </is>
      </c>
      <c r="C19" s="9" t="inlineStr"/>
      <c r="D19" s="9" t="inlineStr">
        <is>
          <t>주식처럼! 매매 타이밍</t>
        </is>
      </c>
    </row>
    <row r="20">
      <c r="A20" s="8" t="inlineStr">
        <is>
          <t>희귀도 표시</t>
        </is>
      </c>
      <c r="B20" s="8" t="inlineStr">
        <is>
          <t>현재 서버에 해당 아이템 몇 개 존재하는지 표시</t>
        </is>
      </c>
      <c r="C20" s="8" t="inlineStr"/>
      <c r="D20" s="8" t="inlineStr">
        <is>
          <t>희소성 가치</t>
        </is>
      </c>
    </row>
    <row r="21">
      <c r="A21" s="9" t="inlineStr"/>
      <c r="B21" s="9" t="inlineStr"/>
      <c r="C21" s="9" t="inlineStr"/>
      <c r="D21" s="9" t="inlineStr"/>
    </row>
    <row r="22">
      <c r="A22" s="8" t="inlineStr">
        <is>
          <t>💰 상인 길드</t>
        </is>
      </c>
      <c r="B22" s="8" t="inlineStr">
        <is>
          <t>무역 레벨 15+ 플레이어 전용</t>
        </is>
      </c>
      <c r="C22" s="8" t="inlineStr"/>
      <c r="D22" s="8" t="inlineStr">
        <is>
          <t>상인들의 연합</t>
        </is>
      </c>
    </row>
    <row r="23">
      <c r="A23" s="9" t="inlineStr">
        <is>
          <t>상인 길드 효과</t>
        </is>
      </c>
      <c r="B23" s="9" t="inlineStr">
        <is>
          <t>경매 수수료 -2%, 전용 루트 해금, 독점 무역품</t>
        </is>
      </c>
      <c r="C23" s="9" t="inlineStr"/>
      <c r="D23" s="9" t="inlineStr">
        <is>
          <t>VIP 상인</t>
        </is>
      </c>
    </row>
    <row r="24">
      <c r="A24" s="8" t="inlineStr">
        <is>
          <t>가격 담합</t>
        </is>
      </c>
      <c r="B24" s="8" t="inlineStr">
        <is>
          <t>상인 길드원 5명 합의 시 특정 물품 가격 조작 가능</t>
        </is>
      </c>
      <c r="C24" s="8" t="inlineStr"/>
      <c r="D24" s="8" t="inlineStr">
        <is>
          <t>거상의 진정한 재미!</t>
        </is>
      </c>
    </row>
    <row r="25">
      <c r="A25" s="9" t="inlineStr">
        <is>
          <t>담합 리스크</t>
        </is>
      </c>
      <c r="B25" s="9" t="inlineStr">
        <is>
          <t>발각 시 (20% 확률) 상인 길드 추방 + 벌금</t>
        </is>
      </c>
      <c r="C25" s="9" t="inlineStr"/>
      <c r="D25" s="9" t="inlineStr">
        <is>
          <t>리스크 리턴</t>
        </is>
      </c>
    </row>
  </sheetData>
  <mergeCells count="1">
    <mergeCell ref="A1:D1"/>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4" customWidth="1" min="1" max="1"/>
    <col width="35" customWidth="1" min="2" max="2"/>
    <col width="28" customWidth="1" min="3" max="3"/>
    <col width="16" customWidth="1" min="4" max="4"/>
  </cols>
  <sheetData>
    <row r="1">
      <c r="A1" s="6" t="inlineStr">
        <is>
          <t>외교 &amp; 동맹 시스템 (리니지 스타일)</t>
        </is>
      </c>
    </row>
    <row r="3">
      <c r="A3" s="7" t="inlineStr">
        <is>
          <t>시스템</t>
        </is>
      </c>
      <c r="B3" s="7" t="inlineStr">
        <is>
          <t>상세</t>
        </is>
      </c>
      <c r="C3" s="7" t="inlineStr">
        <is>
          <t>효과</t>
        </is>
      </c>
      <c r="D3" s="7" t="inlineStr">
        <is>
          <t>재미 포인트</t>
        </is>
      </c>
    </row>
    <row r="4">
      <c r="A4" s="8" t="inlineStr">
        <is>
          <t>🤝 동맹 체결</t>
        </is>
      </c>
      <c r="B4" s="8" t="inlineStr">
        <is>
          <t>두 혈맹 맹주 합의, 24시간 유예 후 발효</t>
        </is>
      </c>
      <c r="C4" s="8" t="inlineStr">
        <is>
          <t>서로 PK 불가, 영토 공유 방어</t>
        </is>
      </c>
      <c r="D4" s="8" t="inlineStr">
        <is>
          <t>협력의 안정감</t>
        </is>
      </c>
    </row>
    <row r="5">
      <c r="A5" s="9" t="inlineStr">
        <is>
          <t>📜 불가침 조약</t>
        </is>
      </c>
      <c r="B5" s="9" t="inlineStr">
        <is>
          <t>공성전 상호 불공격 약속 (기간 설정)</t>
        </is>
      </c>
      <c r="C5" s="9" t="inlineStr">
        <is>
          <t>해당 기간 공성 선포 불가</t>
        </is>
      </c>
      <c r="D5" s="9" t="inlineStr">
        <is>
          <t>외교적 휴식</t>
        </is>
      </c>
    </row>
    <row r="6">
      <c r="A6" s="8" t="inlineStr">
        <is>
          <t>💰 무역 협정</t>
        </is>
      </c>
      <c r="B6" s="8" t="inlineStr">
        <is>
          <t>두 혈맹 간 무역 수수료 면제</t>
        </is>
      </c>
      <c r="C6" s="8" t="inlineStr">
        <is>
          <t>교역 이윤 +10%, 전용 루트 해금</t>
        </is>
      </c>
      <c r="D6" s="8" t="inlineStr">
        <is>
          <t>경제 동맹</t>
        </is>
      </c>
    </row>
    <row r="7">
      <c r="A7" s="9" t="inlineStr">
        <is>
          <t>⚔️ 선전포고</t>
        </is>
      </c>
      <c r="B7" s="9" t="inlineStr">
        <is>
          <t>공성 24시간 전 필수 선포, 서버 전체 공지</t>
        </is>
      </c>
      <c r="C7" s="9" t="inlineStr">
        <is>
          <t>양측 전쟁 버프: ATK/DEF +10%</t>
        </is>
      </c>
      <c r="D7" s="9" t="inlineStr">
        <is>
          <t>긴장감!</t>
        </is>
      </c>
    </row>
    <row r="8">
      <c r="A8" s="8" t="inlineStr"/>
      <c r="B8" s="8" t="inlineStr"/>
      <c r="C8" s="8" t="inlineStr"/>
      <c r="D8" s="8" t="inlineStr"/>
    </row>
    <row r="9">
      <c r="A9" s="9" t="inlineStr">
        <is>
          <t>🗡️ 배신 시스템</t>
        </is>
      </c>
      <c r="B9" s="9" t="inlineStr"/>
      <c r="C9" s="9" t="inlineStr"/>
      <c r="D9" s="9" t="inlineStr"/>
    </row>
    <row r="10">
      <c r="A10" s="8" t="inlineStr">
        <is>
          <t>동맹 파기</t>
        </is>
      </c>
      <c r="B10" s="8" t="inlineStr">
        <is>
          <t>일방 파기 가능, 12시간 유예 없이 즉시 공격 가능</t>
        </is>
      </c>
      <c r="C10" s="8" t="inlineStr">
        <is>
          <t>파기 혈맹 카르마 +500, 구성원 전원</t>
        </is>
      </c>
      <c r="D10" s="8" t="inlineStr">
        <is>
          <t>리스크 대비</t>
        </is>
      </c>
    </row>
    <row r="11">
      <c r="A11" s="9" t="inlineStr">
        <is>
          <t>밀약</t>
        </is>
      </c>
      <c r="B11" s="9" t="inlineStr">
        <is>
          <t>몰래 제3 혈맹과 협공 밀약, 성공 시 영토 분할</t>
        </is>
      </c>
      <c r="C11" s="9" t="inlineStr">
        <is>
          <t>들키면(30%) 서버 공지 + 양측 적대</t>
        </is>
      </c>
      <c r="D11" s="9" t="inlineStr">
        <is>
          <t>스파이 드라마!</t>
        </is>
      </c>
    </row>
    <row r="12">
      <c r="A12" s="8" t="inlineStr">
        <is>
          <t>이중 스파이</t>
        </is>
      </c>
      <c r="B12" s="8" t="inlineStr">
        <is>
          <t>혈맹원을 상대 혈맹에 잠입시켜 정보 수집</t>
        </is>
      </c>
      <c r="C12" s="8" t="inlineStr">
        <is>
          <t>적 배치/자원/무역루트 정보 획득</t>
        </is>
      </c>
      <c r="D12" s="8" t="inlineStr">
        <is>
          <t>첩보전!</t>
        </is>
      </c>
    </row>
    <row r="13">
      <c r="A13" s="9" t="inlineStr">
        <is>
          <t>스파이 색출</t>
        </is>
      </c>
      <c r="B13" s="9" t="inlineStr">
        <is>
          <t>의심 명단 → 투표 → 추방 (오판 시 충성도 하락)</t>
        </is>
      </c>
      <c r="C13" s="9" t="inlineStr"/>
      <c r="D13" s="9" t="inlineStr">
        <is>
          <t>정치 게임</t>
        </is>
      </c>
    </row>
    <row r="14">
      <c r="A14" s="8" t="inlineStr"/>
      <c r="B14" s="8" t="inlineStr"/>
      <c r="C14" s="8" t="inlineStr"/>
      <c r="D14" s="8" t="inlineStr"/>
    </row>
    <row r="15">
      <c r="A15" s="9" t="inlineStr">
        <is>
          <t>👑 영주 시스템</t>
        </is>
      </c>
      <c r="B15" s="9" t="inlineStr"/>
      <c r="C15" s="9" t="inlineStr"/>
      <c r="D15" s="9" t="inlineStr"/>
    </row>
    <row r="16">
      <c r="A16" s="8" t="inlineStr">
        <is>
          <t>영주 선출</t>
        </is>
      </c>
      <c r="B16" s="8" t="inlineStr">
        <is>
          <t>영토 보유 혈맹 맹주가 자동 영주</t>
        </is>
      </c>
      <c r="C16" s="8" t="inlineStr">
        <is>
          <t>영주: 세금률 조정(1~10%), 법령 발표</t>
        </is>
      </c>
      <c r="D16" s="8" t="inlineStr">
        <is>
          <t>통치의 재미</t>
        </is>
      </c>
    </row>
    <row r="17">
      <c r="A17" s="9" t="inlineStr">
        <is>
          <t>법령</t>
        </is>
      </c>
      <c r="B17" s="9" t="inlineStr">
        <is>
          <t>PK 금지령/무역세 인하/징병령 등 5종</t>
        </is>
      </c>
      <c r="C17" s="9" t="inlineStr">
        <is>
          <t>서버 내 해당 영토 규칙 변경</t>
        </is>
      </c>
      <c r="D17" s="9" t="inlineStr">
        <is>
          <t>규칙을 내가 정한다!</t>
        </is>
      </c>
    </row>
    <row r="18">
      <c r="A18" s="8" t="inlineStr">
        <is>
          <t>폭군 시스템</t>
        </is>
      </c>
      <c r="B18" s="8" t="inlineStr">
        <is>
          <t>세율 8% 이상 → 불만도 상승 → NPC 반란 발생</t>
        </is>
      </c>
      <c r="C18" s="8" t="inlineStr">
        <is>
          <t>반란 실패 시 영주 강화, 성공 시 영주 교체</t>
        </is>
      </c>
      <c r="D18" s="8" t="inlineStr">
        <is>
          <t>압제의 대가</t>
        </is>
      </c>
    </row>
    <row r="19">
      <c r="A19" s="9" t="inlineStr">
        <is>
          <t>민심</t>
        </is>
      </c>
      <c r="B19" s="9" t="inlineStr">
        <is>
          <t>세율/법령/방어력에 따라 민심 변동</t>
        </is>
      </c>
      <c r="C19" s="9" t="inlineStr">
        <is>
          <t>높으면 세수↑, 낮으면 NPC 이탈/반란</t>
        </is>
      </c>
      <c r="D19" s="9" t="inlineStr">
        <is>
          <t>통치 밸런스</t>
        </is>
      </c>
    </row>
    <row r="20">
      <c r="A20" s="8" t="inlineStr"/>
      <c r="B20" s="8" t="inlineStr"/>
      <c r="C20" s="8" t="inlineStr"/>
      <c r="D20" s="8" t="inlineStr"/>
    </row>
    <row r="21">
      <c r="A21" s="9" t="inlineStr">
        <is>
          <t>📋 외교 게시판</t>
        </is>
      </c>
      <c r="B21" s="9" t="inlineStr">
        <is>
          <t>서버 전체 외교 현황 실시간 확인</t>
        </is>
      </c>
      <c r="C21" s="9" t="inlineStr">
        <is>
          <t>동맹/적대/불가침/선전포고 지도</t>
        </is>
      </c>
      <c r="D21" s="9" t="inlineStr">
        <is>
          <t>서버 정치 한눈에</t>
        </is>
      </c>
    </row>
    <row r="22">
      <c r="A22" s="8" t="inlineStr">
        <is>
          <t>역사 기록</t>
        </is>
      </c>
      <c r="B22" s="8" t="inlineStr">
        <is>
          <t>모든 공성전/배신/동맹/선전포고 기록 열람</t>
        </is>
      </c>
      <c r="C22" s="8" t="inlineStr">
        <is>
          <t>서버 역사가 쌓인다!</t>
        </is>
      </c>
      <c r="D22" s="8" t="inlineStr">
        <is>
          <t>MMO 정치 드라마</t>
        </is>
      </c>
    </row>
  </sheetData>
  <mergeCells count="1">
    <mergeCell ref="A1:D1"/>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8" customWidth="1" min="1" max="1"/>
    <col width="18" customWidth="1" min="2" max="2"/>
    <col width="28" customWidth="1" min="3" max="3"/>
    <col width="30" customWidth="1" min="4" max="4"/>
    <col width="18" customWidth="1" min="5" max="5"/>
  </cols>
  <sheetData>
    <row r="1">
      <c r="A1" s="6" t="inlineStr">
        <is>
          <t>용병 전용 장비 제작 시스템</t>
        </is>
      </c>
    </row>
    <row r="3">
      <c r="A3" s="7" t="inlineStr">
        <is>
          <t>등급</t>
        </is>
      </c>
      <c r="B3" s="7" t="inlineStr">
        <is>
          <t>장비명</t>
        </is>
      </c>
      <c r="C3" s="7" t="inlineStr">
        <is>
          <t>스탯</t>
        </is>
      </c>
      <c r="D3" s="7" t="inlineStr">
        <is>
          <t>제작 재료</t>
        </is>
      </c>
      <c r="E3" s="7" t="inlineStr">
        <is>
          <t>전용 용병</t>
        </is>
      </c>
    </row>
    <row r="4">
      <c r="A4" s="8" t="inlineStr">
        <is>
          <t>일반</t>
        </is>
      </c>
      <c r="B4" s="8" t="inlineStr">
        <is>
          <t>단검</t>
        </is>
      </c>
      <c r="C4" s="8" t="inlineStr">
        <is>
          <t>ATK +5</t>
        </is>
      </c>
      <c r="D4" s="8" t="inlineStr">
        <is>
          <t>철광석 ×3 + 500G</t>
        </is>
      </c>
      <c r="E4" s="8" t="inlineStr">
        <is>
          <t>전사 계열 공용</t>
        </is>
      </c>
    </row>
    <row r="5">
      <c r="A5" s="9" t="inlineStr">
        <is>
          <t>일반</t>
        </is>
      </c>
      <c r="B5" s="9" t="inlineStr">
        <is>
          <t>목궁</t>
        </is>
      </c>
      <c r="C5" s="9" t="inlineStr">
        <is>
          <t>ATK +4, 사거리 +10</t>
        </is>
      </c>
      <c r="D5" s="9" t="inlineStr">
        <is>
          <t>목재 ×5 + 300G</t>
        </is>
      </c>
      <c r="E5" s="9" t="inlineStr">
        <is>
          <t>사수 계열 공용</t>
        </is>
      </c>
    </row>
    <row r="6">
      <c r="A6" s="8" t="inlineStr">
        <is>
          <t>일반</t>
        </is>
      </c>
      <c r="B6" s="8" t="inlineStr">
        <is>
          <t>견습 지팡이</t>
        </is>
      </c>
      <c r="C6" s="8" t="inlineStr">
        <is>
          <t>마법DMG +6</t>
        </is>
      </c>
      <c r="D6" s="8" t="inlineStr">
        <is>
          <t>마나석 ×2 + 400G</t>
        </is>
      </c>
      <c r="E6" s="8" t="inlineStr">
        <is>
          <t>마법 계열 공용</t>
        </is>
      </c>
    </row>
    <row r="7">
      <c r="A7" s="9" t="inlineStr">
        <is>
          <t>일반</t>
        </is>
      </c>
      <c r="B7" s="9" t="inlineStr">
        <is>
          <t>기도서</t>
        </is>
      </c>
      <c r="C7" s="9" t="inlineStr">
        <is>
          <t>힐 +8</t>
        </is>
      </c>
      <c r="D7" s="9" t="inlineStr">
        <is>
          <t>양피지 ×3 + 300G</t>
        </is>
      </c>
      <c r="E7" s="9" t="inlineStr">
        <is>
          <t>치유 계열 공용</t>
        </is>
      </c>
    </row>
    <row r="8">
      <c r="A8" s="8" t="inlineStr"/>
      <c r="B8" s="8" t="inlineStr"/>
      <c r="C8" s="8" t="inlineStr"/>
      <c r="D8" s="8" t="inlineStr"/>
      <c r="E8" s="8" t="inlineStr"/>
    </row>
    <row r="9">
      <c r="A9" s="9" t="inlineStr">
        <is>
          <t>고급</t>
        </is>
      </c>
      <c r="B9" s="9" t="inlineStr">
        <is>
          <t>기사의 대검</t>
        </is>
      </c>
      <c r="C9" s="9" t="inlineStr">
        <is>
          <t>ATK +12, 크리 +5%</t>
        </is>
      </c>
      <c r="D9" s="9" t="inlineStr">
        <is>
          <t>강철 ×5 + 보석 ×1 + 2,000G</t>
        </is>
      </c>
      <c r="E9" s="9" t="inlineStr">
        <is>
          <t>기사 전용</t>
        </is>
      </c>
    </row>
    <row r="10">
      <c r="A10" s="8" t="inlineStr">
        <is>
          <t>고급</t>
        </is>
      </c>
      <c r="B10" s="8" t="inlineStr">
        <is>
          <t>독 단검</t>
        </is>
      </c>
      <c r="C10" s="8" t="inlineStr">
        <is>
          <t>ATK +10, 독 데미지 5/초</t>
        </is>
      </c>
      <c r="D10" s="8" t="inlineStr">
        <is>
          <t>독샘물 ×3 + 가죽 ×2 + 1,500G</t>
        </is>
      </c>
      <c r="E10" s="8" t="inlineStr">
        <is>
          <t>도적/암살자 전용</t>
        </is>
      </c>
    </row>
    <row r="11">
      <c r="A11" s="9" t="inlineStr">
        <is>
          <t>고급</t>
        </is>
      </c>
      <c r="B11" s="9" t="inlineStr">
        <is>
          <t>화염 지팡이</t>
        </is>
      </c>
      <c r="C11" s="9" t="inlineStr">
        <is>
          <t>마법DMG +15, 화상 확률 20%</t>
        </is>
      </c>
      <c r="D11" s="9" t="inlineStr">
        <is>
          <t>화염석 ×3 + 마나석 ×5 + 3,000G</t>
        </is>
      </c>
      <c r="E11" s="9" t="inlineStr">
        <is>
          <t>화염술사 전용</t>
        </is>
      </c>
    </row>
    <row r="12">
      <c r="A12" s="8" t="inlineStr"/>
      <c r="B12" s="8" t="inlineStr"/>
      <c r="C12" s="8" t="inlineStr"/>
      <c r="D12" s="8" t="inlineStr"/>
      <c r="E12" s="8" t="inlineStr"/>
    </row>
    <row r="13">
      <c r="A13" s="9" t="inlineStr">
        <is>
          <t>희귀</t>
        </is>
      </c>
      <c r="B13" s="9" t="inlineStr">
        <is>
          <t>성검</t>
        </is>
      </c>
      <c r="C13" s="9" t="inlineStr">
        <is>
          <t>ATK +20, DEF +10, 자힐 5/초</t>
        </is>
      </c>
      <c r="D13" s="9" t="inlineStr">
        <is>
          <t>성수 ×5 + 미스릴 ×3 + 8,000G</t>
        </is>
      </c>
      <c r="E13" s="9" t="inlineStr">
        <is>
          <t>성기사 전용</t>
        </is>
      </c>
    </row>
    <row r="14">
      <c r="A14" s="8" t="inlineStr">
        <is>
          <t>희귀</t>
        </is>
      </c>
      <c r="B14" s="8" t="inlineStr">
        <is>
          <t>사신의 낫</t>
        </is>
      </c>
      <c r="C14" s="8" t="inlineStr">
        <is>
          <t>ATK +25, 킬 시 HP 10% 흡수</t>
        </is>
      </c>
      <c r="D14" s="8" t="inlineStr">
        <is>
          <t>그림자 파편 ×5 + 혼돈석 ×2 + 10,000G</t>
        </is>
      </c>
      <c r="E14" s="8" t="inlineStr">
        <is>
          <t>죽음의 기사 전용</t>
        </is>
      </c>
    </row>
    <row r="15">
      <c r="A15" s="9" t="inlineStr">
        <is>
          <t>희귀</t>
        </is>
      </c>
      <c r="B15" s="9" t="inlineStr">
        <is>
          <t>정령의 활</t>
        </is>
      </c>
      <c r="C15" s="9" t="inlineStr">
        <is>
          <t>ATK +18, 자연DMG +30%</t>
        </is>
      </c>
      <c r="D15" s="9" t="inlineStr">
        <is>
          <t>세계수 잎 ×3 + 정령석 ×4 + 7,000G</t>
        </is>
      </c>
      <c r="E15" s="9" t="inlineStr">
        <is>
          <t>레인저/드루이드 전용</t>
        </is>
      </c>
    </row>
    <row r="16">
      <c r="A16" s="8" t="inlineStr"/>
      <c r="B16" s="8" t="inlineStr"/>
      <c r="C16" s="8" t="inlineStr"/>
      <c r="D16" s="8" t="inlineStr"/>
      <c r="E16" s="8" t="inlineStr"/>
    </row>
    <row r="17">
      <c r="A17" s="9" t="inlineStr">
        <is>
          <t>영웅</t>
        </is>
      </c>
      <c r="B17" s="9" t="inlineStr">
        <is>
          <t>용의 칼날</t>
        </is>
      </c>
      <c r="C17" s="9" t="inlineStr">
        <is>
          <t>ATK +35, 브레스 DMG +50%</t>
        </is>
      </c>
      <c r="D17" s="9" t="inlineStr">
        <is>
          <t>드래곤 뼈 ×5 + 용린 ×10 + 30,000G</t>
        </is>
      </c>
      <c r="E17" s="9" t="inlineStr">
        <is>
          <t>드래곤나이트 전용</t>
        </is>
      </c>
    </row>
    <row r="18">
      <c r="A18" s="8" t="inlineStr">
        <is>
          <t>영웅</t>
        </is>
      </c>
      <c r="B18" s="8" t="inlineStr">
        <is>
          <t>시간의 모래시계</t>
        </is>
      </c>
      <c r="C18" s="8" t="inlineStr">
        <is>
          <t>스킬CD -30%, 정지 +2초</t>
        </is>
      </c>
      <c r="D18" s="8" t="inlineStr">
        <is>
          <t>시간 파편 ×8 + 태초의 마나 ×3 + 50,000G</t>
        </is>
      </c>
      <c r="E18" s="8" t="inlineStr">
        <is>
          <t>시간 마법사 전용</t>
        </is>
      </c>
    </row>
    <row r="19">
      <c r="A19" s="9" t="inlineStr">
        <is>
          <t>영웅</t>
        </is>
      </c>
      <c r="B19" s="9" t="inlineStr">
        <is>
          <t>대천사의 날개</t>
        </is>
      </c>
      <c r="C19" s="9" t="inlineStr">
        <is>
          <t>힐 +100%, 부활 쿨 -50%</t>
        </is>
      </c>
      <c r="D19" s="9" t="inlineStr">
        <is>
          <t>신의 깃털 ×5 + 성수 ×10 + 40,000G</t>
        </is>
      </c>
      <c r="E19" s="9" t="inlineStr">
        <is>
          <t>세라핌 전용</t>
        </is>
      </c>
    </row>
    <row r="20">
      <c r="A20" s="8" t="inlineStr"/>
      <c r="B20" s="8" t="inlineStr"/>
      <c r="C20" s="8" t="inlineStr"/>
      <c r="D20" s="8" t="inlineStr"/>
      <c r="E20" s="8" t="inlineStr"/>
    </row>
    <row r="21">
      <c r="A21" s="9" t="inlineStr">
        <is>
          <t>전설</t>
        </is>
      </c>
      <c r="B21" s="9" t="inlineStr">
        <is>
          <t>만검 — 검황의 검</t>
        </is>
      </c>
      <c r="C21" s="9" t="inlineStr">
        <is>
          <t>ATK +50, 연참 +3회, 크리 +20%</t>
        </is>
      </c>
      <c r="D21" s="9" t="inlineStr">
        <is>
          <t>검의 정수 ×10 + 미스릴 ×20 + 100,000G</t>
        </is>
      </c>
      <c r="E21" s="9" t="inlineStr">
        <is>
          <t>검황 전용</t>
        </is>
      </c>
    </row>
    <row r="22">
      <c r="A22" s="8" t="inlineStr">
        <is>
          <t>전설</t>
        </is>
      </c>
      <c r="B22" s="8" t="inlineStr">
        <is>
          <t>창세의 지팡이</t>
        </is>
      </c>
      <c r="C22" s="8" t="inlineStr">
        <is>
          <t>전 스탯 +30, 스킬DMG 2배</t>
        </is>
      </c>
      <c r="D22" s="8" t="inlineStr">
        <is>
          <t>창세의 조각 ×3 + 모든 원소 ×5 + 200,000G</t>
        </is>
      </c>
      <c r="E22" s="8" t="inlineStr">
        <is>
          <t>태초의 존재 전용</t>
        </is>
      </c>
    </row>
    <row r="23">
      <c r="A23" s="9" t="inlineStr"/>
      <c r="B23" s="9" t="inlineStr"/>
      <c r="C23" s="9" t="inlineStr"/>
      <c r="D23" s="9" t="inlineStr"/>
      <c r="E23" s="9" t="inlineStr"/>
    </row>
    <row r="24">
      <c r="A24" s="8" t="inlineStr">
        <is>
          <t>🔨 제작소</t>
        </is>
      </c>
      <c r="B24" s="8" t="inlineStr">
        <is>
          <t>성 시설 "대장간" 레벨에 따라 제작 가능 등급 상승</t>
        </is>
      </c>
      <c r="C24" s="8" t="inlineStr"/>
      <c r="D24" s="8" t="inlineStr"/>
      <c r="E24" s="8" t="inlineStr"/>
    </row>
    <row r="25">
      <c r="A25" s="9" t="inlineStr">
        <is>
          <t>대장간 Lv.1</t>
        </is>
      </c>
      <c r="B25" s="9" t="inlineStr">
        <is>
          <t>일반 장비 제작</t>
        </is>
      </c>
      <c r="C25" s="9" t="inlineStr"/>
      <c r="D25" s="9" t="inlineStr"/>
      <c r="E25" s="9" t="inlineStr"/>
    </row>
    <row r="26">
      <c r="A26" s="8" t="inlineStr">
        <is>
          <t>대장간 Lv.2</t>
        </is>
      </c>
      <c r="B26" s="8" t="inlineStr">
        <is>
          <t>고급 장비 제작 (성 레벨 2+)</t>
        </is>
      </c>
      <c r="C26" s="8" t="inlineStr"/>
      <c r="D26" s="8" t="inlineStr"/>
      <c r="E26" s="8" t="inlineStr"/>
    </row>
    <row r="27">
      <c r="A27" s="9" t="inlineStr">
        <is>
          <t>대장간 Lv.3</t>
        </is>
      </c>
      <c r="B27" s="9" t="inlineStr">
        <is>
          <t>희귀 장비 제작 (성 레벨 3+)</t>
        </is>
      </c>
      <c r="C27" s="9" t="inlineStr"/>
      <c r="D27" s="9" t="inlineStr"/>
      <c r="E27" s="9" t="inlineStr"/>
    </row>
    <row r="28">
      <c r="A28" s="8" t="inlineStr">
        <is>
          <t>대장간 Lv.4</t>
        </is>
      </c>
      <c r="B28" s="8" t="inlineStr">
        <is>
          <t>영웅 장비 제작 (성 레벨 4+)</t>
        </is>
      </c>
      <c r="C28" s="8" t="inlineStr"/>
      <c r="D28" s="8" t="inlineStr"/>
      <c r="E28" s="8" t="inlineStr"/>
    </row>
    <row r="29">
      <c r="A29" s="9" t="inlineStr">
        <is>
          <t>대장간 Lv.5</t>
        </is>
      </c>
      <c r="B29" s="9" t="inlineStr">
        <is>
          <t>전설 장비 제작 (성 레벨 5+)</t>
        </is>
      </c>
      <c r="C29" s="9" t="inlineStr"/>
      <c r="D29" s="9" t="inlineStr"/>
      <c r="E29" s="9" t="inlineStr"/>
    </row>
  </sheetData>
  <mergeCells count="1">
    <mergeCell ref="A1:E1"/>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4" customWidth="1" min="1" max="1"/>
    <col width="5" customWidth="1" min="2" max="2"/>
    <col width="16" customWidth="1" min="3" max="3"/>
    <col width="5" customWidth="1" min="4" max="4"/>
    <col width="16" customWidth="1" min="5" max="5"/>
    <col width="6" customWidth="1" min="6" max="6"/>
    <col width="6" customWidth="1" min="7" max="7"/>
    <col width="28" customWidth="1" min="8" max="8"/>
  </cols>
  <sheetData>
    <row r="1">
      <c r="A1" s="6" t="inlineStr">
        <is>
          <t>포획 몬스터 진화 트리 (10계열 + 특수 5종)</t>
        </is>
      </c>
    </row>
    <row r="3">
      <c r="A3" s="7" t="inlineStr">
        <is>
          <t>1단계</t>
        </is>
      </c>
      <c r="B3" s="7" t="inlineStr">
        <is>
          <t>Lv.</t>
        </is>
      </c>
      <c r="C3" s="7" t="inlineStr">
        <is>
          <t>2단계</t>
        </is>
      </c>
      <c r="D3" s="7" t="inlineStr">
        <is>
          <t>Lv.</t>
        </is>
      </c>
      <c r="E3" s="7" t="inlineStr">
        <is>
          <t>3단계</t>
        </is>
      </c>
      <c r="F3" s="7" t="inlineStr">
        <is>
          <t>ATK</t>
        </is>
      </c>
      <c r="G3" s="7" t="inlineStr">
        <is>
          <t>HP</t>
        </is>
      </c>
      <c r="H3" s="7" t="inlineStr">
        <is>
          <t>고유 능력</t>
        </is>
      </c>
    </row>
    <row r="4">
      <c r="A4" s="8" t="inlineStr">
        <is>
          <t>🟢 슬라임</t>
        </is>
      </c>
      <c r="B4" s="8" t="inlineStr">
        <is>
          <t>10→</t>
        </is>
      </c>
      <c r="C4" s="8" t="inlineStr">
        <is>
          <t>🔵 킹슬라임</t>
        </is>
      </c>
      <c r="D4" s="8" t="inlineStr">
        <is>
          <t>25→</t>
        </is>
      </c>
      <c r="E4" s="8" t="inlineStr">
        <is>
          <t>🟣 슬라임 엠퍼러</t>
        </is>
      </c>
      <c r="F4" s="8" t="inlineStr">
        <is>
          <t>30</t>
        </is>
      </c>
      <c r="G4" s="8" t="inlineStr">
        <is>
          <t>400</t>
        </is>
      </c>
      <c r="H4" s="8" t="inlineStr">
        <is>
          <t>분열 — 사망 시 소형 3체</t>
        </is>
      </c>
    </row>
    <row r="5">
      <c r="A5" s="9" t="inlineStr">
        <is>
          <t>🐺 늑대</t>
        </is>
      </c>
      <c r="B5" s="9" t="inlineStr">
        <is>
          <t>10→</t>
        </is>
      </c>
      <c r="C5" s="9" t="inlineStr">
        <is>
          <t>🐺 디어울프</t>
        </is>
      </c>
      <c r="D5" s="9" t="inlineStr">
        <is>
          <t>25→</t>
        </is>
      </c>
      <c r="E5" s="9" t="inlineStr">
        <is>
          <t>🐺 펜리르</t>
        </is>
      </c>
      <c r="F5" s="9" t="inlineStr">
        <is>
          <t>45</t>
        </is>
      </c>
      <c r="G5" s="9" t="inlineStr">
        <is>
          <t>550</t>
        </is>
      </c>
      <c r="H5" s="9" t="inlineStr">
        <is>
          <t>울부짖음 — 아군 ATK +20%</t>
        </is>
      </c>
    </row>
    <row r="6">
      <c r="A6" s="8" t="inlineStr">
        <is>
          <t>🦇 박쥐</t>
        </is>
      </c>
      <c r="B6" s="8" t="inlineStr">
        <is>
          <t>10→</t>
        </is>
      </c>
      <c r="C6" s="8" t="inlineStr">
        <is>
          <t>🦇 뱀파이어 배트</t>
        </is>
      </c>
      <c r="D6" s="8" t="inlineStr">
        <is>
          <t>25→</t>
        </is>
      </c>
      <c r="E6" s="8" t="inlineStr">
        <is>
          <t>🧛 블러드 로드</t>
        </is>
      </c>
      <c r="F6" s="8" t="inlineStr">
        <is>
          <t>40</t>
        </is>
      </c>
      <c r="G6" s="8" t="inlineStr">
        <is>
          <t>350</t>
        </is>
      </c>
      <c r="H6" s="8" t="inlineStr">
        <is>
          <t>흡혈 — 데미지의 30% 회복</t>
        </is>
      </c>
    </row>
    <row r="7">
      <c r="A7" s="9" t="inlineStr">
        <is>
          <t>🕷️ 거미</t>
        </is>
      </c>
      <c r="B7" s="9" t="inlineStr">
        <is>
          <t>10→</t>
        </is>
      </c>
      <c r="C7" s="9" t="inlineStr">
        <is>
          <t>🕷️ 독거미</t>
        </is>
      </c>
      <c r="D7" s="9" t="inlineStr">
        <is>
          <t>25→</t>
        </is>
      </c>
      <c r="E7" s="9" t="inlineStr">
        <is>
          <t>🕷️ 아라크네</t>
        </is>
      </c>
      <c r="F7" s="9" t="inlineStr">
        <is>
          <t>35</t>
        </is>
      </c>
      <c r="G7" s="9" t="inlineStr">
        <is>
          <t>300</t>
        </is>
      </c>
      <c r="H7" s="9" t="inlineStr">
        <is>
          <t>거미줄 — 3초 속박 + 독</t>
        </is>
      </c>
    </row>
    <row r="8">
      <c r="A8" s="8" t="inlineStr">
        <is>
          <t>🌿 트렌트</t>
        </is>
      </c>
      <c r="B8" s="8" t="inlineStr">
        <is>
          <t>10→</t>
        </is>
      </c>
      <c r="C8" s="8" t="inlineStr">
        <is>
          <t>🌲 고대 트렌트</t>
        </is>
      </c>
      <c r="D8" s="8" t="inlineStr">
        <is>
          <t>25→</t>
        </is>
      </c>
      <c r="E8" s="8" t="inlineStr">
        <is>
          <t>🌳 세계수 수호자</t>
        </is>
      </c>
      <c r="F8" s="8" t="inlineStr">
        <is>
          <t>25</t>
        </is>
      </c>
      <c r="G8" s="8" t="inlineStr">
        <is>
          <t>800</t>
        </is>
      </c>
      <c r="H8" s="8" t="inlineStr">
        <is>
          <t>자연 치유 — 전체 HP 5%/초</t>
        </is>
      </c>
    </row>
    <row r="9">
      <c r="A9" s="9" t="inlineStr">
        <is>
          <t>🐉 아기 드래곤</t>
        </is>
      </c>
      <c r="B9" s="9" t="inlineStr">
        <is>
          <t>10→</t>
        </is>
      </c>
      <c r="C9" s="9" t="inlineStr">
        <is>
          <t>🐲 드래곤</t>
        </is>
      </c>
      <c r="D9" s="9" t="inlineStr">
        <is>
          <t>25→</t>
        </is>
      </c>
      <c r="E9" s="9" t="inlineStr">
        <is>
          <t>🐲 에이션트 드래곤</t>
        </is>
      </c>
      <c r="F9" s="9" t="inlineStr">
        <is>
          <t>70</t>
        </is>
      </c>
      <c r="G9" s="9" t="inlineStr">
        <is>
          <t>700</t>
        </is>
      </c>
      <c r="H9" s="9" t="inlineStr">
        <is>
          <t>브레스 — 광역 6배 화염</t>
        </is>
      </c>
    </row>
    <row r="10">
      <c r="A10" s="8" t="inlineStr">
        <is>
          <t>👻 유령</t>
        </is>
      </c>
      <c r="B10" s="8" t="inlineStr">
        <is>
          <t>10→</t>
        </is>
      </c>
      <c r="C10" s="8" t="inlineStr">
        <is>
          <t>💀 리치</t>
        </is>
      </c>
      <c r="D10" s="8" t="inlineStr">
        <is>
          <t>25→</t>
        </is>
      </c>
      <c r="E10" s="8" t="inlineStr">
        <is>
          <t>💀 데스 리치</t>
        </is>
      </c>
      <c r="F10" s="8" t="inlineStr">
        <is>
          <t>55</t>
        </is>
      </c>
      <c r="G10" s="8" t="inlineStr">
        <is>
          <t>400</t>
        </is>
      </c>
      <c r="H10" s="8" t="inlineStr">
        <is>
          <t>영혼 지배 — 적 1체 10초 조종</t>
        </is>
      </c>
    </row>
    <row r="11">
      <c r="A11" s="9" t="inlineStr">
        <is>
          <t>🦅 독수리</t>
        </is>
      </c>
      <c r="B11" s="9" t="inlineStr">
        <is>
          <t>10→</t>
        </is>
      </c>
      <c r="C11" s="9" t="inlineStr">
        <is>
          <t>🦅 그리핀</t>
        </is>
      </c>
      <c r="D11" s="9" t="inlineStr">
        <is>
          <t>25→</t>
        </is>
      </c>
      <c r="E11" s="9" t="inlineStr">
        <is>
          <t>🦅 피닉스</t>
        </is>
      </c>
      <c r="F11" s="9" t="inlineStr">
        <is>
          <t>50</t>
        </is>
      </c>
      <c r="G11" s="9" t="inlineStr">
        <is>
          <t>500</t>
        </is>
      </c>
      <c r="H11" s="9" t="inlineStr">
        <is>
          <t>부활 — 사망 시 1회 부활 (HP50%)</t>
        </is>
      </c>
    </row>
    <row r="12">
      <c r="A12" s="8" t="inlineStr">
        <is>
          <t>🐍 뱀</t>
        </is>
      </c>
      <c r="B12" s="8" t="inlineStr">
        <is>
          <t>10→</t>
        </is>
      </c>
      <c r="C12" s="8" t="inlineStr">
        <is>
          <t>🐍 나가</t>
        </is>
      </c>
      <c r="D12" s="8" t="inlineStr">
        <is>
          <t>25→</t>
        </is>
      </c>
      <c r="E12" s="8" t="inlineStr">
        <is>
          <t>🐲 히드라</t>
        </is>
      </c>
      <c r="F12" s="8" t="inlineStr">
        <is>
          <t>60</t>
        </is>
      </c>
      <c r="G12" s="8" t="inlineStr">
        <is>
          <t>650</t>
        </is>
      </c>
      <c r="H12" s="8" t="inlineStr">
        <is>
          <t>재생 머리 — HP 25% 이하 시 ATK 2배</t>
        </is>
      </c>
    </row>
    <row r="13">
      <c r="A13" s="9" t="inlineStr">
        <is>
          <t>⚡ 번개 정령</t>
        </is>
      </c>
      <c r="B13" s="9" t="inlineStr">
        <is>
          <t>10→</t>
        </is>
      </c>
      <c r="C13" s="9" t="inlineStr">
        <is>
          <t>⚡ 썬더버드</t>
        </is>
      </c>
      <c r="D13" s="9" t="inlineStr">
        <is>
          <t>25→</t>
        </is>
      </c>
      <c r="E13" s="9" t="inlineStr">
        <is>
          <t>⚡ 라이트닝 드래곤</t>
        </is>
      </c>
      <c r="F13" s="9" t="inlineStr">
        <is>
          <t>65</t>
        </is>
      </c>
      <c r="G13" s="9" t="inlineStr">
        <is>
          <t>550</t>
        </is>
      </c>
      <c r="H13" s="9" t="inlineStr">
        <is>
          <t>체인 라이트닝 — 적 4체 연쇄</t>
        </is>
      </c>
    </row>
    <row r="14">
      <c r="A14" s="8" t="inlineStr"/>
      <c r="B14" s="8" t="inlineStr"/>
      <c r="C14" s="8" t="inlineStr"/>
      <c r="D14" s="8" t="inlineStr"/>
      <c r="E14" s="8" t="inlineStr"/>
      <c r="F14" s="8" t="inlineStr"/>
      <c r="G14" s="8" t="inlineStr"/>
      <c r="H14" s="8" t="inlineStr"/>
    </row>
    <row r="15">
      <c r="A15" s="9" t="inlineStr">
        <is>
          <t>🌟 특수 진화 (교배 전용)</t>
        </is>
      </c>
      <c r="B15" s="9" t="inlineStr"/>
      <c r="C15" s="9" t="inlineStr"/>
      <c r="D15" s="9" t="inlineStr"/>
      <c r="E15" s="9" t="inlineStr"/>
      <c r="F15" s="9" t="inlineStr"/>
      <c r="G15" s="9" t="inlineStr"/>
      <c r="H15" s="9" t="inlineStr"/>
    </row>
    <row r="16">
      <c r="A16" s="8" t="inlineStr">
        <is>
          <t>늑대 + 독수리</t>
        </is>
      </c>
      <c r="B16" s="8" t="inlineStr">
        <is>
          <t>→</t>
        </is>
      </c>
      <c r="C16" s="8" t="inlineStr">
        <is>
          <t>🦁 그리폰</t>
        </is>
      </c>
      <c r="D16" s="8" t="inlineStr"/>
      <c r="E16" s="8" t="inlineStr">
        <is>
          <t>(영웅급)</t>
        </is>
      </c>
      <c r="F16" s="8" t="inlineStr">
        <is>
          <t>55</t>
        </is>
      </c>
      <c r="G16" s="8" t="inlineStr">
        <is>
          <t>600</t>
        </is>
      </c>
      <c r="H16" s="8" t="inlineStr">
        <is>
          <t>돌진 — 3배 + 스턴 2초</t>
        </is>
      </c>
    </row>
    <row r="17">
      <c r="A17" s="9" t="inlineStr">
        <is>
          <t>드래곤 + 유령</t>
        </is>
      </c>
      <c r="B17" s="9" t="inlineStr">
        <is>
          <t>→</t>
        </is>
      </c>
      <c r="C17" s="9" t="inlineStr">
        <is>
          <t>🐲 고스트 드래곤</t>
        </is>
      </c>
      <c r="D17" s="9" t="inlineStr"/>
      <c r="E17" s="9" t="inlineStr">
        <is>
          <t>(전설급)</t>
        </is>
      </c>
      <c r="F17" s="9" t="inlineStr">
        <is>
          <t>75</t>
        </is>
      </c>
      <c r="G17" s="9" t="inlineStr">
        <is>
          <t>500</t>
        </is>
      </c>
      <c r="H17" s="9" t="inlineStr">
        <is>
          <t>유령 브레스 — 방어 무시 8배</t>
        </is>
      </c>
    </row>
    <row r="18">
      <c r="A18" s="8" t="inlineStr">
        <is>
          <t>슬라임 + 번개 정령</t>
        </is>
      </c>
      <c r="B18" s="8" t="inlineStr">
        <is>
          <t>→</t>
        </is>
      </c>
      <c r="C18" s="8" t="inlineStr">
        <is>
          <t>⚡ 플라즈마 슬라임</t>
        </is>
      </c>
      <c r="D18" s="8" t="inlineStr"/>
      <c r="E18" s="8" t="inlineStr">
        <is>
          <t>(희귀급)</t>
        </is>
      </c>
      <c r="F18" s="8" t="inlineStr">
        <is>
          <t>40</t>
        </is>
      </c>
      <c r="G18" s="8" t="inlineStr">
        <is>
          <t>350</t>
        </is>
      </c>
      <c r="H18" s="8" t="inlineStr">
        <is>
          <t>전기 분열 — 사망 시 전기 3체</t>
        </is>
      </c>
    </row>
    <row r="19">
      <c r="A19" s="9" t="inlineStr">
        <is>
          <t>트렌트 + 뱀</t>
        </is>
      </c>
      <c r="B19" s="9" t="inlineStr">
        <is>
          <t>→</t>
        </is>
      </c>
      <c r="C19" s="9" t="inlineStr">
        <is>
          <t>🌿 세계수 뱀</t>
        </is>
      </c>
      <c r="D19" s="9" t="inlineStr"/>
      <c r="E19" s="9" t="inlineStr">
        <is>
          <t>(영웅급)</t>
        </is>
      </c>
      <c r="F19" s="9" t="inlineStr">
        <is>
          <t>45</t>
        </is>
      </c>
      <c r="G19" s="9" t="inlineStr">
        <is>
          <t>700</t>
        </is>
      </c>
      <c r="H19" s="9" t="inlineStr">
        <is>
          <t>독 치유 — 독이 아군에겐 힐</t>
        </is>
      </c>
    </row>
    <row r="20">
      <c r="A20" s="8" t="inlineStr">
        <is>
          <t>모든 3진화 10종 수집</t>
        </is>
      </c>
      <c r="B20" s="8" t="inlineStr">
        <is>
          <t>→</t>
        </is>
      </c>
      <c r="C20" s="8" t="inlineStr">
        <is>
          <t>🌈 환상의 짐승</t>
        </is>
      </c>
      <c r="D20" s="8" t="inlineStr"/>
      <c r="E20" s="8" t="inlineStr">
        <is>
          <t>(신화급!!!)</t>
        </is>
      </c>
      <c r="F20" s="8" t="inlineStr">
        <is>
          <t>80</t>
        </is>
      </c>
      <c r="G20" s="8" t="inlineStr">
        <is>
          <t>1000</t>
        </is>
      </c>
      <c r="H20" s="8" t="inlineStr">
        <is>
          <t>전 능력 복사 — 랜덤 고유능력 3개</t>
        </is>
      </c>
    </row>
  </sheetData>
  <mergeCells count="1">
    <mergeCell ref="A1:H1"/>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8" customWidth="1" min="2" max="2"/>
    <col width="24" customWidth="1" min="3" max="3"/>
    <col width="24" customWidth="1" min="4" max="4"/>
    <col width="14" customWidth="1" min="5" max="5"/>
  </cols>
  <sheetData>
    <row r="1">
      <c r="A1" s="6" t="inlineStr">
        <is>
          <t>IO↔SLG 보상 순환 상세</t>
        </is>
      </c>
    </row>
    <row r="3">
      <c r="A3" s="7" t="inlineStr">
        <is>
          <t>방향</t>
        </is>
      </c>
      <c r="B3" s="7" t="inlineStr">
        <is>
          <t>행동</t>
        </is>
      </c>
      <c r="C3" s="7" t="inlineStr">
        <is>
          <t>보상</t>
        </is>
      </c>
      <c r="D3" s="7" t="inlineStr">
        <is>
          <t>SLG/IO 효과</t>
        </is>
      </c>
      <c r="E3" s="7" t="inlineStr">
        <is>
          <t>핵심 재미</t>
        </is>
      </c>
    </row>
    <row r="4">
      <c r="A4" s="8" t="inlineStr">
        <is>
          <t>IO→SLG</t>
        </is>
      </c>
      <c r="B4" s="8" t="inlineStr">
        <is>
          <t>몬스터 킬 (1체)</t>
        </is>
      </c>
      <c r="C4" s="8" t="inlineStr">
        <is>
          <t>골드 2 + EXP 1</t>
        </is>
      </c>
      <c r="D4" s="8" t="inlineStr">
        <is>
          <t>용병 훈련 자금</t>
        </is>
      </c>
      <c r="E4" s="8" t="inlineStr">
        <is>
          <t>기본 수입</t>
        </is>
      </c>
    </row>
    <row r="5">
      <c r="A5" s="9" t="inlineStr">
        <is>
          <t>IO→SLG</t>
        </is>
      </c>
      <c r="B5" s="9" t="inlineStr">
        <is>
          <t>웨이브 클리어</t>
        </is>
      </c>
      <c r="C5" s="9" t="inlineStr">
        <is>
          <t>골드 50 + 재료 1</t>
        </is>
      </c>
      <c r="D5" s="9" t="inlineStr">
        <is>
          <t>장비 제작 재료</t>
        </is>
      </c>
      <c r="E5" s="9" t="inlineStr">
        <is>
          <t>점진적 축적</t>
        </is>
      </c>
    </row>
    <row r="6">
      <c r="A6" s="8" t="inlineStr">
        <is>
          <t>IO→SLG</t>
        </is>
      </c>
      <c r="B6" s="8" t="inlineStr">
        <is>
          <t>보스 킬</t>
        </is>
      </c>
      <c r="C6" s="8" t="inlineStr">
        <is>
          <t>골드 200 + 30% 용병카드</t>
        </is>
      </c>
      <c r="D6" s="8" t="inlineStr">
        <is>
          <t>신규 용병 획득!</t>
        </is>
      </c>
      <c r="E6" s="8" t="inlineStr">
        <is>
          <t>두근두근 드롭</t>
        </is>
      </c>
    </row>
    <row r="7">
      <c r="A7" s="9" t="inlineStr">
        <is>
          <t>IO→SLG</t>
        </is>
      </c>
      <c r="B7" s="9" t="inlineStr">
        <is>
          <t>PvP 킬</t>
        </is>
      </c>
      <c r="C7" s="9" t="inlineStr">
        <is>
          <t>골드 100 + 10% 장비 드롭</t>
        </is>
      </c>
      <c r="D7" s="9" t="inlineStr">
        <is>
          <t>장비 획득 or 판매</t>
        </is>
      </c>
      <c r="E7" s="9" t="inlineStr">
        <is>
          <t>PvP 동기</t>
        </is>
      </c>
    </row>
    <row r="8">
      <c r="A8" s="8" t="inlineStr">
        <is>
          <t>IO→SLG</t>
        </is>
      </c>
      <c r="B8" s="8" t="inlineStr">
        <is>
          <t>1위 (10분)</t>
        </is>
      </c>
      <c r="C8" s="8" t="inlineStr">
        <is>
          <t>5,000G + 50💎 + 용병카드 + 10% 전설</t>
        </is>
      </c>
      <c r="D8" s="8" t="inlineStr">
        <is>
          <t>대박 보상!</t>
        </is>
      </c>
      <c r="E8" s="8" t="inlineStr">
        <is>
          <t>1위 동기</t>
        </is>
      </c>
    </row>
    <row r="9">
      <c r="A9" s="9" t="inlineStr">
        <is>
          <t>IO→SLG</t>
        </is>
      </c>
      <c r="B9" s="9" t="inlineStr">
        <is>
          <t>보스 러시 클리어</t>
        </is>
      </c>
      <c r="C9" s="9" t="inlineStr">
        <is>
          <t>각성석 5% + 전설재료 3%</t>
        </is>
      </c>
      <c r="D9" s="9" t="inlineStr">
        <is>
          <t>각성/초월 재료</t>
        </is>
      </c>
      <c r="E9" s="9" t="inlineStr">
        <is>
          <t>협동 보상</t>
        </is>
      </c>
    </row>
    <row r="10">
      <c r="A10" s="8" t="inlineStr">
        <is>
          <t>IO→SLG</t>
        </is>
      </c>
      <c r="B10" s="8" t="inlineStr">
        <is>
          <t>약탈전 1위</t>
        </is>
      </c>
      <c r="C10" s="8" t="inlineStr">
        <is>
          <t>보유 장비 전부 영구 + 10,000G</t>
        </is>
      </c>
      <c r="D10" s="8" t="inlineStr">
        <is>
          <t>최고급 장비 획득</t>
        </is>
      </c>
      <c r="E10" s="8" t="inlineStr">
        <is>
          <t>하이리스크</t>
        </is>
      </c>
    </row>
    <row r="11">
      <c r="A11" s="9" t="inlineStr"/>
      <c r="B11" s="9" t="inlineStr"/>
      <c r="C11" s="9" t="inlineStr"/>
      <c r="D11" s="9" t="inlineStr"/>
      <c r="E11" s="9" t="inlineStr"/>
    </row>
    <row r="12">
      <c r="A12" s="8" t="inlineStr">
        <is>
          <t>SLG→IO</t>
        </is>
      </c>
      <c r="B12" s="8" t="inlineStr">
        <is>
          <t>용병 파티 편성</t>
        </is>
      </c>
      <c r="C12" s="8" t="inlineStr">
        <is>
          <t>AI 동료 최대 6명 참전</t>
        </is>
      </c>
      <c r="D12" s="8" t="inlineStr">
        <is>
          <t>용병이 자동전투 보조</t>
        </is>
      </c>
      <c r="E12" s="8" t="inlineStr">
        <is>
          <t>키운 보람!</t>
        </is>
      </c>
    </row>
    <row r="13">
      <c r="A13" s="9" t="inlineStr">
        <is>
          <t>SLG→IO</t>
        </is>
      </c>
      <c r="B13" s="9" t="inlineStr">
        <is>
          <t>용병 전투력 보너스</t>
        </is>
      </c>
      <c r="C13" s="9" t="inlineStr">
        <is>
          <t>전투력 1,000당 시작 ATK +5</t>
        </is>
      </c>
      <c r="D13" s="9" t="inlineStr">
        <is>
          <t>SLG 투자가 IO에 직결</t>
        </is>
      </c>
      <c r="E13" s="9" t="inlineStr">
        <is>
          <t>성장 실감</t>
        </is>
      </c>
    </row>
    <row r="14">
      <c r="A14" s="8" t="inlineStr">
        <is>
          <t>SLG→IO</t>
        </is>
      </c>
      <c r="B14" s="8" t="inlineStr">
        <is>
          <t>성 시설 보너스</t>
        </is>
      </c>
      <c r="C14" s="8" t="inlineStr">
        <is>
          <t>병영: 용병 +2 / 대장간: 무기DMG +10% / 신전: HP +10%</t>
        </is>
      </c>
      <c r="D14" s="8" t="inlineStr">
        <is>
          <t>시설이 IO 성능에 직결</t>
        </is>
      </c>
      <c r="E14" s="8" t="inlineStr">
        <is>
          <t>건설 동기</t>
        </is>
      </c>
    </row>
    <row r="15">
      <c r="A15" s="9" t="inlineStr">
        <is>
          <t>SLG→IO</t>
        </is>
      </c>
      <c r="B15" s="9" t="inlineStr">
        <is>
          <t>포획 몬스터 소환</t>
        </is>
      </c>
      <c r="C15" s="9" t="inlineStr">
        <is>
          <t>IO에서 포획 몬스터 1회 소환 (60초)</t>
        </is>
      </c>
      <c r="D15" s="9" t="inlineStr">
        <is>
          <t>보스급 전력 추가!</t>
        </is>
      </c>
      <c r="E15" s="9" t="inlineStr">
        <is>
          <t>포획 동기</t>
        </is>
      </c>
    </row>
    <row r="16">
      <c r="A16" s="8" t="inlineStr">
        <is>
          <t>SLG→IO</t>
        </is>
      </c>
      <c r="B16" s="8" t="inlineStr">
        <is>
          <t>무역 수익 버프</t>
        </is>
      </c>
      <c r="C16" s="8" t="inlineStr">
        <is>
          <t>무역 이윤 누적 10,000G당 IO 골드 획득 +5%</t>
        </is>
      </c>
      <c r="D16" s="8" t="inlineStr">
        <is>
          <t>무역→IO 보상 루프</t>
        </is>
      </c>
      <c r="E16" s="8" t="inlineStr">
        <is>
          <t>무역 동기</t>
        </is>
      </c>
    </row>
    <row r="17">
      <c r="A17" s="9" t="inlineStr">
        <is>
          <t>SLG→IO</t>
        </is>
      </c>
      <c r="B17" s="9" t="inlineStr">
        <is>
          <t>혈맹 버프</t>
        </is>
      </c>
      <c r="C17" s="9" t="inlineStr">
        <is>
          <t>혈맹 스킬에 따라 IO 전역 버프</t>
        </is>
      </c>
      <c r="D17" s="9" t="inlineStr">
        <is>
          <t>ATK/DEF/HP 최대 +15%</t>
        </is>
      </c>
      <c r="E17" s="9" t="inlineStr">
        <is>
          <t>혈맹 동기</t>
        </is>
      </c>
    </row>
    <row r="18">
      <c r="A18" s="8" t="inlineStr"/>
      <c r="B18" s="8" t="inlineStr"/>
      <c r="C18" s="8" t="inlineStr"/>
      <c r="D18" s="8" t="inlineStr"/>
      <c r="E18" s="8" t="inlineStr"/>
    </row>
    <row r="19">
      <c r="A19" s="9" t="inlineStr">
        <is>
          <t>양방향</t>
        </is>
      </c>
      <c r="B19" s="9" t="inlineStr">
        <is>
          <t>공성전 승리</t>
        </is>
      </c>
      <c r="C19" s="9" t="inlineStr">
        <is>
          <t>승자: IO 버프 24시간 (ATK +20%)</t>
        </is>
      </c>
      <c r="D19" s="9" t="inlineStr">
        <is>
          <t>강한 자가 더 강해짐</t>
        </is>
      </c>
      <c r="E19" s="9" t="inlineStr">
        <is>
          <t>공성 투자 동기</t>
        </is>
      </c>
    </row>
    <row r="20">
      <c r="A20" s="8" t="inlineStr">
        <is>
          <t>양방향</t>
        </is>
      </c>
      <c r="B20" s="8" t="inlineStr">
        <is>
          <t>시즌 랭킹</t>
        </is>
      </c>
      <c r="C20" s="8" t="inlineStr">
        <is>
          <t>IO 순위 + SLG 전투력 + 무역이윤 + 도감 종합</t>
        </is>
      </c>
      <c r="D20" s="8" t="inlineStr">
        <is>
          <t>전 콘텐츠 참여 보상!</t>
        </is>
      </c>
      <c r="E20" s="8" t="inlineStr">
        <is>
          <t>통합 경쟁</t>
        </is>
      </c>
    </row>
    <row r="21">
      <c r="A21" s="9" t="inlineStr">
        <is>
          <t>양방향</t>
        </is>
      </c>
      <c r="B21" s="9" t="inlineStr">
        <is>
          <t>일일 퀘스트</t>
        </is>
      </c>
      <c r="C21" s="9" t="inlineStr">
        <is>
          <t>IO 3판 + 무역 1회 + 용병 훈련 1회 = 일일 보상</t>
        </is>
      </c>
      <c r="D21" s="9" t="inlineStr">
        <is>
          <t>2,000G + 20💎</t>
        </is>
      </c>
      <c r="E21" s="9" t="inlineStr">
        <is>
          <t>매일 접속 유도</t>
        </is>
      </c>
    </row>
  </sheetData>
  <mergeCells count="1">
    <mergeCell ref="A1:E1"/>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4" customWidth="1" min="1" max="1"/>
    <col width="30" customWidth="1" min="2" max="2"/>
    <col width="24" customWidth="1" min="3" max="3"/>
    <col width="18" customWidth="1" min="4" max="4"/>
  </cols>
  <sheetData>
    <row r="1">
      <c r="A1" s="6" t="inlineStr">
        <is>
          <t>공성전 맵 에디터 시스템</t>
        </is>
      </c>
    </row>
    <row r="3">
      <c r="A3" s="7" t="inlineStr">
        <is>
          <t>기능</t>
        </is>
      </c>
      <c r="B3" s="7" t="inlineStr">
        <is>
          <t>상세</t>
        </is>
      </c>
      <c r="C3" s="7" t="inlineStr">
        <is>
          <t>제한</t>
        </is>
      </c>
      <c r="D3" s="7" t="inlineStr">
        <is>
          <t>전략 포인트</t>
        </is>
      </c>
    </row>
    <row r="4">
      <c r="A4" s="8" t="inlineStr">
        <is>
          <t>🗺️ 맵 크기</t>
        </is>
      </c>
      <c r="B4" s="8" t="inlineStr">
        <is>
          <t>25×20 그리드, 성 레벨에 따라 확장</t>
        </is>
      </c>
      <c r="C4" s="8" t="inlineStr">
        <is>
          <t>Lv.1: 15×10 / Lv.5: 30×25</t>
        </is>
      </c>
      <c r="D4" s="8" t="inlineStr">
        <is>
          <t>큰 성 = 넓은 맵</t>
        </is>
      </c>
    </row>
    <row r="5">
      <c r="A5" s="9" t="inlineStr">
        <is>
          <t>🚪 입구 설정</t>
        </is>
      </c>
      <c r="B5" s="9" t="inlineStr">
        <is>
          <t>공격자 진입로 위치 조정 (1~5개)</t>
        </is>
      </c>
      <c r="C5" s="9" t="inlineStr">
        <is>
          <t>최소 1개 입구 필수</t>
        </is>
      </c>
      <c r="D5" s="9" t="inlineStr">
        <is>
          <t>입구 수로 난이도 조절</t>
        </is>
      </c>
    </row>
    <row r="6">
      <c r="A6" s="8" t="inlineStr">
        <is>
          <t>🧱 벽 배치</t>
        </is>
      </c>
      <c r="B6" s="8" t="inlineStr">
        <is>
          <t>이동 불가 벽 자유 배치</t>
        </is>
      </c>
      <c r="C6" s="8" t="inlineStr">
        <is>
          <t>맵의 40% 이하만 벽 가능</t>
        </is>
      </c>
      <c r="D6" s="8" t="inlineStr">
        <is>
          <t>미로 설계!</t>
        </is>
      </c>
    </row>
    <row r="7">
      <c r="A7" s="9" t="inlineStr">
        <is>
          <t>🛤️ 통로 폭</t>
        </is>
      </c>
      <c r="B7" s="9" t="inlineStr">
        <is>
          <t>좁은 통로(1칸) ~ 넓은 통로(3칸)</t>
        </is>
      </c>
      <c r="C7" s="9" t="inlineStr">
        <is>
          <t>모든 입구→왕좌 경로 최소 1개 보장</t>
        </is>
      </c>
      <c r="D7" s="9" t="inlineStr">
        <is>
          <t>좁은 곳에 함정 집중</t>
        </is>
      </c>
    </row>
    <row r="8">
      <c r="A8" s="8" t="inlineStr"/>
      <c r="B8" s="8" t="inlineStr"/>
      <c r="C8" s="8" t="inlineStr"/>
      <c r="D8" s="8" t="inlineStr"/>
    </row>
    <row r="9">
      <c r="A9" s="9" t="inlineStr">
        <is>
          <t>📐 배치 영역</t>
        </is>
      </c>
      <c r="B9" s="9" t="inlineStr"/>
      <c r="C9" s="9" t="inlineStr"/>
      <c r="D9" s="9" t="inlineStr"/>
    </row>
    <row r="10">
      <c r="A10" s="8" t="inlineStr">
        <is>
          <t>함정 존</t>
        </is>
      </c>
      <c r="B10" s="8" t="inlineStr">
        <is>
          <t>맵 전체에 자유 배치</t>
        </is>
      </c>
      <c r="C10" s="8" t="inlineStr">
        <is>
          <t>최대 개수 = 성 레벨 × 4</t>
        </is>
      </c>
      <c r="D10" s="8" t="inlineStr">
        <is>
          <t>어디에 심을까?</t>
        </is>
      </c>
    </row>
    <row r="11">
      <c r="A11" s="9" t="inlineStr">
        <is>
          <t>용병 존</t>
        </is>
      </c>
      <c r="B11" s="9" t="inlineStr">
        <is>
          <t>맵 전체에 자유 배치</t>
        </is>
      </c>
      <c r="C11" s="9" t="inlineStr">
        <is>
          <t>최대 명수 = 성 레벨 × 2</t>
        </is>
      </c>
      <c r="D11" s="9" t="inlineStr">
        <is>
          <t>최적 위치 고민</t>
        </is>
      </c>
    </row>
    <row r="12">
      <c r="A12" s="8" t="inlineStr">
        <is>
          <t>안전 존</t>
        </is>
      </c>
      <c r="B12" s="8" t="inlineStr">
        <is>
          <t>공격자 스폰 주변 3칸 함정/용병 배치 불가</t>
        </is>
      </c>
      <c r="C12" s="8" t="inlineStr">
        <is>
          <t>고정</t>
        </is>
      </c>
      <c r="D12" s="8" t="inlineStr">
        <is>
          <t>페어플레이</t>
        </is>
      </c>
    </row>
    <row r="13">
      <c r="A13" s="9" t="inlineStr">
        <is>
          <t>왕좌 존</t>
        </is>
      </c>
      <c r="B13" s="9" t="inlineStr">
        <is>
          <t>맵 끝 3×3 영역, 최후의 방어 지점</t>
        </is>
      </c>
      <c r="C13" s="9" t="inlineStr">
        <is>
          <t>고정</t>
        </is>
      </c>
      <c r="D13" s="9" t="inlineStr">
        <is>
          <t>최종 결전!</t>
        </is>
      </c>
    </row>
    <row r="14">
      <c r="A14" s="8" t="inlineStr"/>
      <c r="B14" s="8" t="inlineStr"/>
      <c r="C14" s="8" t="inlineStr"/>
      <c r="D14" s="8" t="inlineStr"/>
    </row>
    <row r="15">
      <c r="A15" s="9" t="inlineStr">
        <is>
          <t>🎨 테마 선택</t>
        </is>
      </c>
      <c r="B15" s="9" t="inlineStr"/>
      <c r="C15" s="9" t="inlineStr"/>
      <c r="D15" s="9" t="inlineStr"/>
    </row>
    <row r="16">
      <c r="A16" s="8" t="inlineStr">
        <is>
          <t>성 테마 🏰</t>
        </is>
      </c>
      <c r="B16" s="8" t="inlineStr">
        <is>
          <t>석조 성벽 + 성문, 기본 테마</t>
        </is>
      </c>
      <c r="C16" s="8" t="inlineStr">
        <is>
          <t>기본 제공</t>
        </is>
      </c>
      <c r="D16" s="8" t="inlineStr">
        <is>
          <t>클래식</t>
        </is>
      </c>
    </row>
    <row r="17">
      <c r="A17" s="9" t="inlineStr">
        <is>
          <t>화산 테마 🌋</t>
        </is>
      </c>
      <c r="B17" s="9" t="inlineStr">
        <is>
          <t>용암 지대 + 화염 장벽, 화염DMG +20%</t>
        </is>
      </c>
      <c r="C17" s="9" t="inlineStr">
        <is>
          <t>성 레벨 3+</t>
        </is>
      </c>
      <c r="D17" s="9" t="inlineStr">
        <is>
          <t>화염 특화 방어</t>
        </is>
      </c>
    </row>
    <row r="18">
      <c r="A18" s="8" t="inlineStr">
        <is>
          <t>빙하 테마 ❄️</t>
        </is>
      </c>
      <c r="B18" s="8" t="inlineStr">
        <is>
          <t>빙판(감속) + 얼음벽, 냉기DMG +20%</t>
        </is>
      </c>
      <c r="C18" s="8" t="inlineStr">
        <is>
          <t>성 레벨 4+</t>
        </is>
      </c>
      <c r="D18" s="8" t="inlineStr">
        <is>
          <t>감속 특화 방어</t>
        </is>
      </c>
    </row>
    <row r="19">
      <c r="A19" s="9" t="inlineStr">
        <is>
          <t>심연 테마 🌑</t>
        </is>
      </c>
      <c r="B19" s="9" t="inlineStr">
        <is>
          <t>어둠(시야 -50%) + 그림자, 암살DMG +20%</t>
        </is>
      </c>
      <c r="C19" s="9" t="inlineStr">
        <is>
          <t>성 레벨 5+</t>
        </is>
      </c>
      <c r="D19" s="9" t="inlineStr">
        <is>
          <t>매복 특화 방어</t>
        </is>
      </c>
    </row>
    <row r="20">
      <c r="A20" s="8" t="inlineStr"/>
      <c r="B20" s="8" t="inlineStr"/>
      <c r="C20" s="8" t="inlineStr"/>
      <c r="D20" s="8" t="inlineStr"/>
    </row>
    <row r="21">
      <c r="A21" s="9" t="inlineStr">
        <is>
          <t>💾 프리셋 저장</t>
        </is>
      </c>
      <c r="B21" s="9" t="inlineStr">
        <is>
          <t>최대 5개 배치 프리셋 저장/불러오기</t>
        </is>
      </c>
      <c r="C21" s="9" t="inlineStr"/>
      <c r="D21" s="9" t="inlineStr">
        <is>
          <t>상황별 전략 변경</t>
        </is>
      </c>
    </row>
    <row r="22">
      <c r="A22" s="8" t="inlineStr">
        <is>
          <t>🏆 인기 배치</t>
        </is>
      </c>
      <c r="B22" s="8" t="inlineStr">
        <is>
          <t>다른 플레이어의 공개 배치 열람 + 좋아요 랭킹</t>
        </is>
      </c>
      <c r="C22" s="8" t="inlineStr">
        <is>
          <t>공개 선택 시 보상</t>
        </is>
      </c>
      <c r="D22" s="8" t="inlineStr">
        <is>
          <t>커뮤니티!</t>
        </is>
      </c>
    </row>
    <row r="23">
      <c r="A23" s="9" t="inlineStr">
        <is>
          <t>📊 배치 통계</t>
        </is>
      </c>
      <c r="B23" s="9" t="inlineStr">
        <is>
          <t>내 배치의 방어 성공률/평균 돌파 시간 표시</t>
        </is>
      </c>
      <c r="C23" s="9" t="inlineStr"/>
      <c r="D23" s="9" t="inlineStr">
        <is>
          <t>데이터 기반 개선</t>
        </is>
      </c>
    </row>
  </sheetData>
  <mergeCells count="1">
    <mergeCell ref="A1:D1"/>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4" customWidth="1" min="1" max="1"/>
    <col width="35" customWidth="1" min="2" max="2"/>
    <col width="25" customWidth="1" min="3" max="3"/>
    <col width="16" customWidth="1" min="4" max="4"/>
  </cols>
  <sheetData>
    <row r="1">
      <c r="A1" s="6" t="inlineStr">
        <is>
          <t>현상금 사냥꾼 시스템</t>
        </is>
      </c>
    </row>
    <row r="3">
      <c r="A3" s="7" t="inlineStr">
        <is>
          <t>시스템</t>
        </is>
      </c>
      <c r="B3" s="7" t="inlineStr">
        <is>
          <t>상세</t>
        </is>
      </c>
      <c r="C3" s="7" t="inlineStr">
        <is>
          <t>보상</t>
        </is>
      </c>
      <c r="D3" s="7" t="inlineStr">
        <is>
          <t>재미 포인트</t>
        </is>
      </c>
    </row>
    <row r="4">
      <c r="A4" s="8" t="inlineStr">
        <is>
          <t>🎯 현상금 게시판</t>
        </is>
      </c>
      <c r="B4" s="8" t="inlineStr">
        <is>
          <t>카르마 200+ 카오틱 플레이어 자동 등록</t>
        </is>
      </c>
      <c r="C4" s="8" t="inlineStr">
        <is>
          <t>사냥 성공: 현상금 + 카르마 -50</t>
        </is>
      </c>
      <c r="D4" s="8" t="inlineStr">
        <is>
          <t>정의의 심판!</t>
        </is>
      </c>
    </row>
    <row r="5">
      <c r="A5" s="9" t="inlineStr">
        <is>
          <t>현상금 산정</t>
        </is>
      </c>
      <c r="B5" s="9" t="inlineStr">
        <is>
          <t>카르마 × 10G (최소 2,000G ~ 최대 100,000G)</t>
        </is>
      </c>
      <c r="C5" s="9" t="inlineStr">
        <is>
          <t>추가: 대상이 보유한 장비 30% 드롭</t>
        </is>
      </c>
      <c r="D5" s="9" t="inlineStr"/>
    </row>
    <row r="6">
      <c r="A6" s="8" t="inlineStr"/>
      <c r="B6" s="8" t="inlineStr"/>
      <c r="C6" s="8" t="inlineStr"/>
      <c r="D6" s="8" t="inlineStr"/>
    </row>
    <row r="7">
      <c r="A7" s="9" t="inlineStr">
        <is>
          <t>🏹 사냥꾼 직업</t>
        </is>
      </c>
      <c r="B7" s="9" t="inlineStr">
        <is>
          <t>현상금 사냥 10회 완료 시 "사냥꾼" 직업 해금</t>
        </is>
      </c>
      <c r="C7" s="9" t="inlineStr">
        <is>
          <t>전용 스킬 + 칭호</t>
        </is>
      </c>
      <c r="D7" s="9" t="inlineStr">
        <is>
          <t>서브 직업 시스템!</t>
        </is>
      </c>
    </row>
    <row r="8">
      <c r="A8" s="8" t="inlineStr">
        <is>
          <t>사냥꾼 스킬 1</t>
        </is>
      </c>
      <c r="B8" s="8" t="inlineStr">
        <is>
          <t>추적 — 현상금 대상 위치 10초간 표시 (CD 5분)</t>
        </is>
      </c>
      <c r="C8" s="8" t="inlineStr"/>
      <c r="D8" s="8" t="inlineStr">
        <is>
          <t>어디 숨어도!</t>
        </is>
      </c>
    </row>
    <row r="9">
      <c r="A9" s="9" t="inlineStr">
        <is>
          <t>사냥꾼 스킬 2</t>
        </is>
      </c>
      <c r="B9" s="9" t="inlineStr">
        <is>
          <t>정의의 일격 — 카오틱 대상에게 DMG +50% (CD 3분)</t>
        </is>
      </c>
      <c r="C9" s="9" t="inlineStr"/>
      <c r="D9" s="9" t="inlineStr">
        <is>
          <t>대 PK 특화</t>
        </is>
      </c>
    </row>
    <row r="10">
      <c r="A10" s="8" t="inlineStr">
        <is>
          <t>사냥꾼 스킬 3</t>
        </is>
      </c>
      <c r="B10" s="8" t="inlineStr">
        <is>
          <t>쇠사슬 — 대상 3초 속박 + 텔포 불가 (CD 10분)</t>
        </is>
      </c>
      <c r="C10" s="8" t="inlineStr"/>
      <c r="D10" s="8" t="inlineStr">
        <is>
          <t>도주 방지</t>
        </is>
      </c>
    </row>
    <row r="11">
      <c r="A11" s="9" t="inlineStr"/>
      <c r="B11" s="9" t="inlineStr"/>
      <c r="C11" s="9" t="inlineStr"/>
      <c r="D11" s="9" t="inlineStr"/>
    </row>
    <row r="12">
      <c r="A12" s="8" t="inlineStr">
        <is>
          <t>💀 현상수배 등급</t>
        </is>
      </c>
      <c r="B12" s="8" t="inlineStr"/>
      <c r="C12" s="8" t="inlineStr"/>
      <c r="D12" s="8" t="inlineStr"/>
    </row>
    <row r="13">
      <c r="A13" s="9" t="inlineStr">
        <is>
          <t>위험 ⚠️</t>
        </is>
      </c>
      <c r="B13" s="9" t="inlineStr">
        <is>
          <t>카르마 200~499, 현상금 2,000~5,000G</t>
        </is>
      </c>
      <c r="C13" s="9" t="inlineStr">
        <is>
          <t>PK 1~3회</t>
        </is>
      </c>
      <c r="D13" s="9" t="inlineStr">
        <is>
          <t>초보 PK</t>
        </is>
      </c>
    </row>
    <row r="14">
      <c r="A14" s="8" t="inlineStr">
        <is>
          <t>악명 ☠️</t>
        </is>
      </c>
      <c r="B14" s="8" t="inlineStr">
        <is>
          <t>카르마 500~999, 현상금 5,000~10,000G</t>
        </is>
      </c>
      <c r="C14" s="8" t="inlineStr">
        <is>
          <t>PK 4~8회</t>
        </is>
      </c>
      <c r="D14" s="8" t="inlineStr">
        <is>
          <t>요주의 인물</t>
        </is>
      </c>
    </row>
    <row r="15">
      <c r="A15" s="9" t="inlineStr">
        <is>
          <t>흉악 💀</t>
        </is>
      </c>
      <c r="B15" s="9" t="inlineStr">
        <is>
          <t>카르마 1000~2999, 현상금 10,000~30,000G</t>
        </is>
      </c>
      <c r="C15" s="9" t="inlineStr">
        <is>
          <t>PK 9~20회</t>
        </is>
      </c>
      <c r="D15" s="9" t="inlineStr">
        <is>
          <t>현상금 사냥감</t>
        </is>
      </c>
    </row>
    <row r="16">
      <c r="A16" s="8" t="inlineStr">
        <is>
          <t>대재앙 🔥</t>
        </is>
      </c>
      <c r="B16" s="8" t="inlineStr">
        <is>
          <t>카르마 3000+, 현상금 30,000~100,000G</t>
        </is>
      </c>
      <c r="C16" s="8" t="inlineStr">
        <is>
          <t>PK 20회+</t>
        </is>
      </c>
      <c r="D16" s="8" t="inlineStr">
        <is>
          <t>서버 공적 1호!</t>
        </is>
      </c>
    </row>
    <row r="17">
      <c r="A17" s="9" t="inlineStr"/>
      <c r="B17" s="9" t="inlineStr"/>
      <c r="C17" s="9" t="inlineStr"/>
      <c r="D17" s="9" t="inlineStr"/>
    </row>
    <row r="18">
      <c r="A18" s="8" t="inlineStr">
        <is>
          <t>🏆 사냥꾼 랭킹</t>
        </is>
      </c>
      <c r="B18" s="8" t="inlineStr">
        <is>
          <t>총 현상금 수금액 기준 랭킹</t>
        </is>
      </c>
      <c r="C18" s="8" t="inlineStr">
        <is>
          <t>1위: "최고의 사냥꾼" 칭호 + 매주 5,000G</t>
        </is>
      </c>
      <c r="D18" s="8" t="inlineStr">
        <is>
          <t>명예와 돈!</t>
        </is>
      </c>
    </row>
    <row r="19">
      <c r="A19" s="9" t="inlineStr">
        <is>
          <t>역전 시스템</t>
        </is>
      </c>
      <c r="B19" s="9" t="inlineStr">
        <is>
          <t>대재앙 등급이 사냥꾼을 역으로 사냥 시</t>
        </is>
      </c>
      <c r="C19" s="9" t="inlineStr">
        <is>
          <t>현상금 2배 + "사냥꾼의 사냥꾼" 칭호</t>
        </is>
      </c>
      <c r="D19" s="9" t="inlineStr">
        <is>
          <t>역사냥 스릴!</t>
        </is>
      </c>
    </row>
    <row r="20">
      <c r="A20" s="8" t="inlineStr">
        <is>
          <t>혈맹 현상금</t>
        </is>
      </c>
      <c r="B20" s="8" t="inlineStr">
        <is>
          <t>적대 혈맹 맹주에게 개인 현상금 걸기</t>
        </is>
      </c>
      <c r="C20" s="8" t="inlineStr">
        <is>
          <t>최소 10,000G, 성공 시 80% 지급</t>
        </is>
      </c>
      <c r="D20" s="8" t="inlineStr">
        <is>
          <t>정치적 암살!</t>
        </is>
      </c>
    </row>
  </sheetData>
  <mergeCells count="1">
    <mergeCell ref="A1:D1"/>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6" customWidth="1" min="1" max="1"/>
    <col width="30" customWidth="1" min="2" max="2"/>
    <col width="20" customWidth="1" min="3" max="3"/>
    <col width="14" customWidth="1" min="4" max="4"/>
    <col width="16" customWidth="1" min="5" max="5"/>
  </cols>
  <sheetData>
    <row r="1">
      <c r="A1" s="6" t="inlineStr">
        <is>
          <t>진영 전쟁 시스템 (5진영)</t>
        </is>
      </c>
    </row>
    <row r="3">
      <c r="A3" s="7" t="inlineStr">
        <is>
          <t>진영</t>
        </is>
      </c>
      <c r="B3" s="7" t="inlineStr">
        <is>
          <t>상징</t>
        </is>
      </c>
      <c r="C3" s="7" t="inlineStr">
        <is>
          <t>고유 버프</t>
        </is>
      </c>
      <c r="D3" s="7" t="inlineStr">
        <is>
          <t>성향</t>
        </is>
      </c>
      <c r="E3" s="7" t="inlineStr">
        <is>
          <t>가입 조건</t>
        </is>
      </c>
    </row>
    <row r="4">
      <c r="A4" s="8" t="inlineStr">
        <is>
          <t>🦁 왕국 기사단</t>
        </is>
      </c>
      <c r="B4" s="8" t="inlineStr">
        <is>
          <t>황금 사자</t>
        </is>
      </c>
      <c r="C4" s="8" t="inlineStr">
        <is>
          <t>DEF +10%, 성벽 HP +15%</t>
        </is>
      </c>
      <c r="D4" s="8" t="inlineStr">
        <is>
          <t>질서/방어/협동</t>
        </is>
      </c>
      <c r="E4" s="8" t="inlineStr">
        <is>
          <t>성기사/기사 용병 보유</t>
        </is>
      </c>
    </row>
    <row r="5">
      <c r="A5" s="9" t="inlineStr">
        <is>
          <t>🐲 드래곤 로드</t>
        </is>
      </c>
      <c r="B5" s="9" t="inlineStr">
        <is>
          <t>적룡</t>
        </is>
      </c>
      <c r="C5" s="9" t="inlineStr">
        <is>
          <t>ATK +10%, 화염DMG +20%</t>
        </is>
      </c>
      <c r="D5" s="9" t="inlineStr">
        <is>
          <t>힘/정복/야망</t>
        </is>
      </c>
      <c r="E5" s="9" t="inlineStr">
        <is>
          <t>드래곤 계열 용병 보유</t>
        </is>
      </c>
    </row>
    <row r="6">
      <c r="A6" s="8" t="inlineStr">
        <is>
          <t>🌙 암흑 결사</t>
        </is>
      </c>
      <c r="B6" s="8" t="inlineStr">
        <is>
          <t>초승달</t>
        </is>
      </c>
      <c r="C6" s="8" t="inlineStr">
        <is>
          <t>크리 +15%, 은신 시간 +3초</t>
        </is>
      </c>
      <c r="D6" s="8" t="inlineStr">
        <is>
          <t>혼돈/암살/약탈</t>
        </is>
      </c>
      <c r="E6" s="8" t="inlineStr">
        <is>
          <t>카르마 100+ or 암살 계열</t>
        </is>
      </c>
    </row>
    <row r="7">
      <c r="A7" s="9" t="inlineStr">
        <is>
          <t>🌿 자연의 수호자</t>
        </is>
      </c>
      <c r="B7" s="9" t="inlineStr">
        <is>
          <t>세계수</t>
        </is>
      </c>
      <c r="C7" s="9" t="inlineStr">
        <is>
          <t>힐 +20%, 포획률 +15%</t>
        </is>
      </c>
      <c r="D7" s="9" t="inlineStr">
        <is>
          <t>자연/치유/공생</t>
        </is>
      </c>
      <c r="E7" s="9" t="inlineStr">
        <is>
          <t>포획 몬스터 5종+ 보유</t>
        </is>
      </c>
    </row>
    <row r="8">
      <c r="A8" s="8" t="inlineStr">
        <is>
          <t>💰 상인 연합</t>
        </is>
      </c>
      <c r="B8" s="8" t="inlineStr">
        <is>
          <t>황금 천칭</t>
        </is>
      </c>
      <c r="C8" s="8" t="inlineStr">
        <is>
          <t>무역 이윤 +15%, 경매 수수료 -3%</t>
        </is>
      </c>
      <c r="D8" s="8" t="inlineStr">
        <is>
          <t>무역/경제/외교</t>
        </is>
      </c>
      <c r="E8" s="8" t="inlineStr">
        <is>
          <t>무역 레벨 10+</t>
        </is>
      </c>
    </row>
    <row r="9">
      <c r="A9" s="9" t="inlineStr"/>
      <c r="B9" s="9" t="inlineStr"/>
      <c r="C9" s="9" t="inlineStr"/>
      <c r="D9" s="9" t="inlineStr"/>
      <c r="E9" s="9" t="inlineStr"/>
    </row>
    <row r="10">
      <c r="A10" s="8" t="inlineStr">
        <is>
          <t>⚔️ 진영 전쟁</t>
        </is>
      </c>
      <c r="B10" s="8" t="inlineStr"/>
      <c r="C10" s="8" t="inlineStr"/>
      <c r="D10" s="8" t="inlineStr"/>
      <c r="E10" s="8" t="inlineStr"/>
    </row>
    <row r="11">
      <c r="A11" s="9" t="inlineStr">
        <is>
          <t>주기</t>
        </is>
      </c>
      <c r="B11" s="9" t="inlineStr">
        <is>
          <t>2주마다 진영 대전 시즌 오픈 (1주간)</t>
        </is>
      </c>
      <c r="C11" s="9" t="inlineStr"/>
      <c r="D11" s="9" t="inlineStr"/>
      <c r="E11" s="9" t="inlineStr"/>
    </row>
    <row r="12">
      <c r="A12" s="8" t="inlineStr">
        <is>
          <t>방식</t>
        </is>
      </c>
      <c r="B12" s="8" t="inlineStr">
        <is>
          <t>5진영 영토 쟁탈, 매일 20:00 대규모 전투</t>
        </is>
      </c>
      <c r="C12" s="8" t="inlineStr"/>
      <c r="D12" s="8" t="inlineStr"/>
      <c r="E12" s="8" t="inlineStr"/>
    </row>
    <row r="13">
      <c r="A13" s="9" t="inlineStr">
        <is>
          <t>영토</t>
        </is>
      </c>
      <c r="B13" s="9" t="inlineStr">
        <is>
          <t>월드맵 12지역 중 7개 쟁탈 가능 영토</t>
        </is>
      </c>
      <c r="C13" s="9" t="inlineStr"/>
      <c r="D13" s="9" t="inlineStr"/>
      <c r="E13" s="9" t="inlineStr"/>
    </row>
    <row r="14">
      <c r="A14" s="8" t="inlineStr">
        <is>
          <t>전투</t>
        </is>
      </c>
      <c r="B14" s="8" t="inlineStr">
        <is>
          <t>진영별 최대 20명 IO 방식 대규모 전투</t>
        </is>
      </c>
      <c r="C14" s="8" t="inlineStr"/>
      <c r="D14" s="8" t="inlineStr"/>
      <c r="E14" s="8" t="inlineStr"/>
    </row>
    <row r="15">
      <c r="A15" s="9" t="inlineStr">
        <is>
          <t>승리 조건</t>
        </is>
      </c>
      <c r="B15" s="9" t="inlineStr">
        <is>
          <t>지역 거점 점령 5분 유지</t>
        </is>
      </c>
      <c r="C15" s="9" t="inlineStr"/>
      <c r="D15" s="9" t="inlineStr"/>
      <c r="E15" s="9" t="inlineStr"/>
    </row>
    <row r="16">
      <c r="A16" s="8" t="inlineStr"/>
      <c r="B16" s="8" t="inlineStr"/>
      <c r="C16" s="8" t="inlineStr"/>
      <c r="D16" s="8" t="inlineStr"/>
      <c r="E16" s="8" t="inlineStr"/>
    </row>
    <row r="17">
      <c r="A17" s="9" t="inlineStr">
        <is>
          <t>🏆 진영 보상</t>
        </is>
      </c>
      <c r="B17" s="9" t="inlineStr"/>
      <c r="C17" s="9" t="inlineStr"/>
      <c r="D17" s="9" t="inlineStr"/>
      <c r="E17" s="9" t="inlineStr"/>
    </row>
    <row r="18">
      <c r="A18" s="8" t="inlineStr">
        <is>
          <t>영토 1개</t>
        </is>
      </c>
      <c r="B18" s="8" t="inlineStr">
        <is>
          <t>진영원 전원: 500G/일 + 해당 지역 특산물 -20%</t>
        </is>
      </c>
      <c r="C18" s="8" t="inlineStr"/>
      <c r="D18" s="8" t="inlineStr"/>
      <c r="E18" s="8" t="inlineStr"/>
    </row>
    <row r="19">
      <c r="A19" s="9" t="inlineStr">
        <is>
          <t>영토 3개</t>
        </is>
      </c>
      <c r="B19" s="9" t="inlineStr">
        <is>
          <t>진영 전용 던전 해금 + 전원 1,000G/일</t>
        </is>
      </c>
      <c r="C19" s="9" t="inlineStr"/>
      <c r="D19" s="9" t="inlineStr"/>
      <c r="E19" s="9" t="inlineStr"/>
    </row>
    <row r="20">
      <c r="A20" s="8" t="inlineStr">
        <is>
          <t>영토 5개 (패권)</t>
        </is>
      </c>
      <c r="B20" s="8" t="inlineStr">
        <is>
          <t>진영 전용 신화 용병 교환권 + 전원 2,000G/일</t>
        </is>
      </c>
      <c r="C20" s="8" t="inlineStr"/>
      <c r="D20" s="8" t="inlineStr"/>
      <c r="E20" s="8" t="inlineStr"/>
    </row>
    <row r="21">
      <c r="A21" s="9" t="inlineStr">
        <is>
          <t>최종 승리</t>
        </is>
      </c>
      <c r="B21" s="9" t="inlineStr">
        <is>
          <t>시즌 1위 진영: "패권자" 칭호 + 30,000G + 200💎</t>
        </is>
      </c>
      <c r="C21" s="9" t="inlineStr"/>
      <c r="D21" s="9" t="inlineStr"/>
      <c r="E21" s="9" t="inlineStr"/>
    </row>
    <row r="22">
      <c r="A22" s="8" t="inlineStr"/>
      <c r="B22" s="8" t="inlineStr"/>
      <c r="C22" s="8" t="inlineStr"/>
      <c r="D22" s="8" t="inlineStr"/>
      <c r="E22" s="8" t="inlineStr"/>
    </row>
    <row r="23">
      <c r="A23" s="9" t="inlineStr">
        <is>
          <t>진영 변경</t>
        </is>
      </c>
      <c r="B23" s="9" t="inlineStr">
        <is>
          <t>3개월에 1회, 변경 시 진영 점수 리셋</t>
        </is>
      </c>
      <c r="C23" s="9" t="inlineStr"/>
      <c r="D23" s="9" t="inlineStr"/>
      <c r="E23" s="9" t="inlineStr">
        <is>
          <t>배신의 대가</t>
        </is>
      </c>
    </row>
    <row r="24">
      <c r="A24" s="8" t="inlineStr">
        <is>
          <t>이중 진영</t>
        </is>
      </c>
      <c r="B24" s="8" t="inlineStr">
        <is>
          <t>불가 — 진영 충성도 시스템, 높을수록 보너스</t>
        </is>
      </c>
      <c r="C24" s="8" t="inlineStr"/>
      <c r="D24" s="8" t="inlineStr"/>
      <c r="E24" s="8" t="inlineStr">
        <is>
          <t>충성심 보상</t>
        </is>
      </c>
    </row>
  </sheetData>
  <mergeCells count="1">
    <mergeCell ref="A1:E1"/>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4" customWidth="1" min="1" max="1"/>
    <col width="32" customWidth="1" min="2" max="2"/>
    <col width="26" customWidth="1" min="3" max="3"/>
    <col width="16" customWidth="1" min="4" max="4"/>
  </cols>
  <sheetData>
    <row r="1">
      <c r="A1" s="6" t="inlineStr">
        <is>
          <t>용병 소환 &amp; 가챠 상세 시스템</t>
        </is>
      </c>
    </row>
    <row r="3">
      <c r="A3" s="7" t="inlineStr">
        <is>
          <t>시스템</t>
        </is>
      </c>
      <c r="B3" s="7" t="inlineStr">
        <is>
          <t>상세</t>
        </is>
      </c>
      <c r="C3" s="7" t="inlineStr">
        <is>
          <t>확률/비용</t>
        </is>
      </c>
      <c r="D3" s="7" t="inlineStr">
        <is>
          <t>재미 포인트</t>
        </is>
      </c>
    </row>
    <row r="4">
      <c r="A4" s="8" t="inlineStr">
        <is>
          <t>🎴 기본 소환</t>
        </is>
      </c>
      <c r="B4" s="8" t="inlineStr">
        <is>
          <t>골드 소환 — 일반~고급 위주</t>
        </is>
      </c>
      <c r="C4" s="8" t="inlineStr">
        <is>
          <t>3,000G / 일반 60%, 고급 35%, 희귀 5%</t>
        </is>
      </c>
      <c r="D4" s="8" t="inlineStr">
        <is>
          <t>무과금 소환</t>
        </is>
      </c>
    </row>
    <row r="5">
      <c r="A5" s="9" t="inlineStr">
        <is>
          <t>💎 고급 소환</t>
        </is>
      </c>
      <c r="B5" s="9" t="inlineStr">
        <is>
          <t>다이아 소환 — 희귀 이상 보장</t>
        </is>
      </c>
      <c r="C5" s="9" t="inlineStr">
        <is>
          <t>30💎 / 희귀 70%, 영웅 25%, 전설 4.5%, 신화 0.5%</t>
        </is>
      </c>
      <c r="D5" s="9" t="inlineStr">
        <is>
          <t>핵심 가챠</t>
        </is>
      </c>
    </row>
    <row r="6">
      <c r="A6" s="8" t="inlineStr">
        <is>
          <t>🌟 전설 소환</t>
        </is>
      </c>
      <c r="B6" s="8" t="inlineStr">
        <is>
          <t>전설 이상 보장 소환</t>
        </is>
      </c>
      <c r="C6" s="8" t="inlineStr">
        <is>
          <t>100💎 / 전설 90%, 신화 10%</t>
        </is>
      </c>
      <c r="D6" s="8" t="inlineStr">
        <is>
          <t>고급 가챠</t>
        </is>
      </c>
    </row>
    <row r="7">
      <c r="A7" s="9" t="inlineStr"/>
      <c r="B7" s="9" t="inlineStr"/>
      <c r="C7" s="9" t="inlineStr"/>
      <c r="D7" s="9" t="inlineStr"/>
    </row>
    <row r="8">
      <c r="A8" s="8" t="inlineStr">
        <is>
          <t>🔄 천장 시스템</t>
        </is>
      </c>
      <c r="B8" s="8" t="inlineStr"/>
      <c r="C8" s="8" t="inlineStr"/>
      <c r="D8" s="8" t="inlineStr"/>
    </row>
    <row r="9">
      <c r="A9" s="9" t="inlineStr">
        <is>
          <t>소프트 천장</t>
        </is>
      </c>
      <c r="B9" s="9" t="inlineStr">
        <is>
          <t>50회 소환 후부터 영웅+ 확률 매회 +3%</t>
        </is>
      </c>
      <c r="C9" s="9" t="inlineStr">
        <is>
          <t>50회 시 영웅 확률 40%→43%→46%...</t>
        </is>
      </c>
      <c r="D9" s="9" t="inlineStr">
        <is>
          <t>점점 올라감!</t>
        </is>
      </c>
    </row>
    <row r="10">
      <c r="A10" s="8" t="inlineStr">
        <is>
          <t>하드 천장</t>
        </is>
      </c>
      <c r="B10" s="8" t="inlineStr">
        <is>
          <t>80회 소환 시 영웅 확정</t>
        </is>
      </c>
      <c r="C10" s="8" t="inlineStr">
        <is>
          <t>무조건 영웅 이상</t>
        </is>
      </c>
      <c r="D10" s="8" t="inlineStr">
        <is>
          <t>80연차 보장</t>
        </is>
      </c>
    </row>
    <row r="11">
      <c r="A11" s="9" t="inlineStr">
        <is>
          <t>신화 천장</t>
        </is>
      </c>
      <c r="B11" s="9" t="inlineStr">
        <is>
          <t>200회 소환 시 신화 확정</t>
        </is>
      </c>
      <c r="C11" s="9" t="inlineStr">
        <is>
          <t>무조건 신화</t>
        </is>
      </c>
      <c r="D11" s="9" t="inlineStr">
        <is>
          <t>200연차 보장</t>
        </is>
      </c>
    </row>
    <row r="12">
      <c r="A12" s="8" t="inlineStr">
        <is>
          <t>천장 카운터</t>
        </is>
      </c>
      <c r="B12" s="8" t="inlineStr">
        <is>
          <t>소환 화면에 현재 카운터 표시</t>
        </is>
      </c>
      <c r="C12" s="8" t="inlineStr">
        <is>
          <t>리셋: 해당 등급 획득 시</t>
        </is>
      </c>
      <c r="D12" s="8" t="inlineStr">
        <is>
          <t>투명한 확률</t>
        </is>
      </c>
    </row>
    <row r="13">
      <c r="A13" s="9" t="inlineStr"/>
      <c r="B13" s="9" t="inlineStr"/>
      <c r="C13" s="9" t="inlineStr"/>
      <c r="D13" s="9" t="inlineStr"/>
    </row>
    <row r="14">
      <c r="A14" s="8" t="inlineStr">
        <is>
          <t>🎯 픽업 배너</t>
        </is>
      </c>
      <c r="B14" s="8" t="inlineStr"/>
      <c r="C14" s="8" t="inlineStr"/>
      <c r="D14" s="8" t="inlineStr"/>
    </row>
    <row r="15">
      <c r="A15" s="9" t="inlineStr">
        <is>
          <t>주간 픽업</t>
        </is>
      </c>
      <c r="B15" s="9" t="inlineStr">
        <is>
          <t>매주 특정 용병 1종 픽업 (확률 3배)</t>
        </is>
      </c>
      <c r="C15" s="9" t="inlineStr">
        <is>
          <t>영웅 픽업: 25%→75% (영웅 내)</t>
        </is>
      </c>
      <c r="D15" s="9" t="inlineStr">
        <is>
          <t>원하는 용병!</t>
        </is>
      </c>
    </row>
    <row r="16">
      <c r="A16" s="8" t="inlineStr">
        <is>
          <t>시즌 한정</t>
        </is>
      </c>
      <c r="B16" s="8" t="inlineStr">
        <is>
          <t>시즌 전용 용병 (해당 배너에서만 획득)</t>
        </is>
      </c>
      <c r="C16" s="8" t="inlineStr">
        <is>
          <t>별도 천장 100회</t>
        </is>
      </c>
      <c r="D16" s="8" t="inlineStr">
        <is>
          <t>한정 수집욕</t>
        </is>
      </c>
    </row>
    <row r="17">
      <c r="A17" s="9" t="inlineStr">
        <is>
          <t>복각 배너</t>
        </is>
      </c>
      <c r="B17" s="9" t="inlineStr">
        <is>
          <t>3개월마다 과거 시즌 한정 복각</t>
        </is>
      </c>
      <c r="C17" s="9" t="inlineStr"/>
      <c r="D17" s="9" t="inlineStr">
        <is>
          <t>돌아온 기회!</t>
        </is>
      </c>
    </row>
    <row r="18">
      <c r="A18" s="8" t="inlineStr"/>
      <c r="B18" s="8" t="inlineStr"/>
      <c r="C18" s="8" t="inlineStr"/>
      <c r="D18" s="8" t="inlineStr"/>
    </row>
    <row r="19">
      <c r="A19" s="9" t="inlineStr">
        <is>
          <t>🎁 소환 부가 시스템</t>
        </is>
      </c>
      <c r="B19" s="9" t="inlineStr"/>
      <c r="C19" s="9" t="inlineStr"/>
      <c r="D19" s="9" t="inlineStr"/>
    </row>
    <row r="20">
      <c r="A20" s="8" t="inlineStr">
        <is>
          <t>소환 포인트</t>
        </is>
      </c>
      <c r="B20" s="8" t="inlineStr">
        <is>
          <t>소환 1회당 포인트 1 적립</t>
        </is>
      </c>
      <c r="C20" s="8" t="inlineStr">
        <is>
          <t>30포인트: 원하는 고급 교환</t>
        </is>
      </c>
      <c r="D20" s="8" t="inlineStr">
        <is>
          <t>어떤 소환도 헛되지 않음</t>
        </is>
      </c>
    </row>
    <row r="21">
      <c r="A21" s="9" t="inlineStr"/>
      <c r="B21" s="9" t="inlineStr"/>
      <c r="C21" s="9" t="inlineStr">
        <is>
          <t>80포인트: 원하는 희귀 교환</t>
        </is>
      </c>
      <c r="D21" s="9" t="inlineStr"/>
    </row>
    <row r="22">
      <c r="A22" s="8" t="inlineStr"/>
      <c r="B22" s="8" t="inlineStr"/>
      <c r="C22" s="8" t="inlineStr">
        <is>
          <t>200포인트: 원하는 영웅 교환</t>
        </is>
      </c>
      <c r="D22" s="8" t="inlineStr"/>
    </row>
    <row r="23">
      <c r="A23" s="9" t="inlineStr">
        <is>
          <t>무료 소환</t>
        </is>
      </c>
      <c r="B23" s="9" t="inlineStr">
        <is>
          <t>매일 골드 소환 1회 무료 + 매주 다이아 소환 1회 무료</t>
        </is>
      </c>
      <c r="C23" s="9" t="inlineStr"/>
      <c r="D23" s="9" t="inlineStr">
        <is>
          <t>무과금 배려</t>
        </is>
      </c>
    </row>
    <row r="24">
      <c r="A24" s="8" t="inlineStr">
        <is>
          <t>10연차 보너스</t>
        </is>
      </c>
      <c r="B24" s="8" t="inlineStr">
        <is>
          <t>10연차 시 고급+ 1체 보장 + 소환 포인트 ×2</t>
        </is>
      </c>
      <c r="C24" s="8" t="inlineStr"/>
      <c r="D24" s="8" t="inlineStr">
        <is>
          <t>10연차 동기</t>
        </is>
      </c>
    </row>
    <row r="25">
      <c r="A25" s="9" t="inlineStr">
        <is>
          <t>연출</t>
        </is>
      </c>
      <c r="B25" s="9" t="inlineStr">
        <is>
          <t>신화: 황금 연출 + 전용 등장 애니메이션 5초</t>
        </is>
      </c>
      <c r="C25" s="9" t="inlineStr"/>
      <c r="D25" s="9" t="inlineStr">
        <is>
          <t>가챠 쾌감!</t>
        </is>
      </c>
    </row>
  </sheetData>
  <mergeCells count="1">
    <mergeCell ref="A1:D1"/>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8" customWidth="1" min="1" max="1"/>
    <col width="42" customWidth="1" min="2" max="2"/>
    <col width="22" customWidth="1" min="3" max="3"/>
  </cols>
  <sheetData>
    <row r="1">
      <c r="A1" s="6" t="inlineStr">
        <is>
          <t>v3.2 업데이트 요약</t>
        </is>
      </c>
    </row>
    <row r="3">
      <c r="A3" s="7" t="inlineStr">
        <is>
          <t>시스템</t>
        </is>
      </c>
      <c r="B3" s="7" t="inlineStr">
        <is>
          <t>신규/개선</t>
        </is>
      </c>
      <c r="C3" s="7" t="inlineStr">
        <is>
          <t>핵심 재미</t>
        </is>
      </c>
    </row>
    <row r="4">
      <c r="A4" s="8" t="inlineStr">
        <is>
          <t>SLG 월드맵 &amp; 영토</t>
        </is>
      </c>
      <c r="B4" s="8" t="inlineStr">
        <is>
          <t>신규 — 12개 지역, 특산물, 영토 점령/세금</t>
        </is>
      </c>
      <c r="C4" s="8" t="inlineStr">
        <is>
          <t>지역별 전략적 가치!</t>
        </is>
      </c>
    </row>
    <row r="5">
      <c r="A5" s="9" t="inlineStr">
        <is>
          <t>용병 AI 전술</t>
        </is>
      </c>
      <c r="B5" s="9" t="inlineStr">
        <is>
          <t>신규 — 6가지 전술 모드 + 커스텀 설정 + 프리셋</t>
        </is>
      </c>
      <c r="C5" s="9" t="inlineStr">
        <is>
          <t>세밀한 전투 전략</t>
        </is>
      </c>
    </row>
    <row r="6">
      <c r="A6" s="8" t="inlineStr">
        <is>
          <t>IO 특수 매치 6종</t>
        </is>
      </c>
      <c r="B6" s="8" t="inlineStr">
        <is>
          <t>신규 — 보스러시/팀대전/약탈전/공성연습/무한서바이벌</t>
        </is>
      </c>
      <c r="C6" s="8" t="inlineStr">
        <is>
          <t>매일 다른 재미</t>
        </is>
      </c>
    </row>
    <row r="7">
      <c r="A7" s="9" t="inlineStr">
        <is>
          <t>경매장 &amp; 경제</t>
        </is>
      </c>
      <c r="B7" s="9" t="inlineStr">
        <is>
          <t>신규 — 플레이어 거래, 시세 변동, 상인 길드, 가격 담합</t>
        </is>
      </c>
      <c r="C7" s="9" t="inlineStr">
        <is>
          <t>거상 스타일 경제!</t>
        </is>
      </c>
    </row>
    <row r="8">
      <c r="A8" s="8" t="inlineStr">
        <is>
          <t>외교 &amp; 동맹</t>
        </is>
      </c>
      <c r="B8" s="8" t="inlineStr">
        <is>
          <t>신규 — 동맹/밀약/배신/스파이/영주/민심 시스템</t>
        </is>
      </c>
      <c r="C8" s="8" t="inlineStr">
        <is>
          <t>리니지 정치 드라마</t>
        </is>
      </c>
    </row>
    <row r="9">
      <c r="A9" s="9" t="inlineStr">
        <is>
          <t>용병 전용 장비</t>
        </is>
      </c>
      <c r="B9" s="9" t="inlineStr">
        <is>
          <t>신규 — 5등급 전용 장비, 대장간 레벨 연동</t>
        </is>
      </c>
      <c r="C9" s="9" t="inlineStr">
        <is>
          <t>장비 커스터마이징</t>
        </is>
      </c>
    </row>
    <row r="10">
      <c r="A10" s="8" t="inlineStr">
        <is>
          <t>포획 몬스터 진화</t>
        </is>
      </c>
      <c r="B10" s="8" t="inlineStr">
        <is>
          <t>신규 — 10계열 3단 진화 + 교배 5종 + 신화 수집 보상</t>
        </is>
      </c>
      <c r="C10" s="8" t="inlineStr">
        <is>
          <t>포켓몬 깊이!</t>
        </is>
      </c>
    </row>
    <row r="11">
      <c r="A11" s="9" t="inlineStr">
        <is>
          <t>IO↔SLG 보상 순환</t>
        </is>
      </c>
      <c r="B11" s="9" t="inlineStr">
        <is>
          <t>신규 — 양방향 17종 보상 연결, 일일 퀘스트</t>
        </is>
      </c>
      <c r="C11" s="9" t="inlineStr">
        <is>
          <t>모든 활동이 연결</t>
        </is>
      </c>
    </row>
    <row r="12">
      <c r="A12" s="8" t="inlineStr">
        <is>
          <t>공성전 맵 에디터</t>
        </is>
      </c>
      <c r="B12" s="8" t="inlineStr">
        <is>
          <t>신규 — 자유 배치, 4종 테마, 프리셋, 커뮤니티 공유</t>
        </is>
      </c>
      <c r="C12" s="8" t="inlineStr">
        <is>
          <t>나만의 성 설계</t>
        </is>
      </c>
    </row>
    <row r="13">
      <c r="A13" s="9" t="inlineStr">
        <is>
          <t>현상금 사냥꾼</t>
        </is>
      </c>
      <c r="B13" s="9" t="inlineStr">
        <is>
          <t>신규 — 사냥꾼 직업, 4단계 수배, 역사냥, 정치 암살</t>
        </is>
      </c>
      <c r="C13" s="9" t="inlineStr">
        <is>
          <t>PK 생태계 완성</t>
        </is>
      </c>
    </row>
    <row r="14">
      <c r="A14" s="8" t="inlineStr">
        <is>
          <t>진영 전쟁</t>
        </is>
      </c>
      <c r="B14" s="8" t="inlineStr">
        <is>
          <t>신규 — 5진영 대립, 영토 쟁탈, 진영 버프, 시즌제</t>
        </is>
      </c>
      <c r="C14" s="8" t="inlineStr">
        <is>
          <t>서버 대전!</t>
        </is>
      </c>
    </row>
    <row r="15">
      <c r="A15" s="9" t="inlineStr">
        <is>
          <t>용병 소환 가챠</t>
        </is>
      </c>
      <c r="B15" s="9" t="inlineStr">
        <is>
          <t>신규 — 천장/픽업/포인트/10연차/무료소환/연출</t>
        </is>
      </c>
      <c r="C15" s="9" t="inlineStr">
        <is>
          <t>공정한 가챠 시스템</t>
        </is>
      </c>
    </row>
    <row r="16">
      <c r="A16" s="8" t="inlineStr"/>
      <c r="B16" s="8" t="inlineStr"/>
      <c r="C16" s="8" t="inlineStr"/>
    </row>
    <row r="17">
      <c r="A17" s="9" t="inlineStr">
        <is>
          <t>v3.2 총 변경</t>
        </is>
      </c>
      <c r="B17" s="9" t="inlineStr"/>
      <c r="C17" s="9" t="inlineStr"/>
    </row>
    <row r="18">
      <c r="A18" s="8" t="inlineStr">
        <is>
          <t>총 월드맵 지역</t>
        </is>
      </c>
      <c r="B18" s="8" t="inlineStr">
        <is>
          <t>12개 (일반 7 + 극한 4 + 특수 1)</t>
        </is>
      </c>
      <c r="C18" s="8" t="inlineStr"/>
    </row>
    <row r="19">
      <c r="A19" s="9" t="inlineStr">
        <is>
          <t>총 IO 모드</t>
        </is>
      </c>
      <c r="B19" s="9" t="inlineStr">
        <is>
          <t>6종 (클래식 + 특수 5)</t>
        </is>
      </c>
      <c r="C19" s="9" t="inlineStr"/>
    </row>
    <row r="20">
      <c r="A20" s="8" t="inlineStr">
        <is>
          <t>총 포획 몬스터</t>
        </is>
      </c>
      <c r="B20" s="8" t="inlineStr">
        <is>
          <t>15종 (기본 10계열 + 교배 5)</t>
        </is>
      </c>
      <c r="C20" s="8" t="inlineStr"/>
    </row>
    <row r="21">
      <c r="A21" s="9" t="inlineStr">
        <is>
          <t>총 용병 장비</t>
        </is>
      </c>
      <c r="B21" s="9" t="inlineStr">
        <is>
          <t>18종 (5등급)</t>
        </is>
      </c>
      <c r="C21" s="9" t="inlineStr"/>
    </row>
    <row r="22">
      <c r="A22" s="8" t="inlineStr">
        <is>
          <t>총 시너지/인연</t>
        </is>
      </c>
      <c r="B22" s="8" t="inlineStr">
        <is>
          <t>13시너지 + 14인연 = 27종 조합 전략</t>
        </is>
      </c>
      <c r="C22" s="8" t="inlineStr"/>
    </row>
  </sheetData>
  <mergeCells count="1">
    <mergeCell ref="A1:C1"/>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6" customWidth="1" min="1" max="1"/>
    <col width="28" customWidth="1" min="2" max="2"/>
    <col width="22" customWidth="1" min="3" max="3"/>
    <col width="20" customWidth="1" min="4" max="4"/>
  </cols>
  <sheetData>
    <row r="1">
      <c r="A1" s="6" t="inlineStr">
        <is>
          <t>SLG 메인 화면 UI 설계</t>
        </is>
      </c>
    </row>
    <row r="3">
      <c r="A3" s="7" t="inlineStr">
        <is>
          <t>화면 영역</t>
        </is>
      </c>
      <c r="B3" s="7" t="inlineStr">
        <is>
          <t>구성 요소</t>
        </is>
      </c>
      <c r="C3" s="7" t="inlineStr">
        <is>
          <t>탭/동작</t>
        </is>
      </c>
      <c r="D3" s="7" t="inlineStr">
        <is>
          <t>설명</t>
        </is>
      </c>
    </row>
    <row r="4">
      <c r="A4" s="8" t="inlineStr">
        <is>
          <t>🏰 중앙 — 내 성</t>
        </is>
      </c>
      <c r="B4" s="8" t="inlineStr">
        <is>
          <t>성 3D 외관 (레벨에 따라 변화)</t>
        </is>
      </c>
      <c r="C4" s="8" t="inlineStr">
        <is>
          <t>탭 → 성 시설 관리</t>
        </is>
      </c>
      <c r="D4" s="8" t="inlineStr">
        <is>
          <t>성장이 눈에 보임!</t>
        </is>
      </c>
    </row>
    <row r="5">
      <c r="A5" s="9" t="inlineStr"/>
      <c r="B5" s="9" t="inlineStr">
        <is>
          <t>성벽 위 용병 미니 스프라이트</t>
        </is>
      </c>
      <c r="C5" s="9" t="inlineStr">
        <is>
          <t>탭 → 용병 편성</t>
        </is>
      </c>
      <c r="D5" s="9" t="inlineStr">
        <is>
          <t>내 용병이 성을 지키는 모습</t>
        </is>
      </c>
    </row>
    <row r="6">
      <c r="A6" s="8" t="inlineStr"/>
      <c r="B6" s="8" t="inlineStr">
        <is>
          <t>건설 중 시설 → 타이머 표시</t>
        </is>
      </c>
      <c r="C6" s="8" t="inlineStr">
        <is>
          <t>탭 → 즉시 완료 (💎)</t>
        </is>
      </c>
      <c r="D6" s="8" t="inlineStr">
        <is>
          <t>기다림의 즐거움</t>
        </is>
      </c>
    </row>
    <row r="7">
      <c r="A7" s="9" t="inlineStr"/>
      <c r="B7" s="9" t="inlineStr"/>
      <c r="C7" s="9" t="inlineStr"/>
      <c r="D7" s="9" t="inlineStr"/>
    </row>
    <row r="8">
      <c r="A8" s="8" t="inlineStr">
        <is>
          <t>🗺️ 상단 — 월드맵 버튼</t>
        </is>
      </c>
      <c r="B8" s="8" t="inlineStr">
        <is>
          <t>미니맵 + 영토 색 표시</t>
        </is>
      </c>
      <c r="C8" s="8" t="inlineStr">
        <is>
          <t>탭 → 월드맵 전체</t>
        </is>
      </c>
      <c r="D8" s="8" t="inlineStr">
        <is>
          <t>서버 정세 한눈에</t>
        </is>
      </c>
    </row>
    <row r="9">
      <c r="A9" s="9" t="inlineStr">
        <is>
          <t>⚔️ 좌측 하단 — 퀵메뉴</t>
        </is>
      </c>
      <c r="B9" s="9" t="inlineStr">
        <is>
          <t>IO 매치 시작 🎮</t>
        </is>
      </c>
      <c r="C9" s="9" t="inlineStr">
        <is>
          <t>탭 → 모드 선택 후 즉시 매칭</t>
        </is>
      </c>
      <c r="D9" s="9" t="inlineStr">
        <is>
          <t>3초 안에 전투!</t>
        </is>
      </c>
    </row>
    <row r="10">
      <c r="A10" s="8" t="inlineStr"/>
      <c r="B10" s="8" t="inlineStr">
        <is>
          <t>공성전 도전 ⚔️</t>
        </is>
      </c>
      <c r="C10" s="8" t="inlineStr">
        <is>
          <t>탭 → 대상 성 선택 → 선전포고</t>
        </is>
      </c>
      <c r="D10" s="8" t="inlineStr">
        <is>
          <t>공격 개시!</t>
        </is>
      </c>
    </row>
    <row r="11">
      <c r="A11" s="9" t="inlineStr"/>
      <c r="B11" s="9" t="inlineStr">
        <is>
          <t>무역 출발 🐴</t>
        </is>
      </c>
      <c r="C11" s="9" t="inlineStr">
        <is>
          <t>탭 → 루트 선택 → 출발</t>
        </is>
      </c>
      <c r="D11" s="9" t="inlineStr">
        <is>
          <t>돈 벌러 가자</t>
        </is>
      </c>
    </row>
    <row r="12">
      <c r="A12" s="8" t="inlineStr"/>
      <c r="B12" s="8" t="inlineStr">
        <is>
          <t>원정 파견 🌍</t>
        </is>
      </c>
      <c r="C12" s="8" t="inlineStr">
        <is>
          <t>탭 → 원정지 선택 → 파견</t>
        </is>
      </c>
      <c r="D12" s="8" t="inlineStr">
        <is>
          <t>오프라인 수익</t>
        </is>
      </c>
    </row>
    <row r="13">
      <c r="A13" s="9" t="inlineStr"/>
      <c r="B13" s="9" t="inlineStr"/>
      <c r="C13" s="9" t="inlineStr"/>
      <c r="D13" s="9" t="inlineStr"/>
    </row>
    <row r="14">
      <c r="A14" s="8" t="inlineStr">
        <is>
          <t>👥 우측 — 용병 패널</t>
        </is>
      </c>
      <c r="B14" s="8" t="inlineStr">
        <is>
          <t>현재 파티 6명 초상화 + 전투력</t>
        </is>
      </c>
      <c r="C14" s="8" t="inlineStr">
        <is>
          <t>탭 → 용병 관리 (상세)</t>
        </is>
      </c>
      <c r="D14" s="8" t="inlineStr">
        <is>
          <t>핵심 UI</t>
        </is>
      </c>
    </row>
    <row r="15">
      <c r="A15" s="9" t="inlineStr">
        <is>
          <t>용병 관리 서브탭</t>
        </is>
      </c>
      <c r="B15" s="9" t="inlineStr">
        <is>
          <t>📋 목록 / ⭐ 각성 / 🔮 진화 / 🗡️ 장비 / 📖 스토리</t>
        </is>
      </c>
      <c r="C15" s="9" t="inlineStr">
        <is>
          <t>각 탭 전환</t>
        </is>
      </c>
      <c r="D15" s="9" t="inlineStr">
        <is>
          <t>키우기의 모든 것!</t>
        </is>
      </c>
    </row>
    <row r="16">
      <c r="A16" s="8" t="inlineStr"/>
      <c r="B16" s="8" t="inlineStr"/>
      <c r="C16" s="8" t="inlineStr"/>
      <c r="D16" s="8" t="inlineStr"/>
    </row>
    <row r="17">
      <c r="A17" s="9" t="inlineStr">
        <is>
          <t>💰 상단 바</t>
        </is>
      </c>
      <c r="B17" s="9" t="inlineStr">
        <is>
          <t>골드 / 💎 다이아 / 🔧 재료 / ⚡ 체력</t>
        </is>
      </c>
      <c r="C17" s="9" t="inlineStr">
        <is>
          <t>골드 탭 → 상점</t>
        </is>
      </c>
      <c r="D17" s="9" t="inlineStr">
        <is>
          <t>리소스 현황</t>
        </is>
      </c>
    </row>
    <row r="18">
      <c r="A18" s="8" t="inlineStr">
        <is>
          <t>📢 중앙 상단</t>
        </is>
      </c>
      <c r="B18" s="8" t="inlineStr">
        <is>
          <t>서버 공지 (전쟁 선포, 이벤트, 보스)</t>
        </is>
      </c>
      <c r="C18" s="8" t="inlineStr">
        <is>
          <t>탭 → 상세 보기</t>
        </is>
      </c>
      <c r="D18" s="8" t="inlineStr">
        <is>
          <t>긴급 소식</t>
        </is>
      </c>
    </row>
    <row r="19">
      <c r="A19" s="9" t="inlineStr">
        <is>
          <t>📬 우측 상단</t>
        </is>
      </c>
      <c r="B19" s="9" t="inlineStr">
        <is>
          <t>우편함 / 친구 / 혈맹 / 채팅</t>
        </is>
      </c>
      <c r="C19" s="9" t="inlineStr">
        <is>
          <t>각 아이콘 탭</t>
        </is>
      </c>
      <c r="D19" s="9" t="inlineStr">
        <is>
          <t>소셜 기능</t>
        </is>
      </c>
    </row>
    <row r="20">
      <c r="A20" s="8" t="inlineStr"/>
      <c r="B20" s="8" t="inlineStr"/>
      <c r="C20" s="8" t="inlineStr"/>
      <c r="D20" s="8" t="inlineStr"/>
    </row>
    <row r="21">
      <c r="A21" s="9" t="inlineStr">
        <is>
          <t>🐾 하단 — 포획 몬스터</t>
        </is>
      </c>
      <c r="B21" s="9" t="inlineStr">
        <is>
          <t>포획 몬스터 6마리 미니 스프라이트</t>
        </is>
      </c>
      <c r="C21" s="9" t="inlineStr">
        <is>
          <t>탭 → 몬스터 관리</t>
        </is>
      </c>
      <c r="D21" s="9" t="inlineStr">
        <is>
          <t>내 몬스터 확인</t>
        </is>
      </c>
    </row>
    <row r="22">
      <c r="A22" s="8" t="inlineStr">
        <is>
          <t>🎴 하단 — 소환</t>
        </is>
      </c>
      <c r="B22" s="8" t="inlineStr">
        <is>
          <t>소환 버튼 (빛나는 카드 연출)</t>
        </is>
      </c>
      <c r="C22" s="8" t="inlineStr">
        <is>
          <t>탭 → 가챠 화면</t>
        </is>
      </c>
      <c r="D22" s="8" t="inlineStr">
        <is>
          <t>소환의 유혹!</t>
        </is>
      </c>
    </row>
    <row r="23">
      <c r="A23" s="9" t="inlineStr">
        <is>
          <t>🏆 하단 — 랭킹</t>
        </is>
      </c>
      <c r="B23" s="9" t="inlineStr">
        <is>
          <t>내 서버 랭킹 표시</t>
        </is>
      </c>
      <c r="C23" s="9" t="inlineStr">
        <is>
          <t>탭 → 전체 랭킹</t>
        </is>
      </c>
      <c r="D23" s="9" t="inlineStr">
        <is>
          <t>경쟁 의식</t>
        </is>
      </c>
    </row>
  </sheetData>
  <mergeCells count="1">
    <mergeCell ref="A1:D1"/>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2" customWidth="1" min="1" max="1"/>
    <col width="30" customWidth="1" min="2" max="2"/>
    <col width="10" customWidth="1" min="3" max="3"/>
    <col width="20" customWidth="1" min="4" max="4"/>
    <col width="16" customWidth="1" min="5" max="5"/>
  </cols>
  <sheetData>
    <row r="1">
      <c r="A1" s="6" t="inlineStr">
        <is>
          <t>일일/주간 루틴 캘린더</t>
        </is>
      </c>
    </row>
    <row r="3">
      <c r="A3" s="7" t="inlineStr">
        <is>
          <t>시간대</t>
        </is>
      </c>
      <c r="B3" s="7" t="inlineStr">
        <is>
          <t>콘텐츠</t>
        </is>
      </c>
      <c r="C3" s="7" t="inlineStr">
        <is>
          <t>소요</t>
        </is>
      </c>
      <c r="D3" s="7" t="inlineStr">
        <is>
          <t>보상</t>
        </is>
      </c>
      <c r="E3" s="7" t="inlineStr">
        <is>
          <t>재미 포인트</t>
        </is>
      </c>
    </row>
    <row r="4">
      <c r="A4" s="8" t="inlineStr">
        <is>
          <t>═══ 일일 루틴 ═══</t>
        </is>
      </c>
      <c r="B4" s="8" t="inlineStr"/>
      <c r="C4" s="8" t="inlineStr"/>
      <c r="D4" s="8" t="inlineStr"/>
      <c r="E4" s="8" t="inlineStr"/>
    </row>
    <row r="5">
      <c r="A5" s="9" t="inlineStr">
        <is>
          <t>접속 직후</t>
        </is>
      </c>
      <c r="B5" s="9" t="inlineStr">
        <is>
          <t>출석 체크 + 무료 소환 1회</t>
        </is>
      </c>
      <c r="C5" s="9" t="inlineStr">
        <is>
          <t>30초</t>
        </is>
      </c>
      <c r="D5" s="9" t="inlineStr">
        <is>
          <t>300G + 용병 카드</t>
        </is>
      </c>
      <c r="E5" s="9" t="inlineStr">
        <is>
          <t>매일의 두근거림</t>
        </is>
      </c>
    </row>
    <row r="6">
      <c r="A6" s="8" t="inlineStr">
        <is>
          <t>아침 (자유)</t>
        </is>
      </c>
      <c r="B6" s="8" t="inlineStr">
        <is>
          <t>원정 보고서 확인 + 재파견</t>
        </is>
      </c>
      <c r="C6" s="8" t="inlineStr">
        <is>
          <t>1분</t>
        </is>
      </c>
      <c r="D6" s="8" t="inlineStr">
        <is>
          <t>원정 보상 수령</t>
        </is>
      </c>
      <c r="E6" s="8" t="inlineStr">
        <is>
          <t>오프라인 보상!</t>
        </is>
      </c>
    </row>
    <row r="7">
      <c r="A7" s="9" t="inlineStr">
        <is>
          <t>아침 (자유)</t>
        </is>
      </c>
      <c r="B7" s="9" t="inlineStr">
        <is>
          <t>무역 1회 (가장 이윤 높은 루트)</t>
        </is>
      </c>
      <c r="C7" s="9" t="inlineStr">
        <is>
          <t>2분</t>
        </is>
      </c>
      <c r="D7" s="9" t="inlineStr">
        <is>
          <t>500~2,000G</t>
        </is>
      </c>
      <c r="E7" s="9" t="inlineStr">
        <is>
          <t>무역 루틴</t>
        </is>
      </c>
    </row>
    <row r="8">
      <c r="A8" s="8" t="inlineStr">
        <is>
          <t>주력 플레이</t>
        </is>
      </c>
      <c r="B8" s="8" t="inlineStr">
        <is>
          <t>IO 서바이벌 3판</t>
        </is>
      </c>
      <c r="C8" s="8" t="inlineStr">
        <is>
          <t>30분</t>
        </is>
      </c>
      <c r="D8" s="8" t="inlineStr">
        <is>
          <t>3,000~15,000G + 카드</t>
        </is>
      </c>
      <c r="E8" s="8" t="inlineStr">
        <is>
          <t>핵심 플레이!</t>
        </is>
      </c>
    </row>
    <row r="9">
      <c r="A9" s="9" t="inlineStr">
        <is>
          <t>주력 플레이</t>
        </is>
      </c>
      <c r="B9" s="9" t="inlineStr">
        <is>
          <t>용병 훈련 + 장비 강화</t>
        </is>
      </c>
      <c r="C9" s="9" t="inlineStr">
        <is>
          <t>5분</t>
        </is>
      </c>
      <c r="D9" s="9" t="inlineStr">
        <is>
          <t>전투력 상승</t>
        </is>
      </c>
      <c r="E9" s="9" t="inlineStr">
        <is>
          <t>성장 쾌감</t>
        </is>
      </c>
    </row>
    <row r="10">
      <c r="A10" s="8" t="inlineStr">
        <is>
          <t>점심 (자유)</t>
        </is>
      </c>
      <c r="B10" s="8" t="inlineStr">
        <is>
          <t>경매장 시세 확인 + 매매</t>
        </is>
      </c>
      <c r="C10" s="8" t="inlineStr">
        <is>
          <t>3분</t>
        </is>
      </c>
      <c r="D10" s="8" t="inlineStr">
        <is>
          <t>시세 차익</t>
        </is>
      </c>
      <c r="E10" s="8" t="inlineStr">
        <is>
          <t>거상 플레이</t>
        </is>
      </c>
    </row>
    <row r="11">
      <c r="A11" s="9" t="inlineStr">
        <is>
          <t>오후 (자유)</t>
        </is>
      </c>
      <c r="B11" s="9" t="inlineStr">
        <is>
          <t>포획 몬스터 훈련/교배 확인</t>
        </is>
      </c>
      <c r="C11" s="9" t="inlineStr">
        <is>
          <t>2분</t>
        </is>
      </c>
      <c r="D11" s="9" t="inlineStr">
        <is>
          <t>몬스터 성장</t>
        </is>
      </c>
      <c r="E11" s="9" t="inlineStr">
        <is>
          <t>포켓몬 루틴</t>
        </is>
      </c>
    </row>
    <row r="12">
      <c r="A12" s="8" t="inlineStr">
        <is>
          <t>저녁 20:00</t>
        </is>
      </c>
      <c r="B12" s="8" t="inlineStr">
        <is>
          <t>혈맹 활동 (공성전 or 레이드)</t>
        </is>
      </c>
      <c r="C12" s="8" t="inlineStr">
        <is>
          <t>30분</t>
        </is>
      </c>
      <c r="D12" s="8" t="inlineStr">
        <is>
          <t>최대 보상</t>
        </is>
      </c>
      <c r="E12" s="8" t="inlineStr">
        <is>
          <t>하루의 하이라이트!</t>
        </is>
      </c>
    </row>
    <row r="13">
      <c r="A13" s="9" t="inlineStr">
        <is>
          <t>자기 전</t>
        </is>
      </c>
      <c r="B13" s="9" t="inlineStr">
        <is>
          <t>일일 퀘스트 정산 + 원정 파견</t>
        </is>
      </c>
      <c r="C13" s="9" t="inlineStr">
        <is>
          <t>2분</t>
        </is>
      </c>
      <c r="D13" s="9" t="inlineStr">
        <is>
          <t>2,000G + 20💎</t>
        </is>
      </c>
      <c r="E13" s="9" t="inlineStr">
        <is>
          <t>마무리</t>
        </is>
      </c>
    </row>
    <row r="14">
      <c r="A14" s="8" t="inlineStr"/>
      <c r="B14" s="8" t="inlineStr"/>
      <c r="C14" s="8" t="inlineStr">
        <is>
          <t>총 ~75분</t>
        </is>
      </c>
      <c r="D14" s="8" t="inlineStr">
        <is>
          <t>~25,000G + 20💎/일</t>
        </is>
      </c>
      <c r="E14" s="8" t="inlineStr"/>
    </row>
    <row r="15">
      <c r="A15" s="9" t="inlineStr"/>
      <c r="B15" s="9" t="inlineStr"/>
      <c r="C15" s="9" t="inlineStr"/>
      <c r="D15" s="9" t="inlineStr"/>
      <c r="E15" s="9" t="inlineStr"/>
    </row>
    <row r="16">
      <c r="A16" s="8" t="inlineStr">
        <is>
          <t>═══ 주간 루틴 ═══</t>
        </is>
      </c>
      <c r="B16" s="8" t="inlineStr"/>
      <c r="C16" s="8" t="inlineStr"/>
      <c r="D16" s="8" t="inlineStr"/>
      <c r="E16" s="8" t="inlineStr"/>
    </row>
    <row r="17">
      <c r="A17" s="9" t="inlineStr">
        <is>
          <t>월요일</t>
        </is>
      </c>
      <c r="B17" s="9" t="inlineStr">
        <is>
          <t>진영 전쟁 결과 발표 + 보상 수령</t>
        </is>
      </c>
      <c r="C17" s="9" t="inlineStr">
        <is>
          <t>5분</t>
        </is>
      </c>
      <c r="D17" s="9" t="inlineStr">
        <is>
          <t>진영 보상</t>
        </is>
      </c>
      <c r="E17" s="9" t="inlineStr">
        <is>
          <t>새 주의 시작</t>
        </is>
      </c>
    </row>
    <row r="18">
      <c r="A18" s="8" t="inlineStr">
        <is>
          <t>화요일</t>
        </is>
      </c>
      <c r="B18" s="8" t="inlineStr">
        <is>
          <t>용병 대회 참가 (1시간 주기)</t>
        </is>
      </c>
      <c r="C18" s="8" t="inlineStr">
        <is>
          <t>20분</t>
        </is>
      </c>
      <c r="D18" s="8" t="inlineStr">
        <is>
          <t>최대 20,000G</t>
        </is>
      </c>
      <c r="E18" s="8" t="inlineStr">
        <is>
          <t>용병 실력 시험</t>
        </is>
      </c>
    </row>
    <row r="19">
      <c r="A19" s="9" t="inlineStr">
        <is>
          <t>수요일</t>
        </is>
      </c>
      <c r="B19" s="9" t="inlineStr">
        <is>
          <t>무역 축제 (이윤 2배)</t>
        </is>
      </c>
      <c r="C19" s="9" t="inlineStr">
        <is>
          <t>20분</t>
        </is>
      </c>
      <c r="D19" s="9" t="inlineStr">
        <is>
          <t>평소 2배 수익</t>
        </is>
      </c>
      <c r="E19" s="9" t="inlineStr">
        <is>
          <t>무역 집중일!</t>
        </is>
      </c>
    </row>
    <row r="20">
      <c r="A20" s="8" t="inlineStr">
        <is>
          <t>목요일</t>
        </is>
      </c>
      <c r="B20" s="8" t="inlineStr">
        <is>
          <t>혈맹 레이드 보스 도전</t>
        </is>
      </c>
      <c r="C20" s="8" t="inlineStr">
        <is>
          <t>30분</t>
        </is>
      </c>
      <c r="D20" s="8" t="inlineStr">
        <is>
          <t>레이드 보상</t>
        </is>
      </c>
      <c r="E20" s="8" t="inlineStr">
        <is>
          <t>협동 플레이</t>
        </is>
      </c>
    </row>
    <row r="21">
      <c r="A21" s="9" t="inlineStr">
        <is>
          <t>금요일</t>
        </is>
      </c>
      <c r="B21" s="9" t="inlineStr">
        <is>
          <t>암시장 오픈 + PvP 아레나 시즌 정산</t>
        </is>
      </c>
      <c r="C21" s="9" t="inlineStr">
        <is>
          <t>15분</t>
        </is>
      </c>
      <c r="D21" s="9" t="inlineStr">
        <is>
          <t>희귀품 + 랭킹 보상</t>
        </is>
      </c>
      <c r="E21" s="9" t="inlineStr">
        <is>
          <t>긴장의 금요일</t>
        </is>
      </c>
    </row>
    <row r="22">
      <c r="A22" s="8" t="inlineStr">
        <is>
          <t>토요일</t>
        </is>
      </c>
      <c r="B22" s="8" t="inlineStr">
        <is>
          <t>포획 대회 + IO 보스 러시 이벤트</t>
        </is>
      </c>
      <c r="C22" s="8" t="inlineStr">
        <is>
          <t>40분</t>
        </is>
      </c>
      <c r="D22" s="8" t="inlineStr">
        <is>
          <t>전설 알 + 각성석</t>
        </is>
      </c>
      <c r="E22" s="8" t="inlineStr">
        <is>
          <t>이벤트 폭발!</t>
        </is>
      </c>
    </row>
    <row r="23">
      <c r="A23" s="9" t="inlineStr">
        <is>
          <t>일요일</t>
        </is>
      </c>
      <c r="B23" s="9" t="inlineStr">
        <is>
          <t>🏰 혈맹 공성전 (주간 메인 이벤트)</t>
        </is>
      </c>
      <c r="C23" s="9" t="inlineStr">
        <is>
          <t>60분</t>
        </is>
      </c>
      <c r="D23" s="9" t="inlineStr">
        <is>
          <t>최대 보상 100,000G+</t>
        </is>
      </c>
      <c r="E23" s="9" t="inlineStr">
        <is>
          <t>주간 최고 콘텐츠!</t>
        </is>
      </c>
    </row>
    <row r="24">
      <c r="A24" s="8" t="inlineStr"/>
      <c r="B24" s="8" t="inlineStr"/>
      <c r="C24" s="8" t="inlineStr">
        <is>
          <t>총 주간 ~5시간 추가</t>
        </is>
      </c>
      <c r="D24" s="8" t="inlineStr">
        <is>
          <t>~200,000G + 150💎/주</t>
        </is>
      </c>
      <c r="E24" s="8" t="inlineStr"/>
    </row>
  </sheetData>
  <mergeCells count="1">
    <mergeCell ref="A1:E1"/>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6" customWidth="1" min="1" max="1"/>
    <col width="28" customWidth="1" min="2" max="2"/>
    <col width="30" customWidth="1" min="3" max="3"/>
    <col width="12" customWidth="1" min="4" max="4"/>
  </cols>
  <sheetData>
    <row r="1">
      <c r="A1" s="6" t="inlineStr">
        <is>
          <t>배틀패스 시스템 (시즌 3개월)</t>
        </is>
      </c>
    </row>
    <row r="3">
      <c r="A3" s="7" t="inlineStr">
        <is>
          <t>레벨</t>
        </is>
      </c>
      <c r="B3" s="7" t="inlineStr">
        <is>
          <t>무료 보상</t>
        </is>
      </c>
      <c r="C3" s="7" t="inlineStr">
        <is>
          <t>유료 보상 (500💎)</t>
        </is>
      </c>
      <c r="D3" s="7" t="inlineStr">
        <is>
          <t>경험치 필요</t>
        </is>
      </c>
    </row>
    <row r="4">
      <c r="A4" s="8" t="inlineStr">
        <is>
          <t>1</t>
        </is>
      </c>
      <c r="B4" s="8" t="inlineStr">
        <is>
          <t>500G</t>
        </is>
      </c>
      <c r="C4" s="8" t="inlineStr">
        <is>
          <t>+ 고급 용병 카드 ×1</t>
        </is>
      </c>
      <c r="D4" s="8" t="inlineStr">
        <is>
          <t>0 (즉시)</t>
        </is>
      </c>
    </row>
    <row r="5">
      <c r="A5" s="9" t="inlineStr">
        <is>
          <t>5</t>
        </is>
      </c>
      <c r="B5" s="9" t="inlineStr">
        <is>
          <t>1,000G + 재료 ×5</t>
        </is>
      </c>
      <c r="C5" s="9" t="inlineStr">
        <is>
          <t>+ 희귀 용병 카드 ×1</t>
        </is>
      </c>
      <c r="D5" s="9" t="inlineStr">
        <is>
          <t>500</t>
        </is>
      </c>
    </row>
    <row r="6">
      <c r="A6" s="8" t="inlineStr">
        <is>
          <t>10</t>
        </is>
      </c>
      <c r="B6" s="8" t="inlineStr">
        <is>
          <t>소환권 ×1</t>
        </is>
      </c>
      <c r="C6" s="8" t="inlineStr">
        <is>
          <t>+ 전용 용병 스킨 "초보 모험가"</t>
        </is>
      </c>
      <c r="D6" s="8" t="inlineStr">
        <is>
          <t>1,200</t>
        </is>
      </c>
    </row>
    <row r="7">
      <c r="A7" s="9" t="inlineStr">
        <is>
          <t>15</t>
        </is>
      </c>
      <c r="B7" s="9" t="inlineStr">
        <is>
          <t>2,000G + 각성석 조각 ×3</t>
        </is>
      </c>
      <c r="C7" s="9" t="inlineStr">
        <is>
          <t>+ 희귀 장비 선택 상자</t>
        </is>
      </c>
      <c r="D7" s="9" t="inlineStr">
        <is>
          <t>2,000</t>
        </is>
      </c>
    </row>
    <row r="8">
      <c r="A8" s="8" t="inlineStr">
        <is>
          <t>20</t>
        </is>
      </c>
      <c r="B8" s="8" t="inlineStr">
        <is>
          <t>💎 ×20</t>
        </is>
      </c>
      <c r="C8" s="8" t="inlineStr">
        <is>
          <t>+ 영웅 용병 카드 ×1</t>
        </is>
      </c>
      <c r="D8" s="8" t="inlineStr">
        <is>
          <t>3,000</t>
        </is>
      </c>
    </row>
    <row r="9">
      <c r="A9" s="9" t="inlineStr">
        <is>
          <t>25</t>
        </is>
      </c>
      <c r="B9" s="9" t="inlineStr">
        <is>
          <t>5,000G + 재료 ×20</t>
        </is>
      </c>
      <c r="C9" s="9" t="inlineStr">
        <is>
          <t>+ 전용 성 스킨 "봄의 성"</t>
        </is>
      </c>
      <c r="D9" s="9" t="inlineStr">
        <is>
          <t>4,500</t>
        </is>
      </c>
    </row>
    <row r="10">
      <c r="A10" s="8" t="inlineStr">
        <is>
          <t>30</t>
        </is>
      </c>
      <c r="B10" s="8" t="inlineStr">
        <is>
          <t>소환권 ×3</t>
        </is>
      </c>
      <c r="C10" s="8" t="inlineStr">
        <is>
          <t>+ 각성석 ×1</t>
        </is>
      </c>
      <c r="D10" s="8" t="inlineStr">
        <is>
          <t>6,000</t>
        </is>
      </c>
    </row>
    <row r="11">
      <c r="A11" s="9" t="inlineStr">
        <is>
          <t>35</t>
        </is>
      </c>
      <c r="B11" s="9" t="inlineStr">
        <is>
          <t>💎 ×30</t>
        </is>
      </c>
      <c r="C11" s="9" t="inlineStr">
        <is>
          <t>+ 전용 칭호 "시즌의 전사"</t>
        </is>
      </c>
      <c r="D11" s="9" t="inlineStr">
        <is>
          <t>8,000</t>
        </is>
      </c>
    </row>
    <row r="12">
      <c r="A12" s="8" t="inlineStr">
        <is>
          <t>40</t>
        </is>
      </c>
      <c r="B12" s="8" t="inlineStr">
        <is>
          <t>10,000G + 전설 재료 ×1</t>
        </is>
      </c>
      <c r="C12" s="8" t="inlineStr">
        <is>
          <t>+ 전설 용병 카드 ×1</t>
        </is>
      </c>
      <c r="D12" s="8" t="inlineStr">
        <is>
          <t>10,000</t>
        </is>
      </c>
    </row>
    <row r="13">
      <c r="A13" s="9" t="inlineStr">
        <is>
          <t>45</t>
        </is>
      </c>
      <c r="B13" s="9" t="inlineStr">
        <is>
          <t>💎 ×50</t>
        </is>
      </c>
      <c r="C13" s="9" t="inlineStr">
        <is>
          <t>+ 전용 용병 스킨 "황금 기사"</t>
        </is>
      </c>
      <c r="D13" s="9" t="inlineStr">
        <is>
          <t>13,000</t>
        </is>
      </c>
    </row>
    <row r="14">
      <c r="A14" s="8" t="inlineStr">
        <is>
          <t>50 (최종)</t>
        </is>
      </c>
      <c r="B14" s="8" t="inlineStr">
        <is>
          <t>20,000G + 신화 재료 조각</t>
        </is>
      </c>
      <c r="C14" s="8" t="inlineStr">
        <is>
          <t>+ 시즌 한정 신화 용병 교환권!!!</t>
        </is>
      </c>
      <c r="D14" s="8" t="inlineStr">
        <is>
          <t>16,000</t>
        </is>
      </c>
    </row>
    <row r="15">
      <c r="A15" s="9" t="inlineStr"/>
      <c r="B15" s="9" t="inlineStr"/>
      <c r="C15" s="9" t="inlineStr"/>
      <c r="D15" s="9" t="inlineStr"/>
    </row>
    <row r="16">
      <c r="A16" s="8" t="inlineStr">
        <is>
          <t>경험치 획득처</t>
        </is>
      </c>
      <c r="B16" s="8" t="inlineStr">
        <is>
          <t>IO 매치 참여: 100~500 / 일일퀘: 300 / 무역: 50 / 공성전: 500</t>
        </is>
      </c>
      <c r="C16" s="8" t="inlineStr"/>
      <c r="D16" s="8" t="inlineStr"/>
    </row>
    <row r="17">
      <c r="A17" s="9" t="inlineStr">
        <is>
          <t>시즌 기간</t>
        </is>
      </c>
      <c r="B17" s="9" t="inlineStr">
        <is>
          <t>3개월 (90일)</t>
        </is>
      </c>
      <c r="C17" s="9" t="inlineStr">
        <is>
          <t>매일 600~1000 EXP 획득 가능</t>
        </is>
      </c>
      <c r="D17" s="9" t="inlineStr"/>
    </row>
    <row r="18">
      <c r="A18" s="8" t="inlineStr">
        <is>
          <t>핵심</t>
        </is>
      </c>
      <c r="B18" s="8" t="inlineStr">
        <is>
          <t>무과금도 Lv.35 도달 가능, 유료는 추가 보상 + 스킨</t>
        </is>
      </c>
      <c r="C18" s="8" t="inlineStr"/>
      <c r="D18" s="8" t="inlineStr"/>
    </row>
    <row r="19">
      <c r="A19" s="9" t="inlineStr"/>
      <c r="B19" s="9" t="inlineStr"/>
      <c r="C19" s="9" t="inlineStr"/>
      <c r="D19" s="9" t="inlineStr"/>
    </row>
    <row r="20">
      <c r="A20" s="8" t="inlineStr">
        <is>
          <t>📋 주간 미션 (EXP 보너스)</t>
        </is>
      </c>
      <c r="B20" s="8" t="inlineStr"/>
      <c r="C20" s="8" t="inlineStr"/>
      <c r="D20" s="8" t="inlineStr"/>
    </row>
    <row r="21">
      <c r="A21" s="9" t="inlineStr">
        <is>
          <t>IO 10판 완료</t>
        </is>
      </c>
      <c r="B21" s="9" t="inlineStr">
        <is>
          <t>1,500 EXP</t>
        </is>
      </c>
      <c r="C21" s="9" t="inlineStr"/>
      <c r="D21" s="9" t="inlineStr"/>
    </row>
    <row r="22">
      <c r="A22" s="8" t="inlineStr">
        <is>
          <t>공성전 3회 참여</t>
        </is>
      </c>
      <c r="B22" s="8" t="inlineStr">
        <is>
          <t>2,000 EXP</t>
        </is>
      </c>
      <c r="C22" s="8" t="inlineStr"/>
      <c r="D22" s="8" t="inlineStr"/>
    </row>
    <row r="23">
      <c r="A23" s="9" t="inlineStr">
        <is>
          <t>무역 10회 완료</t>
        </is>
      </c>
      <c r="B23" s="9" t="inlineStr">
        <is>
          <t>1,000 EXP</t>
        </is>
      </c>
      <c r="C23" s="9" t="inlineStr"/>
      <c r="D23" s="9" t="inlineStr"/>
    </row>
    <row r="24">
      <c r="A24" s="8" t="inlineStr">
        <is>
          <t>용병 각성 1회</t>
        </is>
      </c>
      <c r="B24" s="8" t="inlineStr">
        <is>
          <t>1,500 EXP</t>
        </is>
      </c>
      <c r="C24" s="8" t="inlineStr"/>
      <c r="D24" s="8" t="inlineStr"/>
    </row>
    <row r="25">
      <c r="A25" s="9" t="inlineStr">
        <is>
          <t>PvP 아레나 5회</t>
        </is>
      </c>
      <c r="B25" s="9" t="inlineStr">
        <is>
          <t>1,200 EXP</t>
        </is>
      </c>
      <c r="C25" s="9" t="inlineStr"/>
      <c r="D25" s="9" t="inlineStr"/>
    </row>
  </sheetData>
  <mergeCells count="1">
    <mergeCell ref="A1:D1"/>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2" customWidth="1" min="1" max="1"/>
    <col width="6" customWidth="1" min="2" max="2"/>
    <col width="12" customWidth="1" min="3" max="3"/>
    <col width="18" customWidth="1" min="4" max="4"/>
    <col width="16" customWidth="1" min="5" max="5"/>
    <col width="28" customWidth="1" min="6" max="6"/>
  </cols>
  <sheetData>
    <row r="1">
      <c r="A1" s="6" t="inlineStr">
        <is>
          <t>용병 스토리 퀘스트 (캐릭터 서사)</t>
        </is>
      </c>
    </row>
    <row r="3">
      <c r="A3" s="7" t="inlineStr">
        <is>
          <t>용병</t>
        </is>
      </c>
      <c r="B3" s="7" t="inlineStr">
        <is>
          <t>챕터</t>
        </is>
      </c>
      <c r="C3" s="7" t="inlineStr">
        <is>
          <t>제목</t>
        </is>
      </c>
      <c r="D3" s="7" t="inlineStr">
        <is>
          <t>조건</t>
        </is>
      </c>
      <c r="E3" s="7" t="inlineStr">
        <is>
          <t>보상</t>
        </is>
      </c>
      <c r="F3" s="7" t="inlineStr">
        <is>
          <t>스토리 요약</t>
        </is>
      </c>
    </row>
    <row r="4">
      <c r="A4" s="8" t="inlineStr">
        <is>
          <t>🐲 드래곤나이트</t>
        </is>
      </c>
      <c r="B4" s="8" t="inlineStr">
        <is>
          <t>1화</t>
        </is>
      </c>
      <c r="C4" s="8" t="inlineStr">
        <is>
          <t>용의 부름</t>
        </is>
      </c>
      <c r="D4" s="8" t="inlineStr">
        <is>
          <t>드래곤나이트 획득</t>
        </is>
      </c>
      <c r="E4" s="8" t="inlineStr">
        <is>
          <t>ATK +5</t>
        </is>
      </c>
      <c r="F4" s="8" t="inlineStr">
        <is>
          <t>고아 소년이 용알을 발견하는 이야기</t>
        </is>
      </c>
    </row>
    <row r="5">
      <c r="A5" s="9" t="inlineStr"/>
      <c r="B5" s="9" t="inlineStr">
        <is>
          <t>2화</t>
        </is>
      </c>
      <c r="C5" s="9" t="inlineStr">
        <is>
          <t>첫 비행</t>
        </is>
      </c>
      <c r="D5" s="9" t="inlineStr">
        <is>
          <t>Lv.25 달성</t>
        </is>
      </c>
      <c r="E5" s="9" t="inlineStr">
        <is>
          <t>전용 스킬 해금</t>
        </is>
      </c>
      <c r="F5" s="9" t="inlineStr">
        <is>
          <t>드래곤과 함께 하늘을 나는 날</t>
        </is>
      </c>
    </row>
    <row r="6">
      <c r="A6" s="8" t="inlineStr"/>
      <c r="B6" s="8" t="inlineStr">
        <is>
          <t>3화</t>
        </is>
      </c>
      <c r="C6" s="8" t="inlineStr">
        <is>
          <t>배신자의 검</t>
        </is>
      </c>
      <c r="D6" s="8" t="inlineStr">
        <is>
          <t>공성전 5승</t>
        </is>
      </c>
      <c r="E6" s="8" t="inlineStr">
        <is>
          <t>DEF +10</t>
        </is>
      </c>
      <c r="F6" s="8" t="inlineStr">
        <is>
          <t>옛 동료의 배신과 성장</t>
        </is>
      </c>
    </row>
    <row r="7">
      <c r="A7" s="9" t="inlineStr"/>
      <c r="B7" s="9" t="inlineStr">
        <is>
          <t>4화</t>
        </is>
      </c>
      <c r="C7" s="9" t="inlineStr">
        <is>
          <t>진정한 기사</t>
        </is>
      </c>
      <c r="D7" s="9" t="inlineStr">
        <is>
          <t>초월 달성</t>
        </is>
      </c>
      <c r="E7" s="9" t="inlineStr">
        <is>
          <t>궁극기 강화</t>
        </is>
      </c>
      <c r="F7" s="9" t="inlineStr">
        <is>
          <t>드래곤과 하나가 되는 최종 각성</t>
        </is>
      </c>
    </row>
    <row r="8">
      <c r="A8" s="8" t="inlineStr"/>
      <c r="B8" s="8" t="inlineStr"/>
      <c r="C8" s="8" t="inlineStr"/>
      <c r="D8" s="8" t="inlineStr"/>
      <c r="E8" s="8" t="inlineStr"/>
      <c r="F8" s="8" t="inlineStr"/>
    </row>
    <row r="9">
      <c r="A9" s="9" t="inlineStr">
        <is>
          <t>👼 세라핌</t>
        </is>
      </c>
      <c r="B9" s="9" t="inlineStr">
        <is>
          <t>1화</t>
        </is>
      </c>
      <c r="C9" s="9" t="inlineStr">
        <is>
          <t>타락한 천사</t>
        </is>
      </c>
      <c r="D9" s="9" t="inlineStr">
        <is>
          <t>세라핌 획득</t>
        </is>
      </c>
      <c r="E9" s="9" t="inlineStr">
        <is>
          <t>힐 +10</t>
        </is>
      </c>
      <c r="F9" s="9" t="inlineStr">
        <is>
          <t>천상에서 추방된 이유</t>
        </is>
      </c>
    </row>
    <row r="10">
      <c r="A10" s="8" t="inlineStr"/>
      <c r="B10" s="8" t="inlineStr">
        <is>
          <t>2화</t>
        </is>
      </c>
      <c r="C10" s="8" t="inlineStr">
        <is>
          <t>속죄의 길</t>
        </is>
      </c>
      <c r="D10" s="8" t="inlineStr">
        <is>
          <t>치유 10,000회</t>
        </is>
      </c>
      <c r="E10" s="8" t="inlineStr">
        <is>
          <t>부활 쿨 -10초</t>
        </is>
      </c>
      <c r="F10" s="8" t="inlineStr">
        <is>
          <t>인간을 치유하며 속죄하는 나날</t>
        </is>
      </c>
    </row>
    <row r="11">
      <c r="A11" s="9" t="inlineStr"/>
      <c r="B11" s="9" t="inlineStr">
        <is>
          <t>3화</t>
        </is>
      </c>
      <c r="C11" s="9" t="inlineStr">
        <is>
          <t>빛과 어둠</t>
        </is>
      </c>
      <c r="D11" s="9" t="inlineStr">
        <is>
          <t>죽음의 기사와 동시 편성 50회</t>
        </is>
      </c>
      <c r="E11" s="9" t="inlineStr">
        <is>
          <t>인연 해금 보너스 ×2</t>
        </is>
      </c>
      <c r="F11" s="9" t="inlineStr">
        <is>
          <t>죽음의 기사와의 운명적 만남</t>
        </is>
      </c>
    </row>
    <row r="12">
      <c r="A12" s="8" t="inlineStr"/>
      <c r="B12" s="8" t="inlineStr">
        <is>
          <t>4화</t>
        </is>
      </c>
      <c r="C12" s="8" t="inlineStr">
        <is>
          <t>귀환</t>
        </is>
      </c>
      <c r="D12" s="8" t="inlineStr">
        <is>
          <t>초월 달성</t>
        </is>
      </c>
      <c r="E12" s="8" t="inlineStr">
        <is>
          <t>궁극기 강화</t>
        </is>
      </c>
      <c r="F12" s="8" t="inlineStr">
        <is>
          <t>천상으로 돌아가지 않기로 한 선택</t>
        </is>
      </c>
    </row>
    <row r="13">
      <c r="A13" s="9" t="inlineStr"/>
      <c r="B13" s="9" t="inlineStr"/>
      <c r="C13" s="9" t="inlineStr"/>
      <c r="D13" s="9" t="inlineStr"/>
      <c r="E13" s="9" t="inlineStr"/>
      <c r="F13" s="9" t="inlineStr"/>
    </row>
    <row r="14">
      <c r="A14" s="8" t="inlineStr">
        <is>
          <t>💀 죽음��� 기사</t>
        </is>
      </c>
      <c r="B14" s="8" t="inlineStr">
        <is>
          <t>1화</t>
        </is>
      </c>
      <c r="C14" s="8" t="inlineStr">
        <is>
          <t>죽지 못하는 자</t>
        </is>
      </c>
      <c r="D14" s="8" t="inlineStr">
        <is>
          <t>획득</t>
        </is>
      </c>
      <c r="E14" s="8" t="inlineStr">
        <is>
          <t>HP +20</t>
        </is>
      </c>
      <c r="F14" s="8" t="inlineStr">
        <is>
          <t>불멸의 저주를 받은 기사의 과거</t>
        </is>
      </c>
    </row>
    <row r="15">
      <c r="A15" s="9" t="inlineStr"/>
      <c r="B15" s="9" t="inlineStr">
        <is>
          <t>2화</t>
        </is>
      </c>
      <c r="C15" s="9" t="inlineStr">
        <is>
          <t>해골 군단</t>
        </is>
      </c>
      <c r="D15" s="9" t="inlineStr">
        <is>
          <t>해골 100체 소환</t>
        </is>
      </c>
      <c r="E15" s="9" t="inlineStr">
        <is>
          <t>소환수 ATK +15%</t>
        </is>
      </c>
      <c r="F15" s="9" t="inlineStr">
        <is>
          <t>자신의 군대를 만들어가는 과정</t>
        </is>
      </c>
    </row>
    <row r="16">
      <c r="A16" s="8" t="inlineStr"/>
      <c r="B16" s="8" t="inlineStr">
        <is>
          <t>3화</t>
        </is>
      </c>
      <c r="C16" s="8" t="inlineStr">
        <is>
          <t>생사의 경계</t>
        </is>
      </c>
      <c r="D16" s="8" t="inlineStr">
        <is>
          <t>세라핌과 인연 해금</t>
        </is>
      </c>
      <c r="E16" s="8" t="inlineStr">
        <is>
          <t>사망 시 폭발 DMG 추가</t>
        </is>
      </c>
      <c r="F16" s="8" t="inlineStr">
        <is>
          <t>세라핌과의 운명적 대립과 이해</t>
        </is>
      </c>
    </row>
    <row r="17">
      <c r="A17" s="9" t="inlineStr"/>
      <c r="B17" s="9" t="inlineStr">
        <is>
          <t>4화</t>
        </is>
      </c>
      <c r="C17" s="9" t="inlineStr">
        <is>
          <t>영원의 안식</t>
        </is>
      </c>
      <c r="D17" s="9" t="inlineStr">
        <is>
          <t>초월 달성</t>
        </is>
      </c>
      <c r="E17" s="9" t="inlineStr">
        <is>
          <t>궁극기 강화</t>
        </is>
      </c>
      <c r="F17" s="9" t="inlineStr">
        <is>
          <t>저주의 진실과 해방의 선택</t>
        </is>
      </c>
    </row>
    <row r="18">
      <c r="A18" s="8" t="inlineStr"/>
      <c r="B18" s="8" t="inlineStr"/>
      <c r="C18" s="8" t="inlineStr"/>
      <c r="D18" s="8" t="inlineStr"/>
      <c r="E18" s="8" t="inlineStr"/>
      <c r="F18" s="8" t="inlineStr"/>
    </row>
    <row r="19">
      <c r="A19" s="9" t="inlineStr">
        <is>
          <t>해금 보상 총합</t>
        </is>
      </c>
      <c r="B19" s="9" t="inlineStr">
        <is>
          <t>4화 완료 시 전용 프로필 프레임 + 칭호</t>
        </is>
      </c>
      <c r="C19" s="9" t="inlineStr"/>
      <c r="D19" s="9" t="inlineStr"/>
      <c r="E19" s="9" t="inlineStr"/>
      <c r="F19" s="9" t="inlineStr"/>
    </row>
    <row r="20">
      <c r="A20" s="8" t="inlineStr">
        <is>
          <t>히든 스토리</t>
        </is>
      </c>
      <c r="B20" s="8" t="inlineStr">
        <is>
          <t>특정 용병 스토리 교차점에서 분기</t>
        </is>
      </c>
      <c r="C20" s="8" t="inlineStr">
        <is>
          <t>선택에 따라 다른 보상</t>
        </is>
      </c>
      <c r="D20" s="8" t="inlineStr"/>
      <c r="E20" s="8" t="inlineStr"/>
      <c r="F20" s="8" t="inlineStr"/>
    </row>
    <row r="21">
      <c r="A21" s="9" t="inlineStr">
        <is>
          <t>수집 보상</t>
        </is>
      </c>
      <c r="B21" s="9" t="inlineStr">
        <is>
          <t>전 용병 스토리 완료 시 "전설의 기록자" 칭호 + 신화 재료</t>
        </is>
      </c>
      <c r="C21" s="9" t="inlineStr"/>
      <c r="D21" s="9" t="inlineStr"/>
      <c r="E21" s="9" t="inlineStr"/>
      <c r="F21" s="9" t="inlineStr"/>
    </row>
  </sheetData>
  <mergeCells count="1">
    <mergeCell ref="A1:F1"/>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2" customWidth="1" min="1" max="1"/>
    <col width="8" customWidth="1" min="2" max="2"/>
    <col width="8" customWidth="1" min="3" max="3"/>
    <col width="24" customWidth="1" min="4" max="4"/>
    <col width="24" customWidth="1" min="5" max="5"/>
    <col width="24" customWidth="1" min="6" max="6"/>
    <col width="16" customWidth="1" min="7" max="7"/>
  </cols>
  <sheetData>
    <row r="1">
      <c r="A1" s="6" t="inlineStr">
        <is>
          <t>IO 보스 패턴 상세 (5종)</t>
        </is>
      </c>
    </row>
    <row r="3">
      <c r="A3" s="7" t="inlineStr">
        <is>
          <t>보스</t>
        </is>
      </c>
      <c r="B3" s="7" t="inlineStr">
        <is>
          <t>등장</t>
        </is>
      </c>
      <c r="C3" s="7" t="inlineStr">
        <is>
          <t>HP</t>
        </is>
      </c>
      <c r="D3" s="7" t="inlineStr">
        <is>
          <t>패턴 1</t>
        </is>
      </c>
      <c r="E3" s="7" t="inlineStr">
        <is>
          <t>패턴 2</t>
        </is>
      </c>
      <c r="F3" s="7" t="inlineStr">
        <is>
          <t>패턴 3</t>
        </is>
      </c>
      <c r="G3" s="7" t="inlineStr">
        <is>
          <t>드롭</t>
        </is>
      </c>
    </row>
    <row r="4">
      <c r="A4" s="8" t="inlineStr">
        <is>
          <t>👑 슬라임킹</t>
        </is>
      </c>
      <c r="B4" s="8" t="inlineStr">
        <is>
          <t>웨이브 5</t>
        </is>
      </c>
      <c r="C4" s="8" t="inlineStr">
        <is>
          <t>500</t>
        </is>
      </c>
      <c r="D4" s="8" t="inlineStr">
        <is>
          <t>점프 충격파 — 착지 시 범위 100 DMG</t>
        </is>
      </c>
      <c r="E4" s="8" t="inlineStr">
        <is>
          <t>분열 — HP 50% 시 미니슬라임 6체 소환</t>
        </is>
      </c>
      <c r="F4" s="8" t="inlineStr">
        <is>
          <t>점액 장판 — 감속 50% 원형 장판</t>
        </is>
      </c>
      <c r="G4" s="8" t="inlineStr">
        <is>
          <t>500G, 10% 고급카드</t>
        </is>
      </c>
    </row>
    <row r="5">
      <c r="A5" s="9" t="inlineStr">
        <is>
          <t>공략</t>
        </is>
      </c>
      <c r="B5" s="9" t="inlineStr"/>
      <c r="C5" s="9" t="inlineStr"/>
      <c r="D5" s="9" t="inlineStr">
        <is>
          <t>충격파: 그림자 보고 옆으로 회피</t>
        </is>
      </c>
      <c r="E5" s="9" t="inlineStr">
        <is>
          <t>분열체: 먼저 처리, 본체 힐 방지</t>
        </is>
      </c>
      <c r="F5" s="9" t="inlineStr">
        <is>
          <t>장판: 즉시 이탈, 장판 위 3초 시 사망</t>
        </is>
      </c>
      <c r="G5" s="9" t="inlineStr"/>
    </row>
    <row r="6">
      <c r="A6" s="8" t="inlineStr"/>
      <c r="B6" s="8" t="inlineStr"/>
      <c r="C6" s="8" t="inlineStr"/>
      <c r="D6" s="8" t="inlineStr"/>
      <c r="E6" s="8" t="inlineStr"/>
      <c r="F6" s="8" t="inlineStr"/>
      <c r="G6" s="8" t="inlineStr"/>
    </row>
    <row r="7">
      <c r="A7" s="9" t="inlineStr">
        <is>
          <t>🗿 고대 골렘</t>
        </is>
      </c>
      <c r="B7" s="9" t="inlineStr">
        <is>
          <t>웨이브 10</t>
        </is>
      </c>
      <c r="C7" s="9" t="inlineStr">
        <is>
          <t>1,500</t>
        </is>
      </c>
      <c r="D7" s="9" t="inlineStr">
        <is>
          <t>바위 투척 — 추적형 장거리 300 DMG</t>
        </is>
      </c>
      <c r="E7" s="9" t="inlineStr">
        <is>
          <t>지진 — 전방 부채꼴 200 DMG + 스턴 2초</t>
        </is>
      </c>
      <c r="F7" s="9" t="inlineStr">
        <is>
          <t>강화 — HP 30% 시 DEF 2배 + 분노</t>
        </is>
      </c>
      <c r="G7" s="9" t="inlineStr">
        <is>
          <t>2,000G, 15% 희귀카드</t>
        </is>
      </c>
    </row>
    <row r="8">
      <c r="A8" s="8" t="inlineStr">
        <is>
          <t>공략</t>
        </is>
      </c>
      <c r="B8" s="8" t="inlineStr"/>
      <c r="C8" s="8" t="inlineStr"/>
      <c r="D8" s="8" t="inlineStr">
        <is>
          <t>투척: 지그재그 이동으로 회피</t>
        </is>
      </c>
      <c r="E8" s="8" t="inlineStr">
        <is>
          <t>지진: 후방 이동, 스턴 주의</t>
        </is>
      </c>
      <c r="F8" s="8" t="inlineStr">
        <is>
          <t>강화: DPS 집중 구간, 쿨스킬 투입</t>
        </is>
      </c>
      <c r="G8" s="8" t="inlineStr"/>
    </row>
    <row r="9">
      <c r="A9" s="9" t="inlineStr"/>
      <c r="B9" s="9" t="inlineStr"/>
      <c r="C9" s="9" t="inlineStr"/>
      <c r="D9" s="9" t="inlineStr"/>
      <c r="E9" s="9" t="inlineStr"/>
      <c r="F9" s="9" t="inlineStr"/>
      <c r="G9" s="9" t="inlineStr"/>
    </row>
    <row r="10">
      <c r="A10" s="8" t="inlineStr">
        <is>
          <t>🐲 화염 드래곤</t>
        </is>
      </c>
      <c r="B10" s="8" t="inlineStr">
        <is>
          <t>웨이브 20</t>
        </is>
      </c>
      <c r="C10" s="8" t="inlineStr">
        <is>
          <t>4,000</t>
        </is>
      </c>
      <c r="D10" s="8" t="inlineStr">
        <is>
          <t>브레스 — 직선 광역 500 DMG + 화상</t>
        </is>
      </c>
      <c r="E10" s="8" t="inlineStr">
        <is>
          <t>비행 — 5초 무적 + 상공에서 화염탄 3발</t>
        </is>
      </c>
      <c r="F10" s="8" t="inlineStr">
        <is>
          <t>포효 — 전체 ATK -20% 디버프 10초</t>
        </is>
      </c>
      <c r="G10" s="8" t="inlineStr">
        <is>
          <t>5,000G, 20% 영웅카드</t>
        </is>
      </c>
    </row>
    <row r="11">
      <c r="A11" s="9" t="inlineStr">
        <is>
          <t>공략</t>
        </is>
      </c>
      <c r="B11" s="9" t="inlineStr"/>
      <c r="C11" s="9" t="inlineStr"/>
      <c r="D11" s="9" t="inlineStr">
        <is>
          <t>브레스: 옆으로 피하기 (직선 공격)</t>
        </is>
      </c>
      <c r="E11" s="9" t="inlineStr">
        <is>
          <t>비행: 화염탄 그림자 회피, 공격 불가</t>
        </is>
      </c>
      <c r="F11" s="9" t="inlineStr">
        <is>
          <t>포효: 디버프 해제 아이템 필���</t>
        </is>
      </c>
      <c r="G11" s="9" t="inlineStr"/>
    </row>
    <row r="12">
      <c r="A12" s="8" t="inlineStr"/>
      <c r="B12" s="8" t="inlineStr"/>
      <c r="C12" s="8" t="inlineStr"/>
      <c r="D12" s="8" t="inlineStr"/>
      <c r="E12" s="8" t="inlineStr"/>
      <c r="F12" s="8" t="inlineStr"/>
      <c r="G12" s="8" t="inlineStr"/>
    </row>
    <row r="13">
      <c r="A13" s="9" t="inlineStr">
        <is>
          <t>👿 마왕</t>
        </is>
      </c>
      <c r="B13" s="9" t="inlineStr">
        <is>
          <t>웨이브 30</t>
        </is>
      </c>
      <c r="C13" s="9" t="inlineStr">
        <is>
          <t>10,000</t>
        </is>
      </c>
      <c r="D13" s="9" t="inlineStr">
        <is>
          <t>암흑 폭발 — 전체 300 DMG (회피 불가)</t>
        </is>
      </c>
      <c r="E13" s="9" t="inlineStr">
        <is>
          <t>소환 — 악마 4체 + 엘리트 2체</t>
        </is>
      </c>
      <c r="F13" s="9" t="inlineStr">
        <is>
          <t>흡수 — 가장 강한 플레이어 3초 속박 + HP 흡수</t>
        </is>
      </c>
      <c r="G13" s="9" t="inlineStr">
        <is>
          <t>15,000G, 30% 전설카드</t>
        </is>
      </c>
    </row>
    <row r="14">
      <c r="A14" s="8" t="inlineStr">
        <is>
          <t>공략</t>
        </is>
      </c>
      <c r="B14" s="8" t="inlineStr"/>
      <c r="C14" s="8" t="inlineStr"/>
      <c r="D14" s="8" t="inlineStr">
        <is>
          <t>암흑 폭발: HP 관리 필수, 힐 준비</t>
        </is>
      </c>
      <c r="E14" s="8" t="inlineStr">
        <is>
          <t>소환: 엘리트 우선 처리</t>
        </is>
      </c>
      <c r="F14" s="8" t="inlineStr">
        <is>
          <t>흡수: 속박 대상 즉시 구출 (근접 공격)</t>
        </is>
      </c>
      <c r="G14" s="8" t="inlineStr"/>
    </row>
    <row r="15">
      <c r="A15" s="9" t="inlineStr"/>
      <c r="B15" s="9" t="inlineStr"/>
      <c r="C15" s="9" t="inlineStr"/>
      <c r="D15" s="9" t="inlineStr"/>
      <c r="E15" s="9" t="inlineStr"/>
      <c r="F15" s="9" t="inlineStr"/>
      <c r="G15" s="9" t="inlineStr"/>
    </row>
    <row r="16">
      <c r="A16" s="8" t="inlineStr">
        <is>
          <t>💀 세계의 적</t>
        </is>
      </c>
      <c r="B16" s="8" t="inlineStr">
        <is>
          <t>웨이브 40</t>
        </is>
      </c>
      <c r="C16" s="8" t="inlineStr">
        <is>
          <t>25,000</t>
        </is>
      </c>
      <c r="D16" s="8" t="inlineStr">
        <is>
          <t>종말의 파동 — 매 10초 전체 500 DMG</t>
        </is>
      </c>
      <c r="E16" s="8" t="inlineStr">
        <is>
          <t>차원 균열 — 랜덤 3명 다른 공간 격리 30초</t>
        </is>
      </c>
      <c r="F16" s="8" t="inlineStr">
        <is>
          <t>부활 — 사망 시 1회 HP 50% 부활</t>
        </is>
      </c>
      <c r="G16" s="8" t="inlineStr">
        <is>
          <t>50,000G, 각성석, 신화 5%</t>
        </is>
      </c>
    </row>
    <row r="17">
      <c r="A17" s="9" t="inlineStr">
        <is>
          <t>공략</t>
        </is>
      </c>
      <c r="B17" s="9" t="inlineStr"/>
      <c r="C17" s="9" t="inlineStr"/>
      <c r="D17" s="9" t="inlineStr">
        <is>
          <t>DPS 레이스 — 10초마다 500이므로 빠른 처치</t>
        </is>
      </c>
      <c r="E17" s="9" t="inlineStr">
        <is>
          <t>격리: 격리 공간에서 미니보스 처치 시 귀환</t>
        </is>
      </c>
      <c r="F17" s="9" t="inlineStr">
        <is>
          <t>부활: 2페이즈 진입, 패턴 가속</t>
        </is>
      </c>
      <c r="G17" s="9" t="inlineStr"/>
    </row>
    <row r="18">
      <c r="A18" s="8" t="inlineStr"/>
      <c r="B18" s="8" t="inlineStr"/>
      <c r="C18" s="8" t="inlineStr"/>
      <c r="D18" s="8" t="inlineStr"/>
      <c r="E18" s="8" t="inlineStr"/>
      <c r="F18" s="8" t="inlineStr"/>
      <c r="G18" s="8" t="inlineStr"/>
    </row>
    <row r="19">
      <c r="A19" s="9" t="inlineStr">
        <is>
          <t>핵심</t>
        </is>
      </c>
      <c r="B19" s="9" t="inlineStr">
        <is>
          <t>보스는 IO에서 전체 플레이어 공유, 마지막 타격자 MVP 보상</t>
        </is>
      </c>
      <c r="C19" s="9" t="inlineStr">
        <is>
          <t>MVP: 드롭 확률 2배</t>
        </is>
      </c>
      <c r="D19" s="9" t="inlineStr"/>
      <c r="E19" s="9" t="inlineStr"/>
      <c r="F19" s="9" t="inlineStr"/>
      <c r="G19" s="9" t="inlineStr"/>
    </row>
  </sheetData>
  <mergeCells count="1">
    <mergeCell ref="A1:G1"/>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20" customWidth="1" min="2" max="2"/>
    <col width="22" customWidth="1" min="3" max="3"/>
    <col width="24" customWidth="1" min="4" max="4"/>
    <col width="14" customWidth="1" min="5" max="5"/>
  </cols>
  <sheetData>
    <row r="1">
      <c r="A1" s="6" t="inlineStr">
        <is>
          <t>심연의 탑 (엔드게임 100층)</t>
        </is>
      </c>
    </row>
    <row r="3">
      <c r="A3" s="7" t="inlineStr">
        <is>
          <t>층</t>
        </is>
      </c>
      <c r="B3" s="7" t="inlineStr">
        <is>
          <t>적 구성</t>
        </is>
      </c>
      <c r="C3" s="7" t="inlineStr">
        <is>
          <t>특수 규칙</t>
        </is>
      </c>
      <c r="D3" s="7" t="inlineStr">
        <is>
          <t>클리어 보상</t>
        </is>
      </c>
      <c r="E3" s="7" t="inlineStr">
        <is>
          <t>누적 보상</t>
        </is>
      </c>
    </row>
    <row r="4">
      <c r="A4" s="8" t="inlineStr">
        <is>
          <t>1~10층</t>
        </is>
      </c>
      <c r="B4" s="8" t="inlineStr">
        <is>
          <t>일반 몬스터 웨이브</t>
        </is>
      </c>
      <c r="C4" s="8" t="inlineStr">
        <is>
          <t>없음</t>
        </is>
      </c>
      <c r="D4" s="8" t="inlineStr">
        <is>
          <t>층당 1,000G</t>
        </is>
      </c>
      <c r="E4" s="8" t="inlineStr">
        <is>
          <t>10,000G</t>
        </is>
      </c>
    </row>
    <row r="5">
      <c r="A5" s="9" t="inlineStr">
        <is>
          <t>11~20층</t>
        </is>
      </c>
      <c r="B5" s="9" t="inlineStr">
        <is>
          <t>엘리트 몬스터 + 미니보스</t>
        </is>
      </c>
      <c r="C5" s="9" t="inlineStr">
        <is>
          <t>매 5층 함정 추가</t>
        </is>
      </c>
      <c r="D5" s="9" t="inlineStr">
        <is>
          <t>층당 2,000G + 재료</t>
        </is>
      </c>
      <c r="E5" s="9" t="inlineStr">
        <is>
          <t>30,000G</t>
        </is>
      </c>
    </row>
    <row r="6">
      <c r="A6" s="8" t="inlineStr">
        <is>
          <t>21~30층</t>
        </is>
      </c>
      <c r="B6" s="8" t="inlineStr">
        <is>
          <t>보스급 몬스터 매층</t>
        </is>
      </c>
      <c r="C6" s="8" t="inlineStr">
        <is>
          <t>용병 사망 시 다음 층 사용 불가</t>
        </is>
      </c>
      <c r="D6" s="8" t="inlineStr">
        <is>
          <t>층당 3,000G + 카드 10%</t>
        </is>
      </c>
      <c r="E6" s="8" t="inlineStr">
        <is>
          <t>60,000G</t>
        </is>
      </c>
    </row>
    <row r="7">
      <c r="A7" s="9" t="inlineStr">
        <is>
          <t>31~40층</t>
        </is>
      </c>
      <c r="B7" s="9" t="inlineStr">
        <is>
          <t>보스 2체 동시 등장</t>
        </is>
      </c>
      <c r="C7" s="9" t="inlineStr">
        <is>
          <t>피격 시 디버프 누적</t>
        </is>
      </c>
      <c r="D7" s="9" t="inlineStr">
        <is>
          <t>층당 5,000G + 카드 20%</t>
        </is>
      </c>
      <c r="E7" s="9" t="inlineStr">
        <is>
          <t>100,000G</t>
        </is>
      </c>
    </row>
    <row r="8">
      <c r="A8" s="8" t="inlineStr">
        <is>
          <t>41~50층</t>
        </is>
      </c>
      <c r="B8" s="8" t="inlineStr">
        <is>
          <t>보스 + 엘리트 4체</t>
        </is>
      </c>
      <c r="C8" s="8" t="inlineStr">
        <is>
          <t>회복 불가, 순수 전투력</t>
        </is>
      </c>
      <c r="D8" s="8" t="inlineStr">
        <is>
          <t>층당 8,000G + 각성석 조각</t>
        </is>
      </c>
      <c r="E8" s="8" t="inlineStr">
        <is>
          <t>140,000G</t>
        </is>
      </c>
    </row>
    <row r="9">
      <c r="A9" s="9" t="inlineStr">
        <is>
          <t>51~60층</t>
        </is>
      </c>
      <c r="B9" s="9" t="inlineStr">
        <is>
          <t>강화 보스 (ATK/HP 2배)</t>
        </is>
      </c>
      <c r="C9" s="9" t="inlineStr">
        <is>
          <t>용병 교체 불가</t>
        </is>
      </c>
      <c r="D9" s="9" t="inlineStr">
        <is>
          <t>층당 10,000G + 각성석 10%</t>
        </is>
      </c>
      <c r="E9" s="9" t="inlineStr">
        <is>
          <t>200,000G</t>
        </is>
      </c>
    </row>
    <row r="10">
      <c r="A10" s="8" t="inlineStr">
        <is>
          <t>61~70층</t>
        </is>
      </c>
      <c r="B10" s="8" t="inlineStr">
        <is>
          <t>보스 3체 동시</t>
        </is>
      </c>
      <c r="C10" s="8" t="inlineStr">
        <is>
          <t>랜덤 디버프 매층 적용</t>
        </is>
      </c>
      <c r="D10" s="8" t="inlineStr">
        <is>
          <t>층당 15,000G + 전설재료</t>
        </is>
      </c>
      <c r="E10" s="8" t="inlineStr">
        <is>
          <t>305,000G</t>
        </is>
      </c>
    </row>
    <row r="11">
      <c r="A11" s="9" t="inlineStr">
        <is>
          <t>71~80층</t>
        </is>
      </c>
      <c r="B11" s="9" t="inlineStr">
        <is>
          <t>신화급 몬스터 등장</t>
        </is>
      </c>
      <c r="C11" s="9" t="inlineStr">
        <is>
          <t>플레이어 스탯 -30%</t>
        </is>
      </c>
      <c r="D11" s="9" t="inlineStr">
        <is>
          <t>층당 20,000G + 전설카드 10%</t>
        </is>
      </c>
      <c r="E11" s="9" t="inlineStr">
        <is>
          <t>465,000G</t>
        </is>
      </c>
    </row>
    <row r="12">
      <c r="A12" s="8" t="inlineStr">
        <is>
          <t>81~90층</t>
        </is>
      </c>
      <c r="B12" s="8" t="inlineStr">
        <is>
          <t>역대 IO 보스 연속 (5종)</t>
        </is>
      </c>
      <c r="C12" s="8" t="inlineStr">
        <is>
          <t>보스 패턴 강화 버전</t>
        </is>
      </c>
      <c r="D12" s="8" t="inlineStr">
        <is>
          <t>층당 30,000G + 신화재료 5%</t>
        </is>
      </c>
      <c r="E12" s="8" t="inlineStr">
        <is>
          <t>765,000G</t>
        </is>
      </c>
    </row>
    <row r="13">
      <c r="A13" s="9" t="inlineStr">
        <is>
          <t>91~99층</t>
        </is>
      </c>
      <c r="B13" s="9" t="inlineStr">
        <is>
          <t>보스 러시 + 디버프 + 시간제한</t>
        </is>
      </c>
      <c r="C13" s="9" t="inlineStr">
        <is>
          <t>3분 제한, 사망 즉시 종료</t>
        </is>
      </c>
      <c r="D13" s="9" t="inlineStr">
        <is>
          <t>층당 50,000G</t>
        </is>
      </c>
      <c r="E13" s="9" t="inlineStr">
        <is>
          <t>1,215,000G</t>
        </is>
      </c>
    </row>
    <row r="14">
      <c r="A14" s="8" t="inlineStr">
        <is>
          <t>100층 🏆</t>
        </is>
      </c>
      <c r="B14" s="8" t="inlineStr">
        <is>
          <t>??? (최종 보스 — 태초의 존재 그림자)</t>
        </is>
      </c>
      <c r="C14" s="8" t="inlineStr">
        <is>
          <t>전 페이즈 통합, 3분 제한</t>
        </is>
      </c>
      <c r="D14" s="8" t="inlineStr">
        <is>
          <t>100,000G + 200💎 + 신화 확정 + 칭호</t>
        </is>
      </c>
      <c r="E14" s="8" t="inlineStr">
        <is>
          <t>1,315,000G</t>
        </is>
      </c>
    </row>
    <row r="15">
      <c r="A15" s="9" t="inlineStr"/>
      <c r="B15" s="9" t="inlineStr"/>
      <c r="C15" s="9" t="inlineStr"/>
      <c r="D15" s="9" t="inlineStr"/>
      <c r="E15" s="9" t="inlineStr"/>
    </row>
    <row r="16">
      <c r="A16" s="8" t="inlineStr">
        <is>
          <t>규칙</t>
        </is>
      </c>
      <c r="B16" s="8" t="inlineStr">
        <is>
          <t>주 1회 리셋, 최고 기록 갱신 시 추가 보상</t>
        </is>
      </c>
      <c r="C16" s="8" t="inlineStr"/>
      <c r="D16" s="8" t="inlineStr"/>
      <c r="E16" s="8" t="inlineStr"/>
    </row>
    <row r="17">
      <c r="A17" s="9" t="inlineStr">
        <is>
          <t>용병 체력</t>
        </is>
      </c>
      <c r="B17" s="9" t="inlineStr">
        <is>
          <t>층 간 용병 HP 유지 (회복 없음)</t>
        </is>
      </c>
      <c r="C17" s="9" t="inlineStr">
        <is>
          <t>전략적 용병 교체 필요</t>
        </is>
      </c>
      <c r="D17" s="9" t="inlineStr"/>
      <c r="E17" s="9" t="inlineStr"/>
    </row>
    <row r="18">
      <c r="A18" s="8" t="inlineStr">
        <is>
          <t>랭킹</t>
        </is>
      </c>
      <c r="B18" s="8" t="inlineStr">
        <is>
          <t>최고 도달 층 랭킹, 1위: "심연의 정복자" 칭호 + 매주 50💎</t>
        </is>
      </c>
      <c r="C18" s="8" t="inlineStr"/>
      <c r="D18" s="8" t="inlineStr"/>
      <c r="E18" s="8" t="inlineStr"/>
    </row>
    <row r="19">
      <c r="A19" s="9" t="inlineStr">
        <is>
          <t>연동</t>
        </is>
      </c>
      <c r="B19" s="9" t="inlineStr">
        <is>
          <t>70층+ 클리어 시 공성전에서 "심연 오라" 이펙트 (위압감)</t>
        </is>
      </c>
      <c r="C19" s="9" t="inlineStr"/>
      <c r="D19" s="9" t="inlineStr"/>
      <c r="E19" s="9" t="inlineStr"/>
    </row>
  </sheetData>
  <mergeCells count="1">
    <mergeCell ref="A1:E1"/>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4" customWidth="1" min="1" max="1"/>
    <col width="30" customWidth="1" min="2" max="2"/>
    <col width="26" customWidth="1" min="3" max="3"/>
    <col width="16" customWidth="1" min="4" max="4"/>
  </cols>
  <sheetData>
    <row r="1">
      <c r="A1" s="6" t="inlineStr">
        <is>
          <t>무역 동적 경제 시스템</t>
        </is>
      </c>
    </row>
    <row r="3">
      <c r="A3" s="7" t="inlineStr">
        <is>
          <t>시스템</t>
        </is>
      </c>
      <c r="B3" s="7" t="inlineStr">
        <is>
          <t>상세</t>
        </is>
      </c>
      <c r="C3" s="7" t="inlineStr">
        <is>
          <t>예시</t>
        </is>
      </c>
      <c r="D3" s="7" t="inlineStr">
        <is>
          <t>전략 포인트</t>
        </is>
      </c>
    </row>
    <row r="4">
      <c r="A4" s="8" t="inlineStr">
        <is>
          <t>📈 수요/공급</t>
        </is>
      </c>
      <c r="B4" s="8" t="inlineStr">
        <is>
          <t>플레이어 거래량에 따라 가격 실시간 변동</t>
        </is>
      </c>
      <c r="C4" s="8" t="inlineStr">
        <is>
          <t>곡물: 많이 팔면 매도가 하락</t>
        </is>
      </c>
      <c r="D4" s="8" t="inlineStr">
        <is>
          <t>시세 읽기!</t>
        </is>
      </c>
    </row>
    <row r="5">
      <c r="A5" s="9" t="inlineStr">
        <is>
          <t>가격 변동 공식</t>
        </is>
      </c>
      <c r="B5" s="9" t="inlineStr">
        <is>
          <t>매도가 = 기본가 × (1 + 수요계수 - 공급계수)</t>
        </is>
      </c>
      <c r="C5" s="9" t="inlineStr">
        <is>
          <t>수요↑ 가격↑, 공급↑ 가격↓</t>
        </is>
      </c>
      <c r="D5" s="9" t="inlineStr">
        <is>
          <t>경제학 시뮬</t>
        </is>
      </c>
    </row>
    <row r="6">
      <c r="A6" s="8" t="inlineStr">
        <is>
          <t>변동 범위</t>
        </is>
      </c>
      <c r="B6" s="8" t="inlineStr">
        <is>
          <t>기본가의 50% ~ 200%</t>
        </is>
      </c>
      <c r="C6" s="8" t="inlineStr">
        <is>
          <t>곡물 180G 기본 → 90G~360G</t>
        </is>
      </c>
      <c r="D6" s="8" t="inlineStr">
        <is>
          <t>폭등/폭락 가능!</t>
        </is>
      </c>
    </row>
    <row r="7">
      <c r="A7" s="9" t="inlineStr">
        <is>
          <t>갱신 주기</t>
        </is>
      </c>
      <c r="B7" s="9" t="inlineStr">
        <is>
          <t>10분마다 시세 갱신</t>
        </is>
      </c>
      <c r="C7" s="9" t="inlineStr">
        <is>
          <t>서버 전체 거래량 반영</t>
        </is>
      </c>
      <c r="D7" s="9" t="inlineStr">
        <is>
          <t>타이밍 싸움</t>
        </is>
      </c>
    </row>
    <row r="8">
      <c r="A8" s="8" t="inlineStr"/>
      <c r="B8" s="8" t="inlineStr"/>
      <c r="C8" s="8" t="inlineStr"/>
      <c r="D8" s="8" t="inlineStr"/>
    </row>
    <row r="9">
      <c r="A9" s="9" t="inlineStr">
        <is>
          <t>🌍 지역별 시세</t>
        </is>
      </c>
      <c r="B9" s="9" t="inlineStr">
        <is>
          <t>같은 물품도 지역별 가격 다름</t>
        </is>
      </c>
      <c r="C9" s="9" t="inlineStr">
        <is>
          <t>사막에서 곡물 비쌈, 항구에서 쌈</t>
        </is>
      </c>
      <c r="D9" s="9" t="inlineStr">
        <is>
          <t>지역 차익!</t>
        </is>
      </c>
    </row>
    <row r="10">
      <c r="A10" s="8" t="inlineStr">
        <is>
          <t>시세 정보</t>
        </is>
      </c>
      <c r="B10" s="8" t="inlineStr">
        <is>
          <t>시장 시설 보유 시 전 지역 시세 확인</t>
        </is>
      </c>
      <c r="C10" s="8" t="inlineStr">
        <is>
          <t>미보유 시 현재 지역만 확인</t>
        </is>
      </c>
      <c r="D10" s="8" t="inlineStr">
        <is>
          <t>정보가 돈!</t>
        </is>
      </c>
    </row>
    <row r="11">
      <c r="A11" s="9" t="inlineStr">
        <is>
          <t>상인 길드 특권</t>
        </is>
      </c>
      <c r="B11" s="9" t="inlineStr">
        <is>
          <t>전 지역 시세 무조건 확인 + 10분 후 예측치</t>
        </is>
      </c>
      <c r="C11" s="9" t="inlineStr"/>
      <c r="D11" s="9" t="inlineStr">
        <is>
          <t>독점 정보</t>
        </is>
      </c>
    </row>
    <row r="12">
      <c r="A12" s="8" t="inlineStr"/>
      <c r="B12" s="8" t="inlineStr"/>
      <c r="C12" s="8" t="inlineStr"/>
      <c r="D12" s="8" t="inlineStr"/>
    </row>
    <row r="13">
      <c r="A13" s="9" t="inlineStr">
        <is>
          <t>🎲 랜덤 이벤트</t>
        </is>
      </c>
      <c r="B13" s="9" t="inlineStr"/>
      <c r="C13" s="9" t="inlineStr"/>
      <c r="D13" s="9" t="inlineStr"/>
    </row>
    <row r="14">
      <c r="A14" s="8" t="inlineStr">
        <is>
          <t>풍년 🌾</t>
        </is>
      </c>
      <c r="B14" s="8" t="inlineStr">
        <is>
          <t>곡물 공급 2배 → 가격 폭락</t>
        </is>
      </c>
      <c r="C14" s="8" t="inlineStr">
        <is>
          <t>바람개비 곡물 90G로 하락</t>
        </is>
      </c>
      <c r="D14" s="8" t="inlineStr">
        <is>
          <t>다른 물품 매매 전환</t>
        </is>
      </c>
    </row>
    <row r="15">
      <c r="A15" s="9" t="inlineStr">
        <is>
          <t>해적 출몰 🏴‍☠️</t>
        </is>
      </c>
      <c r="B15" s="9" t="inlineStr">
        <is>
          <t>해상 루트 위험도 2배 → 해산물 가격 폭등</t>
        </is>
      </c>
      <c r="C15" s="9" t="inlineStr">
        <is>
          <t>해산물 매도가 500G로 폭등!</t>
        </is>
      </c>
      <c r="D15" s="9" t="inlineStr">
        <is>
          <t>용감한 자의 기회</t>
        </is>
      </c>
    </row>
    <row r="16">
      <c r="A16" s="8" t="inlineStr">
        <is>
          <t>전쟁 특수 ⚔️</t>
        </is>
      </c>
      <c r="B16" s="8" t="inlineStr">
        <is>
          <t>공성전 중 해당 지역 물품 가격 3배</t>
        </is>
      </c>
      <c r="C16" s="8" t="inlineStr">
        <is>
          <t>구름마루 전쟁 → 광석 1,500G</t>
        </is>
      </c>
      <c r="D16" s="8" t="inlineStr">
        <is>
          <t>전쟁 = 장사찬스</t>
        </is>
      </c>
    </row>
    <row r="17">
      <c r="A17" s="9" t="inlineStr">
        <is>
          <t>기근 ☠️</t>
        </is>
      </c>
      <c r="B17" s="9" t="inlineStr">
        <is>
          <t>특정 지역 생산량 0 → 가격 최대치</t>
        </is>
      </c>
      <c r="C17" s="9" t="inlineStr">
        <is>
          <t>신전 마을 기근 → 식량 360G</t>
        </is>
      </c>
      <c r="D17" s="9" t="inlineStr">
        <is>
          <t>긴급 보급 무역</t>
        </is>
      </c>
    </row>
    <row r="18">
      <c r="A18" s="8" t="inlineStr"/>
      <c r="B18" s="8" t="inlineStr"/>
      <c r="C18" s="8" t="inlineStr"/>
      <c r="D18" s="8" t="inlineStr"/>
    </row>
    <row r="19">
      <c r="A19" s="9" t="inlineStr">
        <is>
          <t>💎 선물 경제</t>
        </is>
      </c>
      <c r="B19" s="9" t="inlineStr"/>
      <c r="C19" s="9" t="inlineStr"/>
      <c r="D19" s="9" t="inlineStr"/>
    </row>
    <row r="20">
      <c r="A20" s="8" t="inlineStr">
        <is>
          <t>투기</t>
        </is>
      </c>
      <c r="B20" s="8" t="inlineStr">
        <is>
          <t>가격 하락 시 대량 매입 → 상승 시 매도</t>
        </is>
      </c>
      <c r="C20" s="8" t="inlineStr">
        <is>
          <t>곡물 90G에 100개 매입 → 300G에 매도</t>
        </is>
      </c>
      <c r="D20" s="8" t="inlineStr">
        <is>
          <t>주식 투자 느낌!</t>
        </is>
      </c>
    </row>
    <row r="21">
      <c r="A21" s="9" t="inlineStr">
        <is>
          <t>매점매석</t>
        </is>
      </c>
      <c r="B21" s="9" t="inlineStr">
        <is>
          <t>한 물품 대량 매입 → 공급 부족 → 가격 상승 유도</t>
        </is>
      </c>
      <c r="C21" s="9" t="inlineStr">
        <is>
          <t>보석 50개 독점 → 가격 2배</t>
        </is>
      </c>
      <c r="D21" s="9" t="inlineStr">
        <is>
          <t>거상의 진수!</t>
        </is>
      </c>
    </row>
    <row r="22">
      <c r="A22" s="8" t="inlineStr">
        <is>
          <t>담합 방지</t>
        </is>
      </c>
      <c r="B22" s="8" t="inlineStr">
        <is>
          <t>1인 독점 80% 이상 시 NPC 개입 (강제 방출)</t>
        </is>
      </c>
      <c r="C22" s="8" t="inlineStr"/>
      <c r="D22" s="8" t="inlineStr">
        <is>
          <t>밸런스 유지</t>
        </is>
      </c>
    </row>
  </sheetData>
  <mergeCells count="1">
    <mergeCell ref="A1:D1"/>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6" customWidth="1" min="1" max="1"/>
    <col width="10" customWidth="1" min="2" max="2"/>
    <col width="10" customWidth="1" min="3" max="3"/>
    <col width="38" customWidth="1" min="4" max="4"/>
    <col width="22" customWidth="1" min="5" max="5"/>
    <col width="8" customWidth="1" min="6" max="6"/>
  </cols>
  <sheetData>
    <row r="1">
      <c r="A1" s="6" t="inlineStr">
        <is>
          <t>혈맹 레이드 ��스 (4종)</t>
        </is>
      </c>
    </row>
    <row r="3">
      <c r="A3" s="7" t="inlineStr">
        <is>
          <t>보스</t>
        </is>
      </c>
      <c r="B3" s="7" t="inlineStr">
        <is>
          <t>권장 인원</t>
        </is>
      </c>
      <c r="C3" s="7" t="inlineStr">
        <is>
          <t>HP</t>
        </is>
      </c>
      <c r="D3" s="7" t="inlineStr">
        <is>
          <t>핵심 메카닉</t>
        </is>
      </c>
      <c r="E3" s="7" t="inlineStr">
        <is>
          <t>보상</t>
        </is>
      </c>
      <c r="F3" s="7" t="inlineStr">
        <is>
          <t>주기</t>
        </is>
      </c>
    </row>
    <row r="4">
      <c r="A4" s="8" t="inlineStr">
        <is>
          <t>🐲 고대 화룡 이그니스</t>
        </is>
      </c>
      <c r="B4" s="8" t="inlineStr">
        <is>
          <t>5명</t>
        </is>
      </c>
      <c r="C4" s="8" t="inlineStr">
        <is>
          <t>50,000</t>
        </is>
      </c>
      <c r="D4" s="8" t="inlineStr">
        <is>
          <t>3페이즈: 지상→비행→분노 / 브레스 회피+꼬리 회피+용암 장판</t>
        </is>
      </c>
      <c r="E4" s="8" t="inlineStr">
        <is>
          <t>10,000G/인 + 용린 + 영웅카드 10%</t>
        </is>
      </c>
      <c r="F4" s="8" t="inlineStr">
        <is>
          <t>주 2회</t>
        </is>
      </c>
    </row>
    <row r="5">
      <c r="A5" s="9" t="inlineStr">
        <is>
          <t>1페이즈</t>
        </is>
      </c>
      <c r="B5" s="9" t="inlineStr"/>
      <c r="C5" s="9" t="inlineStr"/>
      <c r="D5" s="9" t="inlineStr">
        <is>
          <t>지상 전투: 꼬리 치기(후방 주의) + 브레스(직선 회피)</t>
        </is>
      </c>
      <c r="E5" s="9" t="inlineStr"/>
      <c r="F5" s="9" t="inlineStr"/>
    </row>
    <row r="6">
      <c r="A6" s="8" t="inlineStr">
        <is>
          <t>2페이즈</t>
        </is>
      </c>
      <c r="B6" s="8" t="inlineStr"/>
      <c r="C6" s="8" t="inlineStr">
        <is>
          <t>HP 50%</t>
        </is>
      </c>
      <c r="D6" s="8" t="inlineStr">
        <is>
          <t>비행: 화염탄 5발 + 착지 충격파, 전방위 장판</t>
        </is>
      </c>
      <c r="E6" s="8" t="inlineStr"/>
      <c r="F6" s="8" t="inlineStr"/>
    </row>
    <row r="7">
      <c r="A7" s="9" t="inlineStr">
        <is>
          <t>3페이즈</t>
        </is>
      </c>
      <c r="B7" s="9" t="inlineStr"/>
      <c r="C7" s="9" t="inlineStr">
        <is>
          <t>HP 20%</t>
        </is>
      </c>
      <c r="D7" s="9" t="inlineStr">
        <is>
          <t>분노: ATK 3배, 모든 패턴 가속, DPS 레���스</t>
        </is>
      </c>
      <c r="E7" s="9" t="inlineStr"/>
      <c r="F7" s="9" t="inlineStr"/>
    </row>
    <row r="8">
      <c r="A8" s="8" t="inlineStr"/>
      <c r="B8" s="8" t="inlineStr"/>
      <c r="C8" s="8" t="inlineStr"/>
      <c r="D8" s="8" t="inlineStr"/>
      <c r="E8" s="8" t="inlineStr"/>
      <c r="F8" s="8" t="inlineStr"/>
    </row>
    <row r="9">
      <c r="A9" s="9" t="inlineStr">
        <is>
          <t>💀 심연의 군주 아바돈</t>
        </is>
      </c>
      <c r="B9" s="9" t="inlineStr">
        <is>
          <t>8명</t>
        </is>
      </c>
      <c r="C9" s="9" t="inlineStr">
        <is>
          <t>120,000</t>
        </is>
      </c>
      <c r="D9" s="9" t="inlineStr">
        <is>
          <t>어둠 페이즈: 시야 0, 소리로 위치 판단 / 그림자 분신 4체</t>
        </is>
      </c>
      <c r="E9" s="9" t="inlineStr">
        <is>
          <t>30,000G/인 + 각성석 + 전설카드 5%</t>
        </is>
      </c>
      <c r="F9" s="9" t="inlineStr">
        <is>
          <t>주 1회</t>
        </is>
      </c>
    </row>
    <row r="10">
      <c r="A10" s="8" t="inlineStr">
        <is>
          <t>핵심 메카닉</t>
        </is>
      </c>
      <c r="B10" s="8" t="inlineStr"/>
      <c r="C10" s="8" t="inlineStr"/>
      <c r="D10" s="8" t="inlineStr">
        <is>
          <t>진짜 본체 공격 필수, 분신 공격 시 반사 데미지</t>
        </is>
      </c>
      <c r="E10" s="8" t="inlineStr"/>
      <c r="F10" s="8" t="inlineStr"/>
    </row>
    <row r="11">
      <c r="A11" s="9" t="inlineStr">
        <is>
          <t>협동 필수</t>
        </is>
      </c>
      <c r="B11" s="9" t="inlineStr"/>
      <c r="C11" s="9" t="inlineStr"/>
      <c r="D11" s="9" t="inlineStr">
        <is>
          <t>힐러: 어둠 해제 / 탱커: 분신 유인 / 딜러: 본체 집중</t>
        </is>
      </c>
      <c r="E11" s="9" t="inlineStr"/>
      <c r="F11" s="9" t="inlineStr"/>
    </row>
    <row r="12">
      <c r="A12" s="8" t="inlineStr"/>
      <c r="B12" s="8" t="inlineStr"/>
      <c r="C12" s="8" t="inlineStr"/>
      <c r="D12" s="8" t="inlineStr"/>
      <c r="E12" s="8" t="inlineStr"/>
      <c r="F12" s="8" t="inlineStr"/>
    </row>
    <row r="13">
      <c r="A13" s="9" t="inlineStr">
        <is>
          <t>🌳 세계수 수호자</t>
        </is>
      </c>
      <c r="B13" s="9" t="inlineStr">
        <is>
          <t>10명</t>
        </is>
      </c>
      <c r="C13" s="9" t="inlineStr">
        <is>
          <t>200,000</t>
        </is>
      </c>
      <c r="D13" s="9" t="inlineStr">
        <is>
          <t>치유 페이즈: 보스가 30초마다 HP 20% 자힐 / 뿌리 속박 회피 / 열매 먹으면 버프</t>
        </is>
      </c>
      <c r="E13" s="9" t="inlineStr">
        <is>
          <t>50,000G/인 + 세계수 잎 + 신화재료 3%</t>
        </is>
      </c>
      <c r="F13" s="9" t="inlineStr">
        <is>
          <t>주 1회</t>
        </is>
      </c>
    </row>
    <row r="14">
      <c r="A14" s="8" t="inlineStr">
        <is>
          <t>핵심 메카닉</t>
        </is>
      </c>
      <c r="B14" s="8" t="inlineStr"/>
      <c r="C14" s="8" t="inlineStr"/>
      <c r="D14" s="8" t="inlineStr">
        <is>
          <t>자힐 막기: 뿌리 4개 동시 파괴 (4명 분산) 시 자힐 차단</t>
        </is>
      </c>
      <c r="E14" s="8" t="inlineStr"/>
      <c r="F14" s="8" t="inlineStr"/>
    </row>
    <row r="15">
      <c r="A15" s="9" t="inlineStr"/>
      <c r="B15" s="9" t="inlineStr"/>
      <c r="C15" s="9" t="inlineStr"/>
      <c r="D15" s="9" t="inlineStr"/>
      <c r="E15" s="9" t="inlineStr"/>
      <c r="F15" s="9" t="inlineStr"/>
    </row>
    <row r="16">
      <c r="A16" s="8" t="inlineStr">
        <is>
          <t>⚡ 천둥 신 토르</t>
        </is>
      </c>
      <c r="B16" s="8" t="inlineStr">
        <is>
          <t>15명 (최대)</t>
        </is>
      </c>
      <c r="C16" s="8" t="inlineStr">
        <is>
          <t>500,000</t>
        </is>
      </c>
      <c r="D16" s="8" t="inlineStr">
        <is>
          <t>번개 체인: 뭉치면 연쇄 피해 / 망치 투척: 추적형 / 천둥 폭풍: 전체</t>
        </is>
      </c>
      <c r="E16" s="8" t="inlineStr">
        <is>
          <t>100,000G/인 + 신화재료 10% + 초월재료 1%</t>
        </is>
      </c>
      <c r="F16" s="8" t="inlineStr">
        <is>
          <t>월 1회</t>
        </is>
      </c>
    </row>
    <row r="17">
      <c r="A17" s="9" t="inlineStr">
        <is>
          <t>핵심 메카닉</t>
        </is>
      </c>
      <c r="B17" s="9" t="inlineStr"/>
      <c r="C17" s="9" t="inlineStr"/>
      <c r="D17" s="9" t="inlineStr">
        <is>
          <t>분산 필수 + 망치 유인역 필요 + 폭풍 타이밍에 보호막</t>
        </is>
      </c>
      <c r="E17" s="9" t="inlineStr"/>
      <c r="F17" s="9" t="inlineStr"/>
    </row>
    <row r="18">
      <c r="A18" s="8" t="inlineStr">
        <is>
          <t>MVP 추가 보상</t>
        </is>
      </c>
      <c r="B18" s="8" t="inlineStr"/>
      <c r="C18" s="8" t="inlineStr"/>
      <c r="D18" s="8" t="inlineStr">
        <is>
          <t>최다 데미지: 보상 2배 / 최다 힐: 각성석 추가 / 생존: 경험치 2배</t>
        </is>
      </c>
      <c r="E18" s="8" t="inlineStr"/>
      <c r="F18" s="8" t="inlineStr"/>
    </row>
    <row r="19">
      <c r="A19" s="9" t="inlineStr"/>
      <c r="B19" s="9" t="inlineStr"/>
      <c r="C19" s="9" t="inlineStr"/>
      <c r="D19" s="9" t="inlineStr"/>
      <c r="E19" s="9" t="inlineStr"/>
      <c r="F19" s="9" t="inlineStr"/>
    </row>
    <row r="20">
      <c r="A20" s="8" t="inlineStr">
        <is>
          <t>레이드 규칙</t>
        </is>
      </c>
      <c r="B20" s="8" t="inlineStr">
        <is>
          <t>사망 시 부활 불가, 남은 인원으로 클리어</t>
        </is>
      </c>
      <c r="C20" s="8" t="inlineStr"/>
      <c r="D20" s="8" t="inlineStr"/>
      <c r="E20" s="8" t="inlineStr"/>
      <c r="F20" s="8" t="inlineStr"/>
    </row>
    <row r="21">
      <c r="A21" s="9" t="inlineStr">
        <is>
          <t>레이드 난이도</t>
        </is>
      </c>
      <c r="B21" s="9" t="inlineStr">
        <is>
          <t>일반/영웅/전설 3단계 (보상 1/2/5배)</t>
        </is>
      </c>
      <c r="C21" s="9" t="inlineStr"/>
      <c r="D21" s="9" t="inlineStr"/>
      <c r="E21" s="9" t="inlineStr"/>
      <c r="F21" s="9" t="inlineStr"/>
    </row>
  </sheetData>
  <mergeCells count="1">
    <mergeCell ref="A1:F1"/>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6" customWidth="1" min="1" max="1"/>
    <col width="34" customWidth="1" min="2" max="2"/>
    <col width="26" customWidth="1" min="3" max="3"/>
    <col width="14" customWidth="1" min="4" max="4"/>
  </cols>
  <sheetData>
    <row r="1">
      <c r="A1" s="6" t="inlineStr">
        <is>
          <t>PvP 아레나 시즌 랭크</t>
        </is>
      </c>
    </row>
    <row r="3">
      <c r="A3" s="7" t="inlineStr">
        <is>
          <t>시스템</t>
        </is>
      </c>
      <c r="B3" s="7" t="inlineStr">
        <is>
          <t>상세</t>
        </is>
      </c>
      <c r="C3" s="7" t="inlineStr">
        <is>
          <t>보상</t>
        </is>
      </c>
      <c r="D3" s="7" t="inlineStr">
        <is>
          <t>재미 포인트</t>
        </is>
      </c>
    </row>
    <row r="4">
      <c r="A4" s="8" t="inlineStr">
        <is>
          <t>🏟️ 아레나 규칙</t>
        </is>
      </c>
      <c r="B4" s="8" t="inlineStr">
        <is>
          <t>자신 + 용병 파티 6명 vs 상대 + 용병 파티 6명</t>
        </is>
      </c>
      <c r="C4" s="8" t="inlineStr"/>
      <c r="D4" s="8" t="inlineStr">
        <is>
          <t>용병 키운 보람!</t>
        </is>
      </c>
    </row>
    <row r="5">
      <c r="A5" s="9" t="inlineStr">
        <is>
          <t>매칭</t>
        </is>
      </c>
      <c r="B5" s="9" t="inlineStr">
        <is>
          <t>전투력 ± 20% 범위 내 랭크 매칭</t>
        </is>
      </c>
      <c r="C5" s="9" t="inlineStr"/>
      <c r="D5" s="9" t="inlineStr">
        <is>
          <t>공정한 대전</t>
        </is>
      </c>
    </row>
    <row r="6">
      <c r="A6" s="8" t="inlineStr">
        <is>
          <t>전투 방식</t>
        </is>
      </c>
      <c r="B6" s="8" t="inlineStr">
        <is>
          <t>IO 방식 이동 + 오토배틀, 2분 제한</t>
        </is>
      </c>
      <c r="C6" s="8" t="inlineStr"/>
      <c r="D6" s="8" t="inlineStr">
        <is>
          <t>실시간 PvP</t>
        </is>
      </c>
    </row>
    <row r="7">
      <c r="A7" s="9" t="inlineStr">
        <is>
          <t>승리 조건</t>
        </is>
      </c>
      <c r="B7" s="9" t="inlineStr">
        <is>
          <t>상대 본체 처치 or 2분 후 HP 비율 높은 쪽</t>
        </is>
      </c>
      <c r="C7" s="9" t="inlineStr"/>
      <c r="D7" s="9" t="inlineStr"/>
    </row>
    <row r="8">
      <c r="A8" s="8" t="inlineStr"/>
      <c r="B8" s="8" t="inlineStr"/>
      <c r="C8" s="8" t="inlineStr"/>
      <c r="D8" s="8" t="inlineStr"/>
    </row>
    <row r="9">
      <c r="A9" s="9" t="inlineStr">
        <is>
          <t>🏅 랭크 시스템</t>
        </is>
      </c>
      <c r="B9" s="9" t="inlineStr"/>
      <c r="C9" s="9" t="inlineStr"/>
      <c r="D9" s="9" t="inlineStr"/>
    </row>
    <row r="10">
      <c r="A10" s="8" t="inlineStr">
        <is>
          <t>🥉 브론즈</t>
        </is>
      </c>
      <c r="B10" s="8" t="inlineStr">
        <is>
          <t>0~999점, 승리 +30 / 패배 -10</t>
        </is>
      </c>
      <c r="C10" s="8" t="inlineStr">
        <is>
          <t>시즌 종료: 3,000G + 10💎</t>
        </is>
      </c>
      <c r="D10" s="8" t="inlineStr">
        <is>
          <t>초보 구간</t>
        </is>
      </c>
    </row>
    <row r="11">
      <c r="A11" s="9" t="inlineStr">
        <is>
          <t>🥈 실버</t>
        </is>
      </c>
      <c r="B11" s="9" t="inlineStr">
        <is>
          <t>1000~1999점, 승리 +25 / 패배 -15</t>
        </is>
      </c>
      <c r="C11" s="9" t="inlineStr">
        <is>
          <t>시즌 종료: 8,000G + 30💎</t>
        </is>
      </c>
      <c r="D11" s="9" t="inlineStr">
        <is>
          <t>중급 구간</t>
        </is>
      </c>
    </row>
    <row r="12">
      <c r="A12" s="8" t="inlineStr">
        <is>
          <t>🥇 골드</t>
        </is>
      </c>
      <c r="B12" s="8" t="inlineStr">
        <is>
          <t>2000~2999점, 승리 +20 / 패배 -18</t>
        </is>
      </c>
      <c r="C12" s="8" t="inlineStr">
        <is>
          <t>시즌 종료: 20,000G + 60💎 + 스킨</t>
        </is>
      </c>
      <c r="D12" s="8" t="inlineStr">
        <is>
          <t>상급 구간</t>
        </is>
      </c>
    </row>
    <row r="13">
      <c r="A13" s="9" t="inlineStr">
        <is>
          <t>💎 다이아</t>
        </is>
      </c>
      <c r="B13" s="9" t="inlineStr">
        <is>
          <t>3000~3999점, 승리 +15 / 패배 -20</t>
        </is>
      </c>
      <c r="C13" s="9" t="inlineStr">
        <is>
          <t>시즌 종료: 50,000G + 100💎 + 칭호</t>
        </is>
      </c>
      <c r="D13" s="9" t="inlineStr">
        <is>
          <t>고수 구간</t>
        </is>
      </c>
    </row>
    <row r="14">
      <c r="A14" s="8" t="inlineStr">
        <is>
          <t>👑 마스터</t>
        </is>
      </c>
      <c r="B14" s="8" t="inlineStr">
        <is>
          <t>4000+점, 승리 +10 / 패배 -25</t>
        </is>
      </c>
      <c r="C14" s="8" t="inlineStr">
        <is>
          <t>시즌 종료: 100,000G + 200💎 + 전용 프레임</t>
        </is>
      </c>
      <c r="D14" s="8" t="inlineStr">
        <is>
          <t>최강자 구간</t>
        </is>
      </c>
    </row>
    <row r="15">
      <c r="A15" s="9" t="inlineStr">
        <is>
          <t>🌟 전설 (상위 10명)</t>
        </is>
      </c>
      <c r="B15" s="9" t="inlineStr">
        <is>
          <t>마스터 중 TOP 10</t>
        </is>
      </c>
      <c r="C15" s="9" t="inlineStr">
        <is>
          <t>+ 전설 용병 선택권 + "전설의 투사" 칭호</t>
        </is>
      </c>
      <c r="D15" s="9" t="inlineStr">
        <is>
          <t>서버 최강!</t>
        </is>
      </c>
    </row>
    <row r="16">
      <c r="A16" s="8" t="inlineStr"/>
      <c r="B16" s="8" t="inlineStr"/>
      <c r="C16" s="8" t="inlineStr"/>
      <c r="D16" s="8" t="inlineStr"/>
    </row>
    <row r="17">
      <c r="A17" s="9" t="inlineStr">
        <is>
          <t>📅 시즌</t>
        </is>
      </c>
      <c r="B17" s="9" t="inlineStr">
        <is>
          <t>3개월 단위, 시즌 종료 시 랭크 -500점 리셋</t>
        </is>
      </c>
      <c r="C17" s="9" t="inlineStr"/>
      <c r="D17" s="9" t="inlineStr"/>
    </row>
    <row r="18">
      <c r="A18" s="8" t="inlineStr">
        <is>
          <t>일일 제한</t>
        </is>
      </c>
      <c r="B18" s="8" t="inlineStr">
        <is>
          <t>하루 20회 (무료 5회 + 아레나 티켓 15회)</t>
        </is>
      </c>
      <c r="C18" s="8" t="inlineStr"/>
      <c r="D18" s="8" t="inlineStr">
        <is>
          <t>과도한 경쟁 방지</t>
        </is>
      </c>
    </row>
    <row r="19">
      <c r="A19" s="9" t="inlineStr">
        <is>
          <t>밴 시스템</t>
        </is>
      </c>
      <c r="B19" s="9" t="inlineStr">
        <is>
          <t>양측 각 1명 용병 밴 가능 (상대 용병 사용 금지)</t>
        </is>
      </c>
      <c r="C19" s="9" t="inlineStr"/>
      <c r="D19" s="9" t="inlineStr">
        <is>
          <t>전략적 밴 픽!</t>
        </is>
      </c>
    </row>
    <row r="20">
      <c r="A20" s="8" t="inlineStr">
        <is>
          <t>관전 모드</t>
        </is>
      </c>
      <c r="B20" s="8" t="inlineStr">
        <is>
          <t>진행 중인 아레나 실시간 관전 가능</t>
        </is>
      </c>
      <c r="C20" s="8" t="inlineStr"/>
      <c r="D20" s="8" t="inlineStr">
        <is>
          <t>구경 재미</t>
        </is>
      </c>
    </row>
  </sheetData>
  <mergeCells count="1">
    <mergeCell ref="A1:D1"/>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2" customWidth="1" min="1" max="1"/>
    <col width="16" customWidth="1" min="2" max="2"/>
    <col width="16" customWidth="1" min="3" max="3"/>
    <col width="22" customWidth="1" min="4" max="4"/>
    <col width="22" customWidth="1" min="5" max="5"/>
  </cols>
  <sheetData>
    <row r="1">
      <c r="A1" s="6" t="inlineStr">
        <is>
          <t>용병 스킨 &amp; 코스튬 시스템</t>
        </is>
      </c>
    </row>
    <row r="3">
      <c r="A3" s="7" t="inlineStr">
        <is>
          <t>카테고리</t>
        </is>
      </c>
      <c r="B3" s="7" t="inlineStr">
        <is>
          <t>스킨명</t>
        </is>
      </c>
      <c r="C3" s="7" t="inlineStr">
        <is>
          <t>적용 용병</t>
        </is>
      </c>
      <c r="D3" s="7" t="inlineStr">
        <is>
          <t>획득 방법</t>
        </is>
      </c>
      <c r="E3" s="7" t="inlineStr">
        <is>
          <t>효���</t>
        </is>
      </c>
    </row>
    <row r="4">
      <c r="A4" s="8" t="inlineStr">
        <is>
          <t>🎨 기본 스킨</t>
        </is>
      </c>
      <c r="B4" s="8" t="inlineStr">
        <is>
          <t>원본 외형</t>
        </is>
      </c>
      <c r="C4" s="8" t="inlineStr">
        <is>
          <t>모든 용병</t>
        </is>
      </c>
      <c r="D4" s="8" t="inlineStr">
        <is>
          <t>기본 보유</t>
        </is>
      </c>
      <c r="E4" s="8" t="inlineStr">
        <is>
          <t>없음 (기본)</t>
        </is>
      </c>
    </row>
    <row r="5">
      <c r="A5" s="9" t="inlineStr"/>
      <c r="B5" s="9" t="inlineStr"/>
      <c r="C5" s="9" t="inlineStr"/>
      <c r="D5" s="9" t="inlineStr"/>
      <c r="E5" s="9" t="inlineStr"/>
    </row>
    <row r="6">
      <c r="A6" s="8" t="inlineStr">
        <is>
          <t>🌸 시즌 한정</t>
        </is>
      </c>
      <c r="B6" s="8" t="inlineStr">
        <is>
          <t>벚꽃 기사</t>
        </is>
      </c>
      <c r="C6" s="8" t="inlineStr">
        <is>
          <t>기사/성기사</t>
        </is>
      </c>
      <c r="D6" s="8" t="inlineStr">
        <is>
          <t>봄 시즌 배틀패스 Lv.10</t>
        </is>
      </c>
      <c r="E6" s="8" t="inlineStr">
        <is>
          <t>이펙트: 벚꽃 파티클</t>
        </is>
      </c>
    </row>
    <row r="7">
      <c r="A7" s="9" t="inlineStr"/>
      <c r="B7" s="9" t="inlineStr">
        <is>
          <t>빙하의 여왕</t>
        </is>
      </c>
      <c r="C7" s="9" t="inlineStr">
        <is>
          <t>서리 여왕</t>
        </is>
      </c>
      <c r="D7" s="9" t="inlineStr">
        <is>
          <t>겨울 시즌 배틀패스 Lv.25</t>
        </is>
      </c>
      <c r="E7" s="9" t="inlineStr">
        <is>
          <t>이펙트: 눈보라 오라</t>
        </is>
      </c>
    </row>
    <row r="8">
      <c r="A8" s="8" t="inlineStr"/>
      <c r="B8" s="8" t="inlineStr">
        <is>
          <t>할로윈 마왕</t>
        </is>
      </c>
      <c r="C8" s="8" t="inlineStr">
        <is>
          <t>마왕</t>
        </is>
      </c>
      <c r="D8" s="8" t="inlineStr">
        <is>
          <t>10월 이벤트 한정</t>
        </is>
      </c>
      <c r="E8" s="8" t="inlineStr">
        <is>
          <t>이펙트: 호박 이펙트</t>
        </is>
      </c>
    </row>
    <row r="9">
      <c r="A9" s="9" t="inlineStr"/>
      <c r="B9" s="9" t="inlineStr">
        <is>
          <t>신년 바하무트</t>
        </is>
      </c>
      <c r="C9" s="9" t="inlineStr">
        <is>
          <t>바하무트</t>
        </is>
      </c>
      <c r="D9" s="9" t="inlineStr">
        <is>
          <t>1월 이벤트 한정</t>
        </is>
      </c>
      <c r="E9" s="9" t="inlineStr">
        <is>
          <t>이펙트: 금빛 용 오라</t>
        </is>
      </c>
    </row>
    <row r="10">
      <c r="A10" s="8" t="inlineStr"/>
      <c r="B10" s="8" t="inlineStr"/>
      <c r="C10" s="8" t="inlineStr"/>
      <c r="D10" s="8" t="inlineStr"/>
      <c r="E10" s="8" t="inlineStr"/>
    </row>
    <row r="11">
      <c r="A11" s="9" t="inlineStr">
        <is>
          <t>🏆 업적 스킨</t>
        </is>
      </c>
      <c r="B11" s="9" t="inlineStr">
        <is>
          <t>핏빛 암살자</t>
        </is>
      </c>
      <c r="C11" s="9" t="inlineStr">
        <is>
          <t>암살자</t>
        </is>
      </c>
      <c r="D11" s="9" t="inlineStr">
        <is>
          <t>PvP 아레나 다이아 달성</t>
        </is>
      </c>
      <c r="E11" s="9" t="inlineStr">
        <is>
          <t>이펙트: 핏빛 잔상</t>
        </is>
      </c>
    </row>
    <row r="12">
      <c r="A12" s="8" t="inlineStr"/>
      <c r="B12" s="8" t="inlineStr">
        <is>
          <t>심연의 기사</t>
        </is>
      </c>
      <c r="C12" s="8" t="inlineStr">
        <is>
          <t>드래곤나이트</t>
        </is>
      </c>
      <c r="D12" s="8" t="inlineStr">
        <is>
          <t>심연의 탑 100층 클리어</t>
        </is>
      </c>
      <c r="E12" s="8" t="inlineStr">
        <is>
          <t>이펙트: 심연의 오라</t>
        </is>
      </c>
    </row>
    <row r="13">
      <c r="A13" s="9" t="inlineStr"/>
      <c r="B13" s="9" t="inlineStr">
        <is>
          <t>거상의 의상</t>
        </is>
      </c>
      <c r="C13" s="9" t="inlineStr">
        <is>
          <t>전 용병 공용</t>
        </is>
      </c>
      <c r="D13" s="9" t="inlineStr">
        <is>
          <t>무역왕 칭호 획득</t>
        </is>
      </c>
      <c r="E13" s="9" t="inlineStr">
        <is>
          <t>이펙트: 황금 코인 파티클</t>
        </is>
      </c>
    </row>
    <row r="14">
      <c r="A14" s="8" t="inlineStr"/>
      <c r="B14" s="8" t="inlineStr">
        <is>
          <t>전쟁 영웅</t>
        </is>
      </c>
      <c r="C14" s="8" t="inlineStr">
        <is>
          <t>전 용병 공용</t>
        </is>
      </c>
      <c r="D14" s="8" t="inlineStr">
        <is>
          <t>공성전 50승</t>
        </is>
      </c>
      <c r="E14" s="8" t="inlineStr">
        <is>
          <t>이펙트: 전장의 깃발</t>
        </is>
      </c>
    </row>
    <row r="15">
      <c r="A15" s="9" t="inlineStr"/>
      <c r="B15" s="9" t="inlineStr"/>
      <c r="C15" s="9" t="inlineStr"/>
      <c r="D15" s="9" t="inlineStr"/>
      <c r="E15" s="9" t="inlineStr"/>
    </row>
    <row r="16">
      <c r="A16" s="8" t="inlineStr">
        <is>
          <t>💎 프리미엄 스킨</t>
        </is>
      </c>
      <c r="B16" s="8" t="inlineStr">
        <is>
          <t>천사의 갑옷</t>
        </is>
      </c>
      <c r="C16" s="8" t="inlineStr">
        <is>
          <t>성기사/천상의 기사</t>
        </is>
      </c>
      <c r="D16" s="8" t="inlineStr">
        <is>
          <t>300💎</t>
        </is>
      </c>
      <c r="E16" s="8" t="inlineStr">
        <is>
          <t>이펙트 변경 + 스킬 연출 변경</t>
        </is>
      </c>
    </row>
    <row r="17">
      <c r="A17" s="9" t="inlineStr"/>
      <c r="B17" s="9" t="inlineStr">
        <is>
          <t>어둠의 날개</t>
        </is>
      </c>
      <c r="C17" s="9" t="inlineStr">
        <is>
          <t>죽음의 기사</t>
        </is>
      </c>
      <c r="D17" s="9" t="inlineStr">
        <is>
          <t>300💎</t>
        </is>
      </c>
      <c r="E17" s="9" t="inlineStr">
        <is>
          <t>이펙트 변경 + 스킬 연출 변경</t>
        </is>
      </c>
    </row>
    <row r="18">
      <c r="A18" s="8" t="inlineStr"/>
      <c r="B18" s="8" t="inlineStr">
        <is>
          <t>드래곤 황제</t>
        </is>
      </c>
      <c r="C18" s="8" t="inlineStr">
        <is>
          <t>바하무트</t>
        </is>
      </c>
      <c r="D18" s="8" t="inlineStr">
        <is>
          <t>500💎</t>
        </is>
      </c>
      <c r="E18" s="8" t="inlineStr">
        <is>
          <t>완전 리모델링 + 전용 궁극기 연출</t>
        </is>
      </c>
    </row>
    <row r="19">
      <c r="A19" s="9" t="inlineStr"/>
      <c r="B19" s="9" t="inlineStr"/>
      <c r="C19" s="9" t="inlineStr"/>
      <c r="D19" s="9" t="inlineStr"/>
      <c r="E19" s="9" t="inlineStr"/>
    </row>
    <row r="20">
      <c r="A20" s="8" t="inlineStr">
        <is>
          <t>🏰 성 스킨</t>
        </is>
      </c>
      <c r="B20" s="8" t="inlineStr">
        <is>
          <t>봄의 성</t>
        </is>
      </c>
      <c r="C20" s="8" t="inlineStr">
        <is>
          <t>성 외관</t>
        </is>
      </c>
      <c r="D20" s="8" t="inlineStr">
        <is>
          <t>배틀패스 Lv.25</t>
        </is>
      </c>
      <c r="E20" s="8" t="inlineStr">
        <is>
          <t>벚꽃 + 정원 외관</t>
        </is>
      </c>
    </row>
    <row r="21">
      <c r="A21" s="9" t="inlineStr"/>
      <c r="B21" s="9" t="inlineStr">
        <is>
          <t>얼음 성</t>
        </is>
      </c>
      <c r="C21" s="9" t="inlineStr">
        <is>
          <t>성 외관</t>
        </is>
      </c>
      <c r="D21" s="9" t="inlineStr">
        <is>
          <t>겨울 시즌 완주</t>
        </is>
      </c>
      <c r="E21" s="9" t="inlineStr">
        <is>
          <t>빙하 + 눈꽃 외관</t>
        </is>
      </c>
    </row>
    <row r="22">
      <c r="A22" s="8" t="inlineStr"/>
      <c r="B22" s="8" t="inlineStr">
        <is>
          <t>마왕의 성</t>
        </is>
      </c>
      <c r="C22" s="8" t="inlineStr">
        <is>
          <t>성 외관</t>
        </is>
      </c>
      <c r="D22" s="8" t="inlineStr">
        <is>
          <t>심연의 탑 80층</t>
        </is>
      </c>
      <c r="E22" s="8" t="inlineStr">
        <is>
          <t>암흑 + 용암 외관</t>
        </is>
      </c>
    </row>
    <row r="23">
      <c r="A23" s="9" t="inlineStr"/>
      <c r="B23" s="9" t="inlineStr">
        <is>
          <t>하늘의 성</t>
        </is>
      </c>
      <c r="C23" s="9" t="inlineStr">
        <is>
          <t>성 외관</t>
        </is>
      </c>
      <c r="D23" s="9" t="inlineStr">
        <is>
          <t>500💎</t>
        </is>
      </c>
      <c r="E23" s="9" t="inlineStr">
        <is>
          <t>구름 위 부유 성 외관</t>
        </is>
      </c>
    </row>
    <row r="24">
      <c r="A24" s="8" t="inlineStr"/>
      <c r="B24" s="8" t="inlineStr"/>
      <c r="C24" s="8" t="inlineStr"/>
      <c r="D24" s="8" t="inlineStr"/>
      <c r="E24" s="8" t="inlineStr"/>
    </row>
    <row r="25">
      <c r="A25" s="9" t="inlineStr">
        <is>
          <t>규칙</t>
        </is>
      </c>
      <c r="B25" s="9" t="inlineStr">
        <is>
          <t>스킨은 순수 외형, 스탯 영향 없음</t>
        </is>
      </c>
      <c r="C25" s="9" t="inlineStr"/>
      <c r="D25" s="9" t="inlineStr"/>
      <c r="E25" s="9" t="inlineStr">
        <is>
          <t>밸런스 보호</t>
        </is>
      </c>
    </row>
    <row r="26">
      <c r="A26" s="8" t="inlineStr">
        <is>
          <t>수집 보상</t>
        </is>
      </c>
      <c r="B26" s="8" t="inlineStr">
        <is>
          <t>스킨 10/20/30개 수집 시 프로필 프레임 보상</t>
        </is>
      </c>
      <c r="C26" s="8" t="inlineStr"/>
      <c r="D26" s="8" t="inlineStr"/>
      <c r="E26" s="8" t="inlineStr">
        <is>
          <t>컬렉션 욕구</t>
        </is>
      </c>
    </row>
  </sheetData>
  <mergeCells count="1">
    <mergeCell ref="A1:E1"/>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6" customWidth="1" min="1" max="1"/>
    <col width="6" customWidth="1" min="2" max="2"/>
    <col width="32" customWidth="1" min="3" max="3"/>
    <col width="24" customWidth="1" min="4" max="4"/>
    <col width="14" customWidth="1" min="5" max="5"/>
  </cols>
  <sheetData>
    <row r="1">
      <c r="A1" s="6" t="inlineStr">
        <is>
          <t>초보자 튜토리얼 흐름 (10단계)</t>
        </is>
      </c>
    </row>
    <row r="3">
      <c r="A3" s="7" t="inlineStr">
        <is>
          <t>단계</t>
        </is>
      </c>
      <c r="B3" s="7" t="inlineStr">
        <is>
          <t>시간</t>
        </is>
      </c>
      <c r="C3" s="7" t="inlineStr">
        <is>
          <t>내용</t>
        </is>
      </c>
      <c r="D3" s="7" t="inlineStr">
        <is>
          <t>보상</t>
        </is>
      </c>
      <c r="E3" s="7" t="inlineStr">
        <is>
          <t>목표</t>
        </is>
      </c>
    </row>
    <row r="4">
      <c r="A4" s="8" t="inlineStr">
        <is>
          <t>1. 첫 IO 매치</t>
        </is>
      </c>
      <c r="B4" s="8" t="inlineStr">
        <is>
          <t>2분</t>
        </is>
      </c>
      <c r="C4" s="8" t="inlineStr">
        <is>
          <t>조작법 학습 — WASD 이동, 자동 전투, 무기 선택</t>
        </is>
      </c>
      <c r="D4" s="8" t="inlineStr">
        <is>
          <t>300G + 보병 카드 ×3</t>
        </is>
      </c>
      <c r="E4" s="8" t="inlineStr">
        <is>
          <t>IO 기본 이해</t>
        </is>
      </c>
    </row>
    <row r="5">
      <c r="A5" s="9" t="inlineStr">
        <is>
          <t>2. 무기 익히기</t>
        </is>
      </c>
      <c r="B5" s="9" t="inlineStr">
        <is>
          <t>3분</t>
        </is>
      </c>
      <c r="C5" s="9" t="inlineStr">
        <is>
          <t>무기 중첩 시스템, 레벨업 선택지 설명</t>
        </is>
      </c>
      <c r="D5" s="9" t="inlineStr">
        <is>
          <t>500G + 궁수 카드 ×2</t>
        </is>
      </c>
      <c r="E5" s="9" t="inlineStr">
        <is>
          <t>성장 시스템 이해</t>
        </is>
      </c>
    </row>
    <row r="6">
      <c r="A6" s="8" t="inlineStr">
        <is>
          <t>3. 첫 보스전</t>
        </is>
      </c>
      <c r="B6" s="8" t="inlineStr">
        <is>
          <t>3분</t>
        </is>
      </c>
      <c r="C6" s="8" t="inlineStr">
        <is>
          <t>보스 패턴 회피, 협동 전투 체험</t>
        </is>
      </c>
      <c r="D6" s="8" t="inlineStr">
        <is>
          <t>1,000G + 수습 사제 카드</t>
        </is>
      </c>
      <c r="E6" s="8" t="inlineStr">
        <is>
          <t>보스 메카닉 이해</t>
        </is>
      </c>
    </row>
    <row r="7">
      <c r="A7" s="9" t="inlineStr"/>
      <c r="B7" s="9" t="inlineStr"/>
      <c r="C7" s="9" t="inlineStr"/>
      <c r="D7" s="9" t="inlineStr"/>
      <c r="E7" s="9" t="inlineStr"/>
    </row>
    <row r="8">
      <c r="A8" s="8" t="inlineStr">
        <is>
          <t>4. SLG 진입</t>
        </is>
      </c>
      <c r="B8" s="8" t="inlineStr">
        <is>
          <t>2분</t>
        </is>
      </c>
      <c r="C8" s="8" t="inlineStr">
        <is>
          <t>성 소개, 시설 건설 튜토리얼</t>
        </is>
      </c>
      <c r="D8" s="8" t="inlineStr">
        <is>
          <t>캠프 + 병영 즉시 건설</t>
        </is>
      </c>
      <c r="E8" s="8" t="inlineStr">
        <is>
          <t>SLG 화면 이해</t>
        </is>
      </c>
    </row>
    <row r="9">
      <c r="A9" s="9" t="inlineStr">
        <is>
          <t>5. 용병 관리</t>
        </is>
      </c>
      <c r="B9" s="9" t="inlineStr">
        <is>
          <t>3분</t>
        </is>
      </c>
      <c r="C9" s="9" t="inlineStr">
        <is>
          <t>용병 레벨업, 파티 편성, 전투력 개념</t>
        </is>
      </c>
      <c r="D9" s="9" t="inlineStr">
        <is>
          <t>기사 카드 ×1 + 2,000G</t>
        </is>
      </c>
      <c r="E9" s="9" t="inlineStr">
        <is>
          <t>용병 시스템 이해</t>
        </is>
      </c>
    </row>
    <row r="10">
      <c r="A10" s="8" t="inlineStr">
        <is>
          <t>6. 첫 무역</t>
        </is>
      </c>
      <c r="B10" s="8" t="inlineStr">
        <is>
          <t>3분</t>
        </is>
      </c>
      <c r="C10" s="8" t="inlineStr">
        <is>
          <t>무역 루트 선택, 이동, 매도 체험</t>
        </is>
      </c>
      <c r="D10" s="8" t="inlineStr">
        <is>
          <t>무역 이윤 + 마차 제공</t>
        </is>
      </c>
      <c r="E10" s="8" t="inlineStr">
        <is>
          <t>무역 시스템 이해</t>
        </is>
      </c>
    </row>
    <row r="11">
      <c r="A11" s="9" t="inlineStr"/>
      <c r="B11" s="9" t="inlineStr"/>
      <c r="C11" s="9" t="inlineStr"/>
      <c r="D11" s="9" t="inlineStr"/>
      <c r="E11" s="9" t="inlineStr"/>
    </row>
    <row r="12">
      <c r="A12" s="8" t="inlineStr">
        <is>
          <t>7. 첫 소환</t>
        </is>
      </c>
      <c r="B12" s="8" t="inlineStr">
        <is>
          <t>1분</t>
        </is>
      </c>
      <c r="C12" s="8" t="inlineStr">
        <is>
          <t>가챠 체험 (확정 고급+ 제공)</t>
        </is>
      </c>
      <c r="D12" s="8" t="inlineStr">
        <is>
          <t>고급 용병 확정 1체</t>
        </is>
      </c>
      <c r="E12" s="8" t="inlineStr">
        <is>
          <t>소환 시스템 이해</t>
        </is>
      </c>
    </row>
    <row r="13">
      <c r="A13" s="9" t="inlineStr">
        <is>
          <t>8. 첫 공성전 (AI)</t>
        </is>
      </c>
      <c r="B13" s="9" t="inlineStr">
        <is>
          <t>5분</t>
        </is>
      </c>
      <c r="C13" s="9" t="inlineStr">
        <is>
          <t>AI 성 공격 체험, 함정/용병 회피 연습</t>
        </is>
      </c>
      <c r="D13" s="9" t="inlineStr">
        <is>
          <t>3,000G + 함정 설치 해금</t>
        </is>
      </c>
      <c r="E13" s="9" t="inlineStr">
        <is>
          <t>공성전 이해</t>
        </is>
      </c>
    </row>
    <row r="14">
      <c r="A14" s="8" t="inlineStr">
        <is>
          <t>9. 첫 방어 배치</t>
        </is>
      </c>
      <c r="B14" s="8" t="inlineStr">
        <is>
          <t>3분</t>
        </is>
      </c>
      <c r="C14" s="8" t="inlineStr">
        <is>
          <t>자기 성에 함정/용병 배치 튜토리얼</t>
        </is>
      </c>
      <c r="D14" s="8" t="inlineStr">
        <is>
          <t>가시 함정 ×3 무료</t>
        </is>
      </c>
      <c r="E14" s="8" t="inlineStr">
        <is>
          <t>방어 전략 이해</t>
        </is>
      </c>
    </row>
    <row r="15">
      <c r="A15" s="9" t="inlineStr">
        <is>
          <t>10. 포획 체험</t>
        </is>
      </c>
      <c r="B15" s="9" t="inlineStr">
        <is>
          <t>3분</t>
        </is>
      </c>
      <c r="C15" s="9" t="inlineStr">
        <is>
          <t>포획 몬스터 체험 (확정 포획 제공)</t>
        </is>
      </c>
      <c r="D15" s="9" t="inlineStr">
        <is>
          <t>슬라임 확정 포획 1체</t>
        </is>
      </c>
      <c r="E15" s="9" t="inlineStr">
        <is>
          <t>포획 시스템 이해</t>
        </is>
      </c>
    </row>
    <row r="16">
      <c r="A16" s="8" t="inlineStr"/>
      <c r="B16" s="8" t="inlineStr"/>
      <c r="C16" s="8" t="inlineStr"/>
      <c r="D16" s="8" t="inlineStr"/>
      <c r="E16" s="8" t="inlineStr"/>
    </row>
    <row r="17">
      <c r="A17" s="9" t="inlineStr">
        <is>
          <t>총 소요</t>
        </is>
      </c>
      <c r="B17" s="9" t="inlineStr">
        <is>
          <t>~30분</t>
        </is>
      </c>
      <c r="C17" s="9" t="inlineStr"/>
      <c r="D17" s="9" t="inlineStr"/>
      <c r="E17" s="9" t="inlineStr"/>
    </row>
    <row r="18">
      <c r="A18" s="8" t="inlineStr">
        <is>
          <t>튜토리얼 완료 보상</t>
        </is>
      </c>
      <c r="B18" s="8" t="inlineStr"/>
      <c r="C18" s="8" t="inlineStr">
        <is>
          <t>5,000G + 30💎 + 고급 용병 선택 상자 + 가시함정 ×3</t>
        </is>
      </c>
      <c r="D18" s="8" t="inlineStr"/>
      <c r="E18" s="8" t="inlineStr">
        <is>
          <t>풍성한 시작!</t>
        </is>
      </c>
    </row>
    <row r="19">
      <c r="A19" s="9" t="inlineStr">
        <is>
          <t>7일 신규 미션</t>
        </is>
      </c>
      <c r="B19" s="9" t="inlineStr">
        <is>
          <t>매일 특정 콘텐츠 체험 → 보상</t>
        </is>
      </c>
      <c r="C19" s="9" t="inlineStr">
        <is>
          <t>7일 총합: 20,000G + 100💎 + 영웅 용병 교환권</t>
        </is>
      </c>
      <c r="D19" s="9" t="inlineStr"/>
      <c r="E19" s="9" t="inlineStr">
        <is>
          <t>7일간 안내</t>
        </is>
      </c>
    </row>
    <row r="20">
      <c r="A20" s="8" t="inlineStr">
        <is>
          <t>멘토 시스템</t>
        </is>
      </c>
      <c r="B20" s="8" t="inlineStr">
        <is>
          <t>기존 플레이어가 신규 유저 1:1 멘토링</t>
        </is>
      </c>
      <c r="C20" s="8" t="inlineStr">
        <is>
          <t>멘토: 3,000G/일, 멘티: 버프 +10%</t>
        </is>
      </c>
      <c r="D20" s="8" t="inlineStr"/>
      <c r="E20" s="8" t="inlineStr">
        <is>
          <t>사회적 유대</t>
        </is>
      </c>
    </row>
  </sheetData>
  <mergeCells count="1">
    <mergeCell ref="A1:E1"/>
  </mergeCell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6" t="inlineStr">
        <is>
          <t>서버 주간 이벤트 시간표</t>
        </is>
      </c>
    </row>
    <row r="3">
      <c r="A3" s="7" t="inlineStr">
        <is>
          <t>시간</t>
        </is>
      </c>
      <c r="B3" s="7" t="inlineStr">
        <is>
          <t>월</t>
        </is>
      </c>
      <c r="C3" s="7" t="inlineStr">
        <is>
          <t>화</t>
        </is>
      </c>
      <c r="D3" s="7" t="inlineStr">
        <is>
          <t>수</t>
        </is>
      </c>
      <c r="E3" s="7" t="inlineStr">
        <is>
          <t>목</t>
        </is>
      </c>
      <c r="F3" s="7" t="inlineStr">
        <is>
          <t>금</t>
        </is>
      </c>
      <c r="G3" s="7" t="inlineStr">
        <is>
          <t>토</t>
        </is>
      </c>
      <c r="H3" s="7" t="inlineStr">
        <is>
          <t>일</t>
        </is>
      </c>
    </row>
    <row r="4">
      <c r="A4" s="8" t="inlineStr">
        <is>
          <t>00:00</t>
        </is>
      </c>
      <c r="B4" s="8" t="inlineStr">
        <is>
          <t>일일 리셋</t>
        </is>
      </c>
      <c r="C4" s="8" t="inlineStr">
        <is>
          <t>일일 리셋</t>
        </is>
      </c>
      <c r="D4" s="8" t="inlineStr">
        <is>
          <t>일일 리셋</t>
        </is>
      </c>
      <c r="E4" s="8" t="inlineStr">
        <is>
          <t>일일 리셋</t>
        </is>
      </c>
      <c r="F4" s="8" t="inlineStr">
        <is>
          <t>일일 리셋</t>
        </is>
      </c>
      <c r="G4" s="8" t="inlineStr">
        <is>
          <t>일일 리셋</t>
        </is>
      </c>
      <c r="H4" s="8" t="inlineStr">
        <is>
          <t>일일 리셋</t>
        </is>
      </c>
    </row>
    <row r="5">
      <c r="A5" s="9" t="inlineStr">
        <is>
          <t>06:00</t>
        </is>
      </c>
      <c r="B5" s="9" t="inlineStr">
        <is>
          <t>무료 소환 리셋</t>
        </is>
      </c>
      <c r="C5" s="9" t="inlineStr">
        <is>
          <t>무료 소환 리셋</t>
        </is>
      </c>
      <c r="D5" s="9" t="inlineStr">
        <is>
          <t>무료 소환 리셋</t>
        </is>
      </c>
      <c r="E5" s="9" t="inlineStr">
        <is>
          <t>무료 소환 리셋</t>
        </is>
      </c>
      <c r="F5" s="9" t="inlineStr">
        <is>
          <t>무료 소환 리셋</t>
        </is>
      </c>
      <c r="G5" s="9" t="inlineStr">
        <is>
          <t>무료 소환 리셋</t>
        </is>
      </c>
      <c r="H5" s="9" t="inlineStr">
        <is>
          <t>무료 소환 리셋</t>
        </is>
      </c>
    </row>
    <row r="6">
      <c r="A6" s="8" t="inlineStr">
        <is>
          <t>10:00</t>
        </is>
      </c>
      <c r="B6" s="8" t="inlineStr">
        <is>
          <t>경험치 폭풍</t>
        </is>
      </c>
      <c r="C6" s="8" t="inlineStr">
        <is>
          <t>무역 축제</t>
        </is>
      </c>
      <c r="D6" s="8" t="inlineStr">
        <is>
          <t>경험치 폭풍</t>
        </is>
      </c>
      <c r="E6" s="8" t="inlineStr">
        <is>
          <t>무역 축제</t>
        </is>
      </c>
      <c r="F6" s="8" t="inlineStr">
        <is>
          <t>암시장</t>
        </is>
      </c>
      <c r="G6" s="8" t="inlineStr">
        <is>
          <t>포획 대회</t>
        </is>
      </c>
      <c r="H6" s="8" t="inlineStr">
        <is>
          <t>혈맹 집결</t>
        </is>
      </c>
    </row>
    <row r="7">
      <c r="A7" s="9" t="inlineStr">
        <is>
          <t>12:00</t>
        </is>
      </c>
      <c r="B7" s="9" t="inlineStr">
        <is>
          <t>용병 대회</t>
        </is>
      </c>
      <c r="C7" s="9" t="inlineStr">
        <is>
          <t>보스 침공</t>
        </is>
      </c>
      <c r="D7" s="9" t="inlineStr">
        <is>
          <t>용병 대회</t>
        </is>
      </c>
      <c r="E7" s="9" t="inlineStr">
        <is>
          <t>보스 침공</t>
        </is>
      </c>
      <c r="F7" s="9" t="inlineStr">
        <is>
          <t>용병 대전쟁</t>
        </is>
      </c>
      <c r="G7" s="9" t="inlineStr">
        <is>
          <t>보스 러시 이벤트</t>
        </is>
      </c>
      <c r="H7" s="9" t="inlineStr">
        <is>
          <t>공성 준비</t>
        </is>
      </c>
    </row>
    <row r="8">
      <c r="A8" s="8" t="inlineStr">
        <is>
          <t>14:00</t>
        </is>
      </c>
      <c r="B8" s="8" t="inlineStr">
        <is>
          <t>무역 루트 보너스</t>
        </is>
      </c>
      <c r="C8" s="8" t="inlineStr">
        <is>
          <t>용병 모집</t>
        </is>
      </c>
      <c r="D8" s="8" t="inlineStr">
        <is>
          <t>무역 루트 보너스</t>
        </is>
      </c>
      <c r="E8" s="8" t="inlineStr">
        <is>
          <t>용병 모집</t>
        </is>
      </c>
      <c r="F8" s="8" t="inlineStr">
        <is>
          <t>보물 사냥</t>
        </is>
      </c>
      <c r="G8" s="8" t="inlineStr">
        <is>
          <t>드래곤 침공</t>
        </is>
      </c>
      <c r="H8" s="8" t="inlineStr">
        <is>
          <t>자유 PvP</t>
        </is>
      </c>
    </row>
    <row r="9">
      <c r="A9" s="9" t="inlineStr">
        <is>
          <t>16:00</t>
        </is>
      </c>
      <c r="B9" s="9" t="inlineStr">
        <is>
          <t>IO 보상 2배</t>
        </is>
      </c>
      <c r="C9" s="9" t="inlineStr">
        <is>
          <t>IO 보상 2배</t>
        </is>
      </c>
      <c r="D9" s="9" t="inlineStr">
        <is>
          <t>IO 보상 2배</t>
        </is>
      </c>
      <c r="E9" s="9" t="inlineStr">
        <is>
          <t>IO 보상 2배</t>
        </is>
      </c>
      <c r="F9" s="9" t="inlineStr">
        <is>
          <t>IO 보상 2배</t>
        </is>
      </c>
      <c r="G9" s="9" t="inlineStr">
        <is>
          <t>전 모드 오픈</t>
        </is>
      </c>
      <c r="H9" s="9" t="inlineStr">
        <is>
          <t>전 모드 오픈</t>
        </is>
      </c>
    </row>
    <row r="10">
      <c r="A10" s="8" t="inlineStr">
        <is>
          <t>18:00</t>
        </is>
      </c>
      <c r="B10" s="8" t="inlineStr">
        <is>
          <t>아레나 보너스</t>
        </is>
      </c>
      <c r="C10" s="8" t="inlineStr">
        <is>
          <t>혈맹 레이드</t>
        </is>
      </c>
      <c r="D10" s="8" t="inlineStr">
        <is>
          <t>아레나 보너스</t>
        </is>
      </c>
      <c r="E10" s="8" t="inlineStr">
        <is>
          <t>혈맹 레이드</t>
        </is>
      </c>
      <c r="F10" s="8" t="inlineStr">
        <is>
          <t>아레나 시즌 정산</t>
        </is>
      </c>
      <c r="G10" s="8" t="inlineStr">
        <is>
          <t>약탈전 이벤트</t>
        </is>
      </c>
      <c r="H10" s="8" t="inlineStr">
        <is>
          <t>공성전 예열</t>
        </is>
      </c>
    </row>
    <row r="11">
      <c r="A11" s="9" t="inlineStr">
        <is>
          <t>20:00</t>
        </is>
      </c>
      <c r="B11" s="9" t="inlineStr">
        <is>
          <t>—</t>
        </is>
      </c>
      <c r="C11" s="9" t="inlineStr">
        <is>
          <t>—</t>
        </is>
      </c>
      <c r="D11" s="9" t="inlineStr">
        <is>
          <t>—</t>
        </is>
      </c>
      <c r="E11" s="9" t="inlineStr">
        <is>
          <t>혈맹 레이드 (메인)</t>
        </is>
      </c>
      <c r="F11" s="9" t="inlineStr">
        <is>
          <t>—</t>
        </is>
      </c>
      <c r="G11" s="9" t="inlineStr">
        <is>
          <t>팀 대전 이벤트</t>
        </is>
      </c>
      <c r="H11" s="9" t="inlineStr">
        <is>
          <t>🏰 혈맹 공성전</t>
        </is>
      </c>
    </row>
    <row r="12">
      <c r="A12" s="8" t="inlineStr">
        <is>
          <t>22:00</t>
        </is>
      </c>
      <c r="B12" s="8" t="inlineStr">
        <is>
          <t>야간 무역 (이윤 +30%)</t>
        </is>
      </c>
      <c r="C12" s="8" t="inlineStr">
        <is>
          <t>야간 무역</t>
        </is>
      </c>
      <c r="D12" s="8" t="inlineStr">
        <is>
          <t>야간 무역</t>
        </is>
      </c>
      <c r="E12" s="8" t="inlineStr">
        <is>
          <t>야간 무역</t>
        </is>
      </c>
      <c r="F12" s="8" t="inlineStr">
        <is>
          <t>야간 무역</t>
        </is>
      </c>
      <c r="G12" s="8" t="inlineStr">
        <is>
          <t>야간 무역</t>
        </is>
      </c>
      <c r="H12" s="8" t="inlineStr">
        <is>
          <t>공성전 결과</t>
        </is>
      </c>
    </row>
    <row r="13">
      <c r="A13" s="9" t="inlineStr"/>
      <c r="B13" s="9" t="inlineStr"/>
      <c r="C13" s="9" t="inlineStr"/>
      <c r="D13" s="9" t="inlineStr"/>
      <c r="E13" s="9" t="inlineStr"/>
      <c r="F13" s="9" t="inlineStr"/>
      <c r="G13" s="9" t="inlineStr"/>
      <c r="H13" s="9" t="inlineStr"/>
    </row>
    <row r="14">
      <c r="A14" s="8" t="inlineStr">
        <is>
          <t>═ 상시 이벤트 ═</t>
        </is>
      </c>
      <c r="B14" s="8" t="inlineStr"/>
      <c r="C14" s="8" t="inlineStr"/>
      <c r="D14" s="8" t="inlineStr"/>
      <c r="E14" s="8" t="inlineStr"/>
      <c r="F14" s="8" t="inlineStr"/>
      <c r="G14" s="8" t="inlineStr"/>
      <c r="H14" s="8" t="inlineStr"/>
    </row>
    <row r="15">
      <c r="A15" s="9" t="inlineStr">
        <is>
          <t>매 1시간</t>
        </is>
      </c>
      <c r="B15" s="9" t="inlineStr">
        <is>
          <t>경험치 폭풍 or 보물 사냥 (랜덤)</t>
        </is>
      </c>
      <c r="C15" s="9" t="inlineStr"/>
      <c r="D15" s="9" t="inlineStr"/>
      <c r="E15" s="9" t="inlineStr"/>
      <c r="F15" s="9" t="inlineStr"/>
      <c r="G15" s="9" t="inlineStr"/>
      <c r="H15" s="9" t="inlineStr"/>
    </row>
    <row r="16">
      <c r="A16" s="8" t="inlineStr">
        <is>
          <t>매 2시간</t>
        </is>
      </c>
      <c r="B16" s="8" t="inlineStr">
        <is>
          <t>무역 축제 or 용병 대전쟁 (랜덤)</t>
        </is>
      </c>
      <c r="C16" s="8" t="inlineStr"/>
      <c r="D16" s="8" t="inlineStr"/>
      <c r="E16" s="8" t="inlineStr"/>
      <c r="F16" s="8" t="inlineStr"/>
      <c r="G16" s="8" t="inlineStr"/>
      <c r="H16" s="8" t="inlineStr"/>
    </row>
    <row r="17">
      <c r="A17" s="9" t="inlineStr">
        <is>
          <t>매 3시간</t>
        </is>
      </c>
      <c r="B17" s="9" t="inlineStr">
        <is>
          <t>용병 모집 or 드래곤 침공 (랜덤)</t>
        </is>
      </c>
      <c r="C17" s="9" t="inlineStr"/>
      <c r="D17" s="9" t="inlineStr"/>
      <c r="E17" s="9" t="inlineStr"/>
      <c r="F17" s="9" t="inlineStr"/>
      <c r="G17" s="9" t="inlineStr"/>
      <c r="H17" s="9" t="inlineStr"/>
    </row>
    <row r="18">
      <c r="A18" s="8" t="inlineStr"/>
      <c r="B18" s="8" t="inlineStr"/>
      <c r="C18" s="8" t="inlineStr"/>
      <c r="D18" s="8" t="inlineStr"/>
      <c r="E18" s="8" t="inlineStr"/>
      <c r="F18" s="8" t="inlineStr"/>
      <c r="G18" s="8" t="inlineStr"/>
      <c r="H18" s="8" t="inlineStr"/>
    </row>
    <row r="19">
      <c r="A19" s="9" t="inlineStr">
        <is>
          <t>═ 시즌 이벤트 ═</t>
        </is>
      </c>
      <c r="B19" s="9" t="inlineStr"/>
      <c r="C19" s="9" t="inlineStr"/>
      <c r="D19" s="9" t="inlineStr"/>
      <c r="E19" s="9" t="inlineStr"/>
      <c r="F19" s="9" t="inlineStr"/>
      <c r="G19" s="9" t="inlineStr"/>
      <c r="H19" s="9" t="inlineStr"/>
    </row>
    <row r="20">
      <c r="A20" s="8" t="inlineStr">
        <is>
          <t>1~2주차</t>
        </is>
      </c>
      <c r="B20" s="8" t="inlineStr">
        <is>
          <t>드래곤 시즌 (매일 드래곤 웨이브)</t>
        </is>
      </c>
      <c r="C20" s="8" t="inlineStr"/>
      <c r="D20" s="8" t="inlineStr"/>
      <c r="E20" s="8" t="inlineStr"/>
      <c r="F20" s="8" t="inlineStr"/>
      <c r="G20" s="8" t="inlineStr"/>
      <c r="H20" s="8" t="inlineStr"/>
    </row>
    <row r="21">
      <c r="A21" s="9" t="inlineStr">
        <is>
          <t>3~4주차</t>
        </is>
      </c>
      <c r="B21" s="9" t="inlineStr">
        <is>
          <t>정복 시즌 (진영 전쟁 활성화)</t>
        </is>
      </c>
      <c r="C21" s="9" t="inlineStr"/>
      <c r="D21" s="9" t="inlineStr"/>
      <c r="E21" s="9" t="inlineStr"/>
      <c r="F21" s="9" t="inlineStr"/>
      <c r="G21" s="9" t="inlineStr"/>
      <c r="H21" s="9" t="inlineStr"/>
    </row>
    <row r="22">
      <c r="A22" s="8" t="inlineStr">
        <is>
          <t>시즌 마지막 주</t>
        </is>
      </c>
      <c r="B22" s="8" t="inlineStr">
        <is>
          <t>최종 보스 출현 + 보상 3배</t>
        </is>
      </c>
      <c r="C22" s="8" t="inlineStr"/>
      <c r="D22" s="8" t="inlineStr"/>
      <c r="E22" s="8" t="inlineStr"/>
      <c r="F22" s="8" t="inlineStr"/>
      <c r="G22" s="8" t="inlineStr"/>
      <c r="H22" s="8" t="inlineStr"/>
    </row>
  </sheetData>
  <mergeCells count="1">
    <mergeCell ref="A1:H1"/>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8" customWidth="1" min="1" max="1"/>
    <col width="42" customWidth="1" min="2" max="2"/>
    <col width="22" customWidth="1" min="3" max="3"/>
  </cols>
  <sheetData>
    <row r="1">
      <c r="A1" s="6" t="inlineStr">
        <is>
          <t>v3.3 업데이트 요약</t>
        </is>
      </c>
    </row>
    <row r="3">
      <c r="A3" s="7" t="inlineStr">
        <is>
          <t>시스템</t>
        </is>
      </c>
      <c r="B3" s="7" t="inlineStr">
        <is>
          <t>신규/개선</t>
        </is>
      </c>
      <c r="C3" s="7" t="inlineStr">
        <is>
          <t>핵심 재미</t>
        </is>
      </c>
    </row>
    <row r="4">
      <c r="A4" s="8" t="inlineStr">
        <is>
          <t>SLG 메인 화면</t>
        </is>
      </c>
      <c r="B4" s="8" t="inlineStr">
        <is>
          <t>신규 — 전체 UI 레이아웃, 탭 구조, 퀵메뉴</t>
        </is>
      </c>
      <c r="C4" s="8" t="inlineStr">
        <is>
          <t>3초 안에 원하는 콘텐츠 진입</t>
        </is>
      </c>
    </row>
    <row r="5">
      <c r="A5" s="9" t="inlineStr">
        <is>
          <t>일일/주간 루틴</t>
        </is>
      </c>
      <c r="B5" s="9" t="inlineStr">
        <is>
          <t>신규 — 매일 75분 루틴 + 주간 5시간 이벤트</t>
        </is>
      </c>
      <c r="C5" s="9" t="inlineStr">
        <is>
          <t>무엇을 할지 명확한 가이드</t>
        </is>
      </c>
    </row>
    <row r="6">
      <c r="A6" s="8" t="inlineStr">
        <is>
          <t>배틀패스</t>
        </is>
      </c>
      <c r="B6" s="8" t="inlineStr">
        <is>
          <t>신규 — 50레벨, 무료+유료 트랙, 주간 미션</t>
        </is>
      </c>
      <c r="C6" s="8" t="inlineStr">
        <is>
          <t>장기 접속 + 수집 동기</t>
        </is>
      </c>
    </row>
    <row r="7">
      <c r="A7" s="9" t="inlineStr">
        <is>
          <t>용병 스토리 퀘스트</t>
        </is>
      </c>
      <c r="B7" s="9" t="inlineStr">
        <is>
          <t>신규 — 용병별 4화 개인 서사, 히든 분기</t>
        </is>
      </c>
      <c r="C7" s="9" t="inlineStr">
        <is>
          <t>감정 이입 극대화</t>
        </is>
      </c>
    </row>
    <row r="8">
      <c r="A8" s="8" t="inlineStr">
        <is>
          <t>IO 보스 패턴</t>
        </is>
      </c>
      <c r="B8" s="8" t="inlineStr">
        <is>
          <t>신규 — 5종 보스 페이즈별 상세 메카닉</t>
        </is>
      </c>
      <c r="C8" s="8" t="inlineStr">
        <is>
          <t>스킬풀한 보스전!</t>
        </is>
      </c>
    </row>
    <row r="9">
      <c r="A9" s="9" t="inlineStr">
        <is>
          <t>심연의 탑</t>
        </is>
      </c>
      <c r="B9" s="9" t="inlineStr">
        <is>
          <t>신규 — 100층 엔드게임 타워, 주간 리셋, 랭킹</t>
        </is>
      </c>
      <c r="C9" s="9" t="inlineStr">
        <is>
          <t>최종 목표 콘텐츠</t>
        </is>
      </c>
    </row>
    <row r="10">
      <c r="A10" s="8" t="inlineStr">
        <is>
          <t>무역 동적 경제</t>
        </is>
      </c>
      <c r="B10" s="8" t="inlineStr">
        <is>
          <t>신규 — 수요/공급 변동, 투기, 매점매석, 랜덤 이벤트</t>
        </is>
      </c>
      <c r="C10" s="8" t="inlineStr">
        <is>
          <t>거상의 진정한 재미</t>
        </is>
      </c>
    </row>
    <row r="11">
      <c r="A11" s="9" t="inlineStr">
        <is>
          <t>혈맹 레이드 보스</t>
        </is>
      </c>
      <c r="B11" s="9" t="inlineStr">
        <is>
          <t>신규 — 4종 대형 보스, 페이즈 메카닉, 역할 분담</t>
        </is>
      </c>
      <c r="C11" s="9" t="inlineStr">
        <is>
          <t>최고의 협동 콘텐츠</t>
        </is>
      </c>
    </row>
    <row r="12">
      <c r="A12" s="8" t="inlineStr">
        <is>
          <t>PvP 아레나 시즌</t>
        </is>
      </c>
      <c r="B12" s="8" t="inlineStr">
        <is>
          <t>신규 — 6단계 랭크, 밴픽, 관전, 3개월 시즌</t>
        </is>
      </c>
      <c r="C12" s="8" t="inlineStr">
        <is>
          <t>경쟁의 쾌감</t>
        </is>
      </c>
    </row>
    <row r="13">
      <c r="A13" s="9" t="inlineStr">
        <is>
          <t>용병 스킨</t>
        </is>
      </c>
      <c r="B13" s="9" t="inlineStr">
        <is>
          <t>신규 — 시즌/업적/프리미엄 스킨 + 성 스킨</t>
        </is>
      </c>
      <c r="C13" s="9" t="inlineStr">
        <is>
          <t>시각적 만족 + 수집</t>
        </is>
      </c>
    </row>
    <row r="14">
      <c r="A14" s="8" t="inlineStr">
        <is>
          <t>초보자 튜토리얼</t>
        </is>
      </c>
      <c r="B14" s="8" t="inlineStr">
        <is>
          <t>신규 — 10단계 30분 온보딩 + 7일 미션 + 멘토</t>
        </is>
      </c>
      <c r="C14" s="8" t="inlineStr">
        <is>
          <t>신규 유저 안착률↑</t>
        </is>
      </c>
    </row>
    <row r="15">
      <c r="A15" s="9" t="inlineStr">
        <is>
          <t>서버 주간 시간표</t>
        </is>
      </c>
      <c r="B15" s="9" t="inlineStr">
        <is>
          <t>신규 — 요일별/시간대별 이벤트 로테이션</t>
        </is>
      </c>
      <c r="C15" s="9" t="inlineStr">
        <is>
          <t>매일 다른 하이라이트</t>
        </is>
      </c>
    </row>
    <row r="16">
      <c r="A16" s="8" t="inlineStr"/>
      <c r="B16" s="8" t="inlineStr"/>
      <c r="C16" s="8" t="inlineStr"/>
    </row>
    <row r="17">
      <c r="A17" s="9" t="inlineStr">
        <is>
          <t>v3.0~v3.3 누적 총계</t>
        </is>
      </c>
      <c r="B17" s="9" t="inlineStr"/>
      <c r="C17" s="9" t="inlineStr"/>
    </row>
    <row r="18">
      <c r="A18" s="8" t="inlineStr">
        <is>
          <t>총 시트 수</t>
        </is>
      </c>
      <c r="B18" s="8" t="inlineStr">
        <is>
          <t>173개</t>
        </is>
      </c>
      <c r="C18" s="8" t="inlineStr"/>
    </row>
    <row r="19">
      <c r="A19" s="9" t="inlineStr">
        <is>
          <t>총 용병</t>
        </is>
      </c>
      <c r="B19" s="9" t="inlineStr">
        <is>
          <t>60종 + 스킨 15종</t>
        </is>
      </c>
      <c r="C19" s="9" t="inlineStr"/>
    </row>
    <row r="20">
      <c r="A20" s="8" t="inlineStr">
        <is>
          <t>총 포획 몬스터</t>
        </is>
      </c>
      <c r="B20" s="8" t="inlineStr">
        <is>
          <t>15종 (3단 진화 + 교배)</t>
        </is>
      </c>
      <c r="C20" s="8" t="inlineStr"/>
    </row>
    <row r="21">
      <c r="A21" s="9" t="inlineStr">
        <is>
          <t>총 보스</t>
        </is>
      </c>
      <c r="B21" s="9" t="inlineStr">
        <is>
          <t>IO 5종 + 레이드 4종 + 심연 100층</t>
        </is>
      </c>
      <c r="C21" s="9" t="inlineStr"/>
    </row>
    <row r="22">
      <c r="A22" s="8" t="inlineStr">
        <is>
          <t>플레이 루프</t>
        </is>
      </c>
      <c r="B22" s="8" t="inlineStr">
        <is>
          <t>IO→SLG→공성→무역→혈맹→아레나→심연 — 전부 연결</t>
        </is>
      </c>
      <c r="C22" s="8" t="inlineStr"/>
    </row>
  </sheetData>
  <mergeCells count="1">
    <mergeCell ref="A1:C1"/>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8" customWidth="1" min="1" max="1"/>
    <col width="14" customWidth="1" min="2" max="2"/>
    <col width="38" customWidth="1" min="3" max="3"/>
    <col width="22" customWidth="1" min="4" max="4"/>
  </cols>
  <sheetData>
    <row r="1">
      <c r="A1" s="6" t="inlineStr">
        <is>
          <t>세계관 &amp; 로어 (4시대 + 현재)</t>
        </is>
      </c>
    </row>
    <row r="3">
      <c r="A3" s="7" t="inlineStr">
        <is>
          <t>시대</t>
        </is>
      </c>
      <c r="B3" s="7" t="inlineStr">
        <is>
          <t>이름</t>
        </is>
      </c>
      <c r="C3" s="7" t="inlineStr">
        <is>
          <t>사건</t>
        </is>
      </c>
      <c r="D3" s="7" t="inlineStr">
        <is>
          <t>관련 시스템</t>
        </is>
      </c>
    </row>
    <row r="4">
      <c r="A4" s="8" t="inlineStr">
        <is>
          <t>태초</t>
        </is>
      </c>
      <c r="B4" s="8" t="inlineStr">
        <is>
          <t>창세의 시대</t>
        </is>
      </c>
      <c r="C4" s="8" t="inlineStr">
        <is>
          <t>태초의 존재가 세계를 만듦. 5원소가 분화.</t>
        </is>
      </c>
      <c r="D4" s="8" t="inlineStr">
        <is>
          <t>태초의 존재 (초신화 용병)</t>
        </is>
      </c>
    </row>
    <row r="5">
      <c r="A5" s="9" t="inlineStr">
        <is>
          <t>1시대</t>
        </is>
      </c>
      <c r="B5" s="9" t="inlineStr">
        <is>
          <t>신들의 전쟁</t>
        </is>
      </c>
      <c r="C5" s="9" t="inlineStr">
        <is>
          <t>전쟁의 신 vs 세계수 수호자 — 대지가 갈라짐</t>
        </is>
      </c>
      <c r="D5" s="9" t="inlineStr">
        <is>
          <t>진영 전쟁의 기원</t>
        </is>
      </c>
    </row>
    <row r="6">
      <c r="A6" s="8" t="inlineStr"/>
      <c r="B6" s="8" t="inlineStr"/>
      <c r="C6" s="8" t="inlineStr">
        <is>
          <t>패배한 신들이 인간 세계에 봉인됨</t>
        </is>
      </c>
      <c r="D6" s="8" t="inlineStr">
        <is>
          <t>혈맹 레이드 보스 = 봉인된 신</t>
        </is>
      </c>
    </row>
    <row r="7">
      <c r="A7" s="9" t="inlineStr">
        <is>
          <t>2시대</t>
        </is>
      </c>
      <c r="B7" s="9" t="inlineStr">
        <is>
          <t>용의 시대</t>
        </is>
      </c>
      <c r="C7" s="9" t="inlineStr">
        <is>
          <t>드래곤이 세계를 지배. 인간은 종속 상태.</t>
        </is>
      </c>
      <c r="D7" s="9" t="inlineStr">
        <is>
          <t>드래곤 계열 용병 / 포획 드래곤</t>
        </is>
      </c>
    </row>
    <row r="8">
      <c r="A8" s="8" t="inlineStr"/>
      <c r="B8" s="8" t="inlineStr"/>
      <c r="C8" s="8" t="inlineStr">
        <is>
          <t>용의 기사단 결성 — 최초의 드래곤나이트 탄생</t>
        </is>
      </c>
      <c r="D8" s="8" t="inlineStr">
        <is>
          <t>드래곤나이트 스토리 퀘스트</t>
        </is>
      </c>
    </row>
    <row r="9">
      <c r="A9" s="9" t="inlineStr"/>
      <c r="B9" s="9" t="inlineStr"/>
      <c r="C9" s="9" t="inlineStr">
        <is>
          <t>용왕 바하무트가 잠듦 — "용의 심장" 잔류</t>
        </is>
      </c>
      <c r="D9" s="9" t="inlineStr">
        <is>
          <t>바하무트 합성 재료</t>
        </is>
      </c>
    </row>
    <row r="10">
      <c r="A10" s="8" t="inlineStr">
        <is>
          <t>3시대</t>
        </is>
      </c>
      <c r="B10" s="8" t="inlineStr">
        <is>
          <t>마왕의 시대</t>
        </is>
      </c>
      <c r="C10" s="8" t="inlineStr">
        <is>
          <t>심연에서 마왕 출현. 죽음의 기사 = 마왕의 선봉장이었으나 배신.</t>
        </is>
      </c>
      <c r="D10" s="8" t="inlineStr">
        <is>
          <t>죽음의 기사 스토리</t>
        </is>
      </c>
    </row>
    <row r="11">
      <c r="A11" s="9" t="inlineStr"/>
      <c r="B11" s="9" t="inlineStr"/>
      <c r="C11" s="9" t="inlineStr">
        <is>
          <t>세라핌이 천상에서 강림하여 마왕 봉인. 대가로 날개 상실.</t>
        </is>
      </c>
      <c r="D11" s="9" t="inlineStr">
        <is>
          <t>세라핌 스토리 퀘스트</t>
        </is>
      </c>
    </row>
    <row r="12">
      <c r="A12" s="8" t="inlineStr"/>
      <c r="B12" s="8" t="inlineStr"/>
      <c r="C12" s="8" t="inlineStr">
        <is>
          <t>마왕 봉인 장소 = 심연의 탑 최하층</t>
        </is>
      </c>
      <c r="D12" s="8" t="inlineStr">
        <is>
          <t>심연의 탑 100층 보스</t>
        </is>
      </c>
    </row>
    <row r="13">
      <c r="A13" s="9" t="inlineStr">
        <is>
          <t>4시대</t>
        </is>
      </c>
      <c r="B13" s="9" t="inlineStr">
        <is>
          <t>인간��� 시대</t>
        </is>
      </c>
      <c r="C13" s="9" t="inlineStr">
        <is>
          <t>마왕 봉인 후 인간 문명 발전. 7개 마을 건설.</t>
        </is>
      </c>
      <c r="D13" s="9" t="inlineStr">
        <is>
          <t>월드맵 7개 마을</t>
        </is>
      </c>
    </row>
    <row r="14">
      <c r="A14" s="8" t="inlineStr"/>
      <c r="B14" s="8" t="inlineStr"/>
      <c r="C14" s="8" t="inlineStr">
        <is>
          <t>거상 무역로 확립. 용병 고용 문화 시작.</t>
        </is>
      </c>
      <c r="D14" s="8" t="inlineStr">
        <is>
          <t>무역 시스템, 용병 시스템</t>
        </is>
      </c>
    </row>
    <row r="15">
      <c r="A15" s="9" t="inlineStr"/>
      <c r="B15" s="9" t="inlineStr"/>
      <c r="C15" s="9" t="inlineStr">
        <is>
          <t>옛 영웅들의 기억이 "용병 카드"에 봉인됨</t>
        </is>
      </c>
      <c r="D15" s="9" t="inlineStr">
        <is>
          <t>가챠 소환 = 영웅 소환의 마법</t>
        </is>
      </c>
    </row>
    <row r="16">
      <c r="A16" s="8" t="inlineStr">
        <is>
          <t>현재</t>
        </is>
      </c>
      <c r="B16" s="8" t="inlineStr">
        <is>
          <t>균열의 시대</t>
        </is>
      </c>
      <c r="C16" s="8" t="inlineStr">
        <is>
          <t>봉인이 약해지고 차원 균열 발생. 옛 신들의 부활 조짐.</t>
        </is>
      </c>
      <c r="D16" s="8" t="inlineStr">
        <is>
          <t>차원 정복 (엔드게임)</t>
        </is>
      </c>
    </row>
    <row r="17">
      <c r="A17" s="9" t="inlineStr"/>
      <c r="B17" s="9" t="inlineStr"/>
      <c r="C17" s="9" t="inlineStr">
        <is>
          <t>플레이어 = "소환사" — 카드에서 영웅을 불러내는 능력자</t>
        </is>
      </c>
      <c r="D17" s="9" t="inlineStr">
        <is>
          <t>플레이어 역할</t>
        </is>
      </c>
    </row>
    <row r="18">
      <c r="A18" s="8" t="inlineStr"/>
      <c r="B18" s="8" t="inlineStr"/>
      <c r="C18" s="8" t="inlineStr"/>
      <c r="D18" s="8" t="inlineStr"/>
    </row>
    <row r="19">
      <c r="A19" s="9" t="inlineStr">
        <is>
          <t>🗺️ 지역 로어</t>
        </is>
      </c>
      <c r="B19" s="9" t="inlineStr"/>
      <c r="C19" s="9" t="inlineStr"/>
      <c r="D19" s="9" t="inlineStr"/>
    </row>
    <row r="20">
      <c r="A20" s="8" t="inlineStr">
        <is>
          <t>바람개비 평원</t>
        </is>
      </c>
      <c r="B20" s="8" t="inlineStr">
        <is>
          <t>세계수의 축복이 남은 비옥한 땅. 평화로운 시작 마을.</t>
        </is>
      </c>
      <c r="C20" s="8" t="inlineStr">
        <is>
          <t>초보자 시작점</t>
        </is>
      </c>
      <c r="D20" s="8" t="inlineStr"/>
    </row>
    <row r="21">
      <c r="A21" s="9" t="inlineStr">
        <is>
          <t>별빛 항구</t>
        </is>
      </c>
      <c r="B21" s="9" t="inlineStr">
        <is>
          <t>용의 시대에 드래곤이 별을 떨어뜨린 해안. 별빛이 아직 남아있음.</t>
        </is>
      </c>
      <c r="C21" s="9" t="inlineStr">
        <is>
          <t>해상 무역 허브</t>
        </is>
      </c>
      <c r="D21" s="9" t="inlineStr"/>
    </row>
    <row r="22">
      <c r="A22" s="8" t="inlineStr">
        <is>
          <t>심연의 골짜기</t>
        </is>
      </c>
      <c r="B22" s="8" t="inlineStr">
        <is>
          <t>마왕 봉인 당시 대지가 갈라진 자국. 어둠의 힘이 새어나옴.</t>
        </is>
      </c>
      <c r="C22" s="8" t="inlineStr">
        <is>
          <t>PK존 + 심연의 탑 입구</t>
        </is>
      </c>
      <c r="D22" s="8" t="inlineStr"/>
    </row>
    <row r="23">
      <c r="A23" s="9" t="inlineStr">
        <is>
          <t>불의 화산</t>
        </is>
      </c>
      <c r="B23" s="9" t="inlineStr">
        <is>
          <t>용왕 바하무트가 잠든 곳. 용의 꿈이 용암으로 솟아오름.</t>
        </is>
      </c>
      <c r="C23" s="9" t="inlineStr">
        <is>
          <t>드래곤 레이드 + 화염 재료</t>
        </is>
      </c>
      <c r="D23" s="9" t="inlineStr"/>
    </row>
  </sheetData>
  <mergeCells count="1">
    <mergeCell ref="A1:D1"/>
  </mergeCell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4" customWidth="1" min="1" max="1"/>
    <col width="24" customWidth="1" min="2" max="2"/>
    <col width="30" customWidth="1" min="3" max="3"/>
    <col width="24" customWidth="1" min="4" max="4"/>
    <col width="18" customWidth="1" min="5" max="5"/>
  </cols>
  <sheetData>
    <row r="1">
      <c r="A1" s="6" t="inlineStr">
        <is>
          <t>비밀 지역 &amp; 히든 보스 (발견형)</t>
        </is>
      </c>
    </row>
    <row r="3">
      <c r="A3" s="7" t="inlineStr">
        <is>
          <t>비밀 지역</t>
        </is>
      </c>
      <c r="B3" s="7" t="inlineStr">
        <is>
          <t>발견 조건</t>
        </is>
      </c>
      <c r="C3" s="7" t="inlineStr">
        <is>
          <t>내용</t>
        </is>
      </c>
      <c r="D3" s="7" t="inlineStr">
        <is>
          <t>보상</t>
        </is>
      </c>
      <c r="E3" s="7" t="inlineStr">
        <is>
          <t>힌트 출처</t>
        </is>
      </c>
    </row>
    <row r="4">
      <c r="A4" s="8" t="inlineStr">
        <is>
          <t>🌑 그림자 세계</t>
        </is>
      </c>
      <c r="B4" s="8" t="inlineStr">
        <is>
          <t>심연의 골짜기에서 밤 + 안개 날씨 + 카르마 500+</t>
        </is>
      </c>
      <c r="C4" s="8" t="inlineStr">
        <is>
          <t>기존 맵의 "어둠 버전" — 몬스터 전부 그림자화, 2배 강함</t>
        </is>
      </c>
      <c r="D4" s="8" t="inlineStr">
        <is>
          <t>그림자 조각 ×10, 전설 카드 30%</t>
        </is>
      </c>
      <c r="E4" s="8" t="inlineStr">
        <is>
          <t>NPC 대화에서 은밀한 암시</t>
        </is>
      </c>
    </row>
    <row r="5">
      <c r="A5" s="9" t="inlineStr">
        <is>
          <t>🌈 세계수 심부</t>
        </is>
      </c>
      <c r="B5" s="9" t="inlineStr">
        <is>
          <t>세계수 숲에서 포획 몬스터 전종 파티로 진입</t>
        </is>
      </c>
      <c r="C5" s="9" t="inlineStr">
        <is>
          <t>세계수 내부 — 원소 정령 4체 연속 보스전</t>
        </is>
      </c>
      <c r="D5" s="9" t="inlineStr">
        <is>
          <t>세계수 잎 ×5, 원소의 왕관 25%</t>
        </is>
      </c>
      <c r="E5" s="9" t="inlineStr">
        <is>
          <t>도감 90% 달성 시 NPC 힌트</t>
        </is>
      </c>
    </row>
    <row r="6">
      <c r="A6" s="8" t="inlineStr">
        <is>
          <t>⏳ 시간의 틈</t>
        </is>
      </c>
      <c r="B6" s="8" t="inlineStr">
        <is>
          <t>시간 마법사 초월 + IO 100판 클리어 후 특수 포털</t>
        </is>
      </c>
      <c r="C6" s="8" t="inlineStr">
        <is>
          <t>과거 전쟁 재현 — 신들의 전쟁을 직접 체험</t>
        </is>
      </c>
      <c r="D6" s="8" t="inlineStr">
        <is>
          <t>시간 파편 ×20, 창세의 조각 5%</t>
        </is>
      </c>
      <c r="E6" s="8" t="inlineStr">
        <is>
          <t>용병 스토리 4화에서 복선</t>
        </is>
      </c>
    </row>
    <row r="7">
      <c r="A7" s="9" t="inlineStr">
        <is>
          <t>🐲 용왕의 꿈</t>
        </is>
      </c>
      <c r="B7" s="9" t="inlineStr">
        <is>
          <t>불의 화산에서 바하무트 파티로 진입 + 보름달</t>
        </is>
      </c>
      <c r="C7" s="9" t="inlineStr">
        <is>
          <t>용왕의 꿈 속 — 용의 시대 체험, 아기 드래곤 10체와 전투</t>
        </is>
      </c>
      <c r="D7" s="9" t="inlineStr">
        <is>
          <t>용의 심장 ×3, 전설 드래곤 알</t>
        </is>
      </c>
      <c r="E7" s="9" t="inlineStr">
        <is>
          <t>바하무트 유대도 5단계 시 대사</t>
        </is>
      </c>
    </row>
    <row r="8">
      <c r="A8" s="8" t="inlineStr">
        <is>
          <t>💀 마왕의 감옥</t>
        </is>
      </c>
      <c r="B8" s="8" t="inlineStr">
        <is>
          <t>심연의 탑 100층 클리어 + 죽음의 기사 초월</t>
        </is>
      </c>
      <c r="C8" s="8" t="inlineStr">
        <is>
          <t>봉인된 마왕과 1:1 대면 — 대화 분기 (싸울 것인가, 거래할 것인가)</t>
        </is>
      </c>
      <c r="D8" s="8" t="inlineStr">
        <is>
          <t>분기A: 마왕의 힘 (ATK+30 영구) / B: 마왕의 지혜 (모든 스킬CD-20% 영구)</t>
        </is>
      </c>
      <c r="E8" s="8" t="inlineStr">
        <is>
          <t>심연의 탑 90층 벽화 해독</t>
        </is>
      </c>
    </row>
    <row r="9">
      <c r="A9" s="9" t="inlineStr"/>
      <c r="B9" s="9" t="inlineStr"/>
      <c r="C9" s="9" t="inlineStr"/>
      <c r="D9" s="9" t="inlineStr"/>
      <c r="E9" s="9" t="inlineStr"/>
    </row>
    <row r="10">
      <c r="A10" s="8" t="inlineStr">
        <is>
          <t>🔥 히든 보스</t>
        </is>
      </c>
      <c r="B10" s="8" t="inlineStr"/>
      <c r="C10" s="8" t="inlineStr"/>
      <c r="D10" s="8" t="inlineStr"/>
      <c r="E10" s="8" t="inlineStr"/>
    </row>
    <row r="11">
      <c r="A11" s="9" t="inlineStr">
        <is>
          <t>진정한 슬라임</t>
        </is>
      </c>
      <c r="B11" s="9" t="inlineStr">
        <is>
          <t>슬라임킹 100회 처치 후 IO에서 0.1% 확률 등장</t>
        </is>
      </c>
      <c r="C11" s="9" t="inlineStr">
        <is>
          <t>HP 100,000, 전 패턴 사용, 분열 무한</t>
        </is>
      </c>
      <c r="D11" s="9" t="inlineStr">
        <is>
          <t>50,000G + "슬라임 학살자" 칭호 + 전설 슬라임 알</t>
        </is>
      </c>
      <c r="E11" s="9" t="inlineStr">
        <is>
          <t>슬라임킹 처치 횟수 카운터</t>
        </is>
      </c>
    </row>
    <row r="12">
      <c r="A12" s="8" t="inlineStr">
        <is>
          <t>타락한 세라핌</t>
        </is>
      </c>
      <c r="B12" s="8" t="inlineStr">
        <is>
          <t>세라핌 스토리 4화에서 "어둠의 선택지" 선택 시</t>
        </is>
      </c>
      <c r="C12" s="8" t="inlineStr">
        <is>
          <t>전 아군 용병이 적으로 전환, 1인 전투</t>
        </is>
      </c>
      <c r="D12" s="8" t="inlineStr">
        <is>
          <t>타락 세라핌 스킨 + 신화 재료</t>
        </is>
      </c>
      <c r="E12" s="8" t="inlineStr">
        <is>
          <t>스토리 분기점 존재 암시</t>
        </is>
      </c>
    </row>
    <row r="13">
      <c r="A13" s="9" t="inlineStr">
        <is>
          <t>세계의 관찰자</t>
        </is>
      </c>
      <c r="B13" s="9" t="inlineStr">
        <is>
          <t>업적 600개 중 500개 달성 시 SLG에서 출현</t>
        </is>
      </c>
      <c r="C13" s="9" t="inlineStr">
        <is>
          <t>전투 없음 — 대화만, 세계의 비밀을 알려줌</t>
        </is>
      </c>
      <c r="D13" s="9" t="inlineStr">
        <is>
          <t>전용 칭호 "진실을 본 자" + 200💎 + 히든 로어 해금</t>
        </is>
      </c>
      <c r="E13" s="9" t="inlineStr">
        <is>
          <t>업적 화면에서 ??? 표시</t>
        </is>
      </c>
    </row>
    <row r="14">
      <c r="A14" s="8" t="inlineStr"/>
      <c r="B14" s="8" t="inlineStr"/>
      <c r="C14" s="8" t="inlineStr"/>
      <c r="D14" s="8" t="inlineStr"/>
      <c r="E14" s="8" t="inlineStr"/>
    </row>
    <row r="15">
      <c r="A15" s="9" t="inlineStr">
        <is>
          <t>발견 시스템</t>
        </is>
      </c>
      <c r="B15" s="9" t="inlineStr">
        <is>
          <t>비밀 지역 발견 시 서버 전체 공지 (최초 발견자 이름)</t>
        </is>
      </c>
      <c r="C15" s="9" t="inlineStr"/>
      <c r="D15" s="9" t="inlineStr">
        <is>
          <t>최초 발견: 추가 보상 2배 + 영구 칭호</t>
        </is>
      </c>
      <c r="E15" s="9" t="inlineStr"/>
    </row>
    <row r="16">
      <c r="A16" s="8" t="inlineStr">
        <is>
          <t>공유 금지</t>
        </is>
      </c>
      <c r="B16" s="8" t="inlineStr">
        <is>
          <t>발견 조건은 게임 내에서 절대 직접 표시하지 않음</t>
        </is>
      </c>
      <c r="C16" s="8" t="inlineStr">
        <is>
          <t>NPC 대화 / 스토리 복선 / 환경 단서로만 힌트</t>
        </is>
      </c>
      <c r="D16" s="8" t="inlineStr"/>
      <c r="E16" s="8" t="inlineStr">
        <is>
          <t>커뮤니티 협동 탐색!</t>
        </is>
      </c>
    </row>
  </sheetData>
  <mergeCells count="1">
    <mergeCell ref="A1:E1"/>
  </mergeCell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8" customWidth="1" min="1" max="1"/>
    <col width="16" customWidth="1" min="2" max="2"/>
    <col width="16" customWidth="1" min="3" max="3"/>
    <col width="28" customWidth="1" min="4" max="4"/>
    <col width="18" customWidth="1" min="5" max="5"/>
  </cols>
  <sheetData>
    <row r="1">
      <c r="A1" s="6" t="inlineStr">
        <is>
          <t>월드 이벤트 체인 (3종 대형)</t>
        </is>
      </c>
    </row>
    <row r="3">
      <c r="A3" s="7" t="inlineStr">
        <is>
          <t>단계</t>
        </is>
      </c>
      <c r="B3" s="7" t="inlineStr">
        <is>
          <t>이벤트</t>
        </is>
      </c>
      <c r="C3" s="7" t="inlineStr">
        <is>
          <t>트리거</t>
        </is>
      </c>
      <c r="D3" s="7" t="inlineStr">
        <is>
          <t>영향</t>
        </is>
      </c>
      <c r="E3" s="7" t="inlineStr">
        <is>
          <t>플레이어 행동</t>
        </is>
      </c>
    </row>
    <row r="4">
      <c r="A4" s="8" t="inlineStr">
        <is>
          <t>═══ 체인 1: 드래곤 각성 ═══</t>
        </is>
      </c>
      <c r="B4" s="8" t="inlineStr"/>
      <c r="C4" s="8" t="inlineStr"/>
      <c r="D4" s="8" t="inlineStr"/>
      <c r="E4" s="8" t="inlineStr"/>
    </row>
    <row r="5">
      <c r="A5" s="9" t="inlineStr">
        <is>
          <t>1단계</t>
        </is>
      </c>
      <c r="B5" s="9" t="inlineStr">
        <is>
          <t>🌋 화산 활동</t>
        </is>
      </c>
      <c r="C5" s="9" t="inlineStr">
        <is>
          <t>자동 (시즌 시작)</t>
        </is>
      </c>
      <c r="D5" s="9" t="inlineStr">
        <is>
          <t>불의 화산 지역 몬스터 ATK +50%</t>
        </is>
      </c>
      <c r="E5" s="9" t="inlineStr">
        <is>
          <t>화산 지역 무역 중단</t>
        </is>
      </c>
    </row>
    <row r="6">
      <c r="A6" s="8" t="inlineStr">
        <is>
          <t>2단계</t>
        </is>
      </c>
      <c r="B6" s="8" t="inlineStr">
        <is>
          <t>🐲 드래곤 군단 출현</t>
        </is>
      </c>
      <c r="C6" s="8" t="inlineStr">
        <is>
          <t>1단계 3일 후</t>
        </is>
      </c>
      <c r="D6" s="8" t="inlineStr">
        <is>
          <t>월드맵에 드래곤 10체 배회, 무역로 위협</t>
        </is>
      </c>
      <c r="E6" s="8" t="inlineStr">
        <is>
          <t>호위 or 우회 무역</t>
        </is>
      </c>
    </row>
    <row r="7">
      <c r="A7" s="9" t="inlineStr">
        <is>
          <t>3단계</t>
        </is>
      </c>
      <c r="B7" s="9" t="inlineStr">
        <is>
          <t>🏰 드래곤 성 공격</t>
        </is>
      </c>
      <c r="C7" s="9" t="inlineStr">
        <is>
          <t>2단계 2일 후</t>
        </is>
      </c>
      <c r="D7" s="9" t="inlineStr">
        <is>
          <t>랜덤 성 3개에 드래곤 공성전</t>
        </is>
      </c>
      <c r="E7" s="9" t="inlineStr">
        <is>
          <t>협동 방어!</t>
        </is>
      </c>
    </row>
    <row r="8">
      <c r="A8" s="8" t="inlineStr">
        <is>
          <t>4단계</t>
        </is>
      </c>
      <c r="B8" s="8" t="inlineStr">
        <is>
          <t>🐲 용왕 부활</t>
        </is>
      </c>
      <c r="C8" s="8" t="inlineStr">
        <is>
          <t>3단계 성 방어 실패 시</t>
        </is>
      </c>
      <c r="D8" s="8" t="inlineStr">
        <is>
          <t>서버 보스: 용왕 (HP 1,000,000)</t>
        </is>
      </c>
      <c r="E8" s="8" t="inlineStr">
        <is>
          <t>서버 전체 협동 레이드</t>
        </is>
      </c>
    </row>
    <row r="9">
      <c r="A9" s="9" t="inlineStr">
        <is>
          <t>분기A</t>
        </is>
      </c>
      <c r="B9" s="9" t="inlineStr">
        <is>
          <t>용왕 토벌 성공</t>
        </is>
      </c>
      <c r="C9" s="9" t="inlineStr">
        <is>
          <t>HP 0</t>
        </is>
      </c>
      <c r="D9" s="9" t="inlineStr">
        <is>
          <t>서버 버프: ATK +10% 1주일 + 용의 축복 칭호</t>
        </is>
      </c>
      <c r="E9" s="9" t="inlineStr">
        <is>
          <t>승리의 기쁨!</t>
        </is>
      </c>
    </row>
    <row r="10">
      <c r="A10" s="8" t="inlineStr">
        <is>
          <t>분기B</t>
        </is>
      </c>
      <c r="B10" s="8" t="inlineStr">
        <is>
          <t>용왕 토벌 실패</t>
        </is>
      </c>
      <c r="C10" s="8" t="inlineStr">
        <is>
          <t>72시간 경과</t>
        </is>
      </c>
      <c r="D10" s="8" t="inlineStr">
        <is>
          <t>용왕이 1개 지역 점령, 해당 영토 1주간 사용 불가</t>
        </is>
      </c>
      <c r="E10" s="8" t="inlineStr">
        <is>
          <t>피해 복구 퀘스트</t>
        </is>
      </c>
    </row>
    <row r="11">
      <c r="A11" s="9" t="inlineStr"/>
      <c r="B11" s="9" t="inlineStr"/>
      <c r="C11" s="9" t="inlineStr"/>
      <c r="D11" s="9" t="inlineStr"/>
      <c r="E11" s="9" t="inlineStr"/>
    </row>
    <row r="12">
      <c r="A12" s="8" t="inlineStr">
        <is>
          <t>═══ 체인 2: 마왕 부활 ═══</t>
        </is>
      </c>
      <c r="B12" s="8" t="inlineStr"/>
      <c r="C12" s="8" t="inlineStr"/>
      <c r="D12" s="8" t="inlineStr"/>
      <c r="E12" s="8" t="inlineStr"/>
    </row>
    <row r="13">
      <c r="A13" s="9" t="inlineStr">
        <is>
          <t>1단계</t>
        </is>
      </c>
      <c r="B13" s="9" t="inlineStr">
        <is>
          <t>☠️ 심연 진동</t>
        </is>
      </c>
      <c r="C13" s="9" t="inlineStr">
        <is>
          <t>자동 (시즌 중반)</t>
        </is>
      </c>
      <c r="D13" s="9" t="inlineStr">
        <is>
          <t>심연의 골짜기 몬스터 레벨 +10, PK 활성화</t>
        </is>
      </c>
      <c r="E13" s="9" t="inlineStr">
        <is>
          <t>카오스 구간 확대</t>
        </is>
      </c>
    </row>
    <row r="14">
      <c r="A14" s="8" t="inlineStr">
        <is>
          <t>2단계</t>
        </is>
      </c>
      <c r="B14" s="8" t="inlineStr">
        <is>
          <t>💀 언데드 침공</t>
        </is>
      </c>
      <c r="C14" s="8" t="inlineStr">
        <is>
          <t>1단계 5일 후</t>
        </is>
      </c>
      <c r="D14" s="8" t="inlineStr">
        <is>
          <t>모든 마을에 해골 웨이브 (1시간마다)</t>
        </is>
      </c>
      <c r="E14" s="8" t="inlineStr">
        <is>
          <t>마을 방어전!</t>
        </is>
      </c>
    </row>
    <row r="15">
      <c r="A15" s="9" t="inlineStr">
        <is>
          <t>3단계</t>
        </is>
      </c>
      <c r="B15" s="9" t="inlineStr">
        <is>
          <t>👿 마왕 사천왕</t>
        </is>
      </c>
      <c r="C15" s="9" t="inlineStr">
        <is>
          <t>2단계 3일 후</t>
        </is>
      </c>
      <c r="D15" s="9" t="inlineStr">
        <is>
          <t>4개 지역에 사천왕 보스 동시 출현</t>
        </is>
      </c>
      <c r="E15" s="9" t="inlineStr">
        <is>
          <t>4팀 분산 토벌</t>
        </is>
      </c>
    </row>
    <row r="16">
      <c r="A16" s="8" t="inlineStr">
        <is>
          <t>4단계</t>
        </is>
      </c>
      <c r="B16" s="8" t="inlineStr">
        <is>
          <t>👿 마왕 해방</t>
        </is>
      </c>
      <c r="C16" s="8" t="inlineStr">
        <is>
          <t>사천왕 3체 이상 토벌 실패 시</t>
        </is>
      </c>
      <c r="D16" s="8" t="inlineStr">
        <is>
          <t>마왕 부활! HP 2,000,000 + 전 서버 어둠</t>
        </is>
      </c>
      <c r="E16" s="8" t="inlineStr">
        <is>
          <t>최종 결전</t>
        </is>
      </c>
    </row>
    <row r="17">
      <c r="A17" s="9" t="inlineStr">
        <is>
          <t>분기A</t>
        </is>
      </c>
      <c r="B17" s="9" t="inlineStr">
        <is>
          <t>마왕 봉인 성공</t>
        </is>
      </c>
      <c r="C17" s="9" t="inlineStr">
        <is>
          <t>HP 0</t>
        </is>
      </c>
      <c r="D17" s="9" t="inlineStr">
        <is>
          <t>서버 버프: DEF +15% 1주 + "마왕을 봉인한 자"</t>
        </is>
      </c>
      <c r="E17" s="9" t="inlineStr">
        <is>
          <t>전설의 영웅!</t>
        </is>
      </c>
    </row>
    <row r="18">
      <c r="A18" s="8" t="inlineStr">
        <is>
          <t>분기B</t>
        </is>
      </c>
      <c r="B18" s="8" t="inlineStr">
        <is>
          <t>봉인 실패</t>
        </is>
      </c>
      <c r="C18" s="8" t="inlineStr">
        <is>
          <t>72시간</t>
        </is>
      </c>
      <c r="D18" s="8" t="inlineStr">
        <is>
          <t>전 서버 카르마 시스템 해제 1주 (무법 지대!)</t>
        </is>
      </c>
      <c r="E18" s="8" t="inlineStr">
        <is>
          <t>혼돈의 1주일!</t>
        </is>
      </c>
    </row>
    <row r="19">
      <c r="A19" s="9" t="inlineStr"/>
      <c r="B19" s="9" t="inlineStr"/>
      <c r="C19" s="9" t="inlineStr"/>
      <c r="D19" s="9" t="inlineStr"/>
      <c r="E19" s="9" t="inlineStr"/>
    </row>
    <row r="20">
      <c r="A20" s="8" t="inlineStr">
        <is>
          <t>═══ 체인 3: 상인 전쟁 ═══</t>
        </is>
      </c>
      <c r="B20" s="8" t="inlineStr"/>
      <c r="C20" s="8" t="inlineStr"/>
      <c r="D20" s="8" t="inlineStr"/>
      <c r="E20" s="8" t="inlineStr"/>
    </row>
    <row r="21">
      <c r="A21" s="9" t="inlineStr">
        <is>
          <t>1단계</t>
        </is>
      </c>
      <c r="B21" s="9" t="inlineStr">
        <is>
          <t>💰 무역품 고갈</t>
        </is>
      </c>
      <c r="C21" s="9" t="inlineStr">
        <is>
          <t>자동 (랜덤)</t>
        </is>
      </c>
      <c r="D21" s="9" t="inlineStr">
        <is>
          <t>특정 2개 물품 생산량 0, 가격 3배</t>
        </is>
      </c>
      <c r="E21" s="9" t="inlineStr">
        <is>
          <t>매점매석 기회!</t>
        </is>
      </c>
    </row>
    <row r="22">
      <c r="A22" s="8" t="inlineStr">
        <is>
          <t>2단계</t>
        </is>
      </c>
      <c r="B22" s="8" t="inlineStr">
        <is>
          <t>🏴‍☠️ 해적왕 출현</t>
        </is>
      </c>
      <c r="C22" s="8" t="inlineStr">
        <is>
          <t>1단계 2일 후</t>
        </is>
      </c>
      <c r="D22" s="8" t="inlineStr">
        <is>
          <t>모든 해상 루트에 해적왕 함대 (격파 가능)</t>
        </is>
      </c>
      <c r="E22" s="8" t="inlineStr">
        <is>
          <t>호위전 or 회피</t>
        </is>
      </c>
    </row>
    <row r="23">
      <c r="A23" s="9" t="inlineStr">
        <is>
          <t>3단계</t>
        </is>
      </c>
      <c r="B23" s="9" t="inlineStr">
        <is>
          <t>💰 무역 대전</t>
        </is>
      </c>
      <c r="C23" s="9" t="inlineStr">
        <is>
          <t>2단계 후</t>
        </is>
      </c>
      <c r="D23" s="9" t="inlineStr">
        <is>
          <t>가장 많은 이윤을 올린 혈맹이 무역 특권 획득</t>
        </is>
      </c>
      <c r="E23" s="9" t="inlineStr">
        <is>
          <t>거상 대결!</t>
        </is>
      </c>
    </row>
    <row r="24">
      <c r="A24" s="8" t="inlineStr">
        <is>
          <t>결과</t>
        </is>
      </c>
      <c r="B24" s="8" t="inlineStr">
        <is>
          <t>무역왕 결정</t>
        </is>
      </c>
      <c r="C24" s="8" t="inlineStr">
        <is>
          <t>3단계 7일 후</t>
        </is>
      </c>
      <c r="D24" s="8" t="inlineStr">
        <is>
          <t>1위 혈맹: 전 무역 수수료 면제 2주 + 칭호</t>
        </is>
      </c>
      <c r="E24" s="8" t="inlineStr">
        <is>
          <t>경제 패권!</t>
        </is>
      </c>
    </row>
  </sheetData>
  <mergeCells count="1">
    <mergeCell ref="A1:E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4" customWidth="1" min="1" max="1"/>
    <col width="38" customWidth="1" min="2" max="2"/>
    <col width="24" customWidth="1" min="3" max="3"/>
    <col width="16" customWidth="1" min="4" max="4"/>
  </cols>
  <sheetData>
    <row r="1">
      <c r="A1" s="6" t="inlineStr">
        <is>
          <t>용병 특성 유전 시스템 (30종+전설5종)</t>
        </is>
      </c>
    </row>
    <row r="3">
      <c r="A3" s="7" t="inlineStr">
        <is>
          <t>시스템</t>
        </is>
      </c>
      <c r="B3" s="7" t="inlineStr">
        <is>
          <t>상세</t>
        </is>
      </c>
      <c r="C3" s="7" t="inlineStr">
        <is>
          <t>예시</t>
        </is>
      </c>
      <c r="D3" s="7" t="inlineStr">
        <is>
          <t>재미 포인트</t>
        </is>
      </c>
    </row>
    <row r="4">
      <c r="A4" s="8" t="inlineStr">
        <is>
          <t>🧬 특성이란</t>
        </is>
      </c>
      <c r="B4" s="8" t="inlineStr">
        <is>
          <t>각 용병에게 랜덤 부여되는 고유 패시브 (최대 3개)</t>
        </is>
      </c>
      <c r="C4" s="8" t="inlineStr">
        <is>
          <t>드래곤나이트: 화염저항 + 용의 위압 + 철벽</t>
        </is>
      </c>
      <c r="D4" s="8" t="inlineStr">
        <is>
          <t>개체마다 다른 성능!</t>
        </is>
      </c>
    </row>
    <row r="5">
      <c r="A5" s="9" t="inlineStr"/>
      <c r="B5" s="9" t="inlineStr"/>
      <c r="C5" s="9" t="inlineStr">
        <is>
          <t>같은 드래곤나이트라도 특성이 다르면 완전히 다른 전략</t>
        </is>
      </c>
      <c r="D5" s="9" t="inlineStr"/>
    </row>
    <row r="6">
      <c r="A6" s="8" t="inlineStr"/>
      <c r="B6" s="8" t="inlineStr"/>
      <c r="C6" s="8" t="inlineStr"/>
      <c r="D6" s="8" t="inlineStr"/>
    </row>
    <row r="7">
      <c r="A7" s="9" t="inlineStr">
        <is>
          <t>📋 특성 종류 (30종)</t>
        </is>
      </c>
      <c r="B7" s="9" t="inlineStr"/>
      <c r="C7" s="9" t="inlineStr"/>
      <c r="D7" s="9" t="inlineStr"/>
    </row>
    <row r="8">
      <c r="A8" s="8" t="inlineStr">
        <is>
          <t>공격 특성 (10종)</t>
        </is>
      </c>
      <c r="B8" s="8" t="inlineStr">
        <is>
          <t>철권(ATK+8%) / 연타(다중타+1) / 맹독(독추가) / 회심(크리+10%) / 흡혈(HP흡수3%) / 관통(DEF무시15%) / 광전(HP낮을수록ATK↑) / 집중(단일DMG+20%) / 분노(킬시ATK+5%누적) / 기습(첫타2배)</t>
        </is>
      </c>
      <c r="C8" s="8" t="inlineStr"/>
      <c r="D8" s="8" t="inlineStr">
        <is>
          <t>딜러 특화 빌드!</t>
        </is>
      </c>
    </row>
    <row r="9">
      <c r="A9" s="9" t="inlineStr">
        <is>
          <t>방어 특성 (10종)</t>
        </is>
      </c>
      <c r="B9" s="9" t="inlineStr">
        <is>
          <t>철벽(DEF+10%) / 생명(HP+12%) / 재생(HP2%/초) / 반격(피격시30%반사) / 불굴(HP1에서1회생존) / 회피(15%회피) / 보호막(전투시작HP20%쉴드) / 저항(상태이상-50%) / 수호(인접아군DEF+5%) / 치유강화(받는힐+30%)</t>
        </is>
      </c>
      <c r="C9" s="9" t="inlineStr"/>
      <c r="D9" s="9" t="inlineStr">
        <is>
          <t>탱커 특화 빌드!</t>
        </is>
      </c>
    </row>
    <row r="10">
      <c r="A10" s="8" t="inlineStr">
        <is>
          <t>특수 특성 (10종)</t>
        </is>
      </c>
      <c r="B10" s="8" t="inlineStr">
        <is>
          <t>화염저항(화염DMG-50%) / 빙결저항(빙결-50%) / 용의위압(적ATK-5%) / 행운(드롭+10%) / 경험(EXP+15%) / 민첩(SPD+10%) / 수집(골드+10%) / 지도자(파티ATK+3%) / 천재(스킬DMG+12%) / 축복(모든스탯+3%)</t>
        </is>
      </c>
      <c r="C10" s="8" t="inlineStr"/>
      <c r="D10" s="8" t="inlineStr">
        <is>
          <t>유틸 특화!</t>
        </is>
      </c>
    </row>
    <row r="11">
      <c r="A11" s="9" t="inlineStr"/>
      <c r="B11" s="9" t="inlineStr"/>
      <c r="C11" s="9" t="inlineStr"/>
      <c r="D11" s="9" t="inlineStr"/>
    </row>
    <row r="12">
      <c r="A12" s="8" t="inlineStr">
        <is>
          <t>🧬 유전 규칙</t>
        </is>
      </c>
      <c r="B12" s="8" t="inlineStr"/>
      <c r="C12" s="8" t="inlineStr"/>
      <c r="D12" s="8" t="inlineStr"/>
    </row>
    <row r="13">
      <c r="A13" s="9" t="inlineStr">
        <is>
          <t>진화 합성 시</t>
        </is>
      </c>
      <c r="B13" s="9" t="inlineStr">
        <is>
          <t>재료 용병의 특성 중 50% 확률로 결과에 유전</t>
        </is>
      </c>
      <c r="C13" s="9" t="inlineStr">
        <is>
          <t>보병(철권+맹독) × 3 → 기사(철권 유전 50%)</t>
        </is>
      </c>
      <c r="D13" s="9" t="inlineStr">
        <is>
          <t>부모 특성 탐색!</t>
        </is>
      </c>
    </row>
    <row r="14">
      <c r="A14" s="8" t="inlineStr">
        <is>
          <t>각성 시</t>
        </is>
      </c>
      <c r="B14" s="8" t="inlineStr">
        <is>
          <t>20% 확률로 새 특성 1개 추가 획득</t>
        </is>
      </c>
      <c r="C14" s="8" t="inlineStr">
        <is>
          <t>드래곤나이트 각성 → +용의위압 20%</t>
        </is>
      </c>
      <c r="D14" s="8" t="inlineStr">
        <is>
          <t>각성의 보너스</t>
        </is>
      </c>
    </row>
    <row r="15">
      <c r="A15" s="9" t="inlineStr">
        <is>
          <t>초월 시</t>
        </is>
      </c>
      <c r="B15" s="9" t="inlineStr">
        <is>
          <t>특성 슬롯 +1 (최대 4개) + 전설 특성 해금</t>
        </is>
      </c>
      <c r="C15" s="9" t="inlineStr">
        <is>
          <t>특성 4개 = 극한 커스터마이징</t>
        </is>
      </c>
      <c r="D15" s="9" t="inlineStr">
        <is>
          <t>초월의 가치</t>
        </is>
      </c>
    </row>
    <row r="16">
      <c r="A16" s="8" t="inlineStr"/>
      <c r="B16" s="8" t="inlineStr"/>
      <c r="C16" s="8" t="inlineStr"/>
      <c r="D16" s="8" t="inlineStr"/>
    </row>
    <row r="17">
      <c r="A17" s="9" t="inlineStr">
        <is>
          <t>⭐ 전설 특성 (초월 전용, 5종)</t>
        </is>
      </c>
      <c r="B17" s="9" t="inlineStr"/>
      <c r="C17" s="9" t="inlineStr"/>
      <c r="D17" s="9" t="inlineStr"/>
    </row>
    <row r="18">
      <c r="A18" s="8" t="inlineStr">
        <is>
          <t>불사</t>
        </is>
      </c>
      <c r="B18" s="8" t="inlineStr">
        <is>
          <t>사망 시 HP 30%로 부활 (1회/전투)</t>
        </is>
      </c>
      <c r="C18" s="8" t="inlineStr"/>
      <c r="D18" s="8" t="inlineStr">
        <is>
          <t>궁극의 생존</t>
        </is>
      </c>
    </row>
    <row r="19">
      <c r="A19" s="9" t="inlineStr">
        <is>
          <t>천재 지휘관</t>
        </is>
      </c>
      <c r="B19" s="9" t="inlineStr">
        <is>
          <t>파티 전원 ATK/DEF +8%</t>
        </is>
      </c>
      <c r="C19" s="9" t="inlineStr"/>
      <c r="D19" s="9" t="inlineStr">
        <is>
          <t>최고의 리더</t>
        </is>
      </c>
    </row>
    <row r="20">
      <c r="A20" s="8" t="inlineStr">
        <is>
          <t>시간 왜곡</t>
        </is>
      </c>
      <c r="B20" s="8" t="inlineStr">
        <is>
          <t>모든 스킬 CD -25%</t>
        </is>
      </c>
      <c r="C20" s="8" t="inlineStr"/>
      <c r="D20" s="8" t="inlineStr">
        <is>
          <t>스킬 연사!</t>
        </is>
      </c>
    </row>
    <row r="21">
      <c r="A21" s="9" t="inlineStr">
        <is>
          <t>운명의 주사위</t>
        </is>
      </c>
      <c r="B21" s="9" t="inlineStr">
        <is>
          <t>매 공격 시 30% 확률로 DMG 3배</t>
        </is>
      </c>
      <c r="C21" s="9" t="inlineStr"/>
      <c r="D21" s="9" t="inlineStr">
        <is>
          <t>도박의 쾌감!</t>
        </is>
      </c>
    </row>
    <row r="22">
      <c r="A22" s="8" t="inlineStr">
        <is>
          <t>흡성대법</t>
        </is>
      </c>
      <c r="B22" s="8" t="inlineStr">
        <is>
          <t>킬 시 적 스탯의 5% 영구 흡수 (해당 전투 내)</t>
        </is>
      </c>
      <c r="C22" s="8" t="inlineStr"/>
      <c r="D22" s="8" t="inlineStr">
        <is>
          <t>강해질수록 더 강해짐!</t>
        </is>
      </c>
    </row>
    <row r="23">
      <c r="A23" s="9" t="inlineStr"/>
      <c r="B23" s="9" t="inlineStr"/>
      <c r="C23" s="9" t="inlineStr"/>
      <c r="D23" s="9" t="inlineStr"/>
    </row>
    <row r="24">
      <c r="A24" s="8" t="inlineStr">
        <is>
          <t>특성 리롤</t>
        </is>
      </c>
      <c r="B24" s="8" t="inlineStr">
        <is>
          <t>특성 재추첨: 5,000G + 재추첨석 (원정 보상)</t>
        </is>
      </c>
      <c r="C24" s="8" t="inlineStr">
        <is>
          <t>기존 특성 1개 랜덤 교체</t>
        </is>
      </c>
      <c r="D24" s="8" t="inlineStr">
        <is>
          <t>이상적 조합 추구</t>
        </is>
      </c>
    </row>
    <row r="25">
      <c r="A25" s="9" t="inlineStr">
        <is>
          <t>특성 잠금</t>
        </is>
      </c>
      <c r="B25" s="9" t="inlineStr">
        <is>
          <t>원하는 특성 1개 보호 후 리롤 (리롤 시 유지)</t>
        </is>
      </c>
      <c r="C25" s="9" t="inlineStr">
        <is>
          <t>잠금비용: 10,000G</t>
        </is>
      </c>
      <c r="D25" s="9" t="inlineStr">
        <is>
          <t>핵심 특성 보호</t>
        </is>
      </c>
    </row>
  </sheetData>
  <mergeCells count="1">
    <mergeCell ref="A1:D1"/>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4" customWidth="1" min="1" max="1"/>
    <col width="36" customWidth="1" min="2" max="2"/>
    <col width="14" customWidth="1" min="3" max="3"/>
    <col width="16" customWidth="1" min="4" max="4"/>
  </cols>
  <sheetData>
    <row r="1">
      <c r="A1" s="6" t="inlineStr">
        <is>
          <t>커스텀 IO 매치 생성</t>
        </is>
      </c>
    </row>
    <row r="3">
      <c r="A3" s="7" t="inlineStr">
        <is>
          <t>설정 항목</t>
        </is>
      </c>
      <c r="B3" s="7" t="inlineStr">
        <is>
          <t>선택지</t>
        </is>
      </c>
      <c r="C3" s="7" t="inlineStr">
        <is>
          <t>기본값</t>
        </is>
      </c>
      <c r="D3" s="7" t="inlineStr">
        <is>
          <t>재미 포인트</t>
        </is>
      </c>
    </row>
    <row r="4">
      <c r="A4" s="8" t="inlineStr">
        <is>
          <t>🎮 매치 생성</t>
        </is>
      </c>
      <c r="B4" s="8" t="inlineStr">
        <is>
          <t>방장이 룸 생성, 비밀번호 설정 가능</t>
        </is>
      </c>
      <c r="C4" s="8" t="inlineStr"/>
      <c r="D4" s="8" t="inlineStr">
        <is>
          <t>친구끼리!</t>
        </is>
      </c>
    </row>
    <row r="5">
      <c r="A5" s="9" t="inlineStr"/>
      <c r="B5" s="9" t="inlineStr"/>
      <c r="C5" s="9" t="inlineStr"/>
      <c r="D5" s="9" t="inlineStr"/>
    </row>
    <row r="6">
      <c r="A6" s="8" t="inlineStr">
        <is>
          <t>⏱️ 시간 제한</t>
        </is>
      </c>
      <c r="B6" s="8" t="inlineStr">
        <is>
          <t>3분 / 5분 / 10분 / 15분 / 무제한</t>
        </is>
      </c>
      <c r="C6" s="8" t="inlineStr">
        <is>
          <t>10분</t>
        </is>
      </c>
      <c r="D6" s="8" t="inlineStr">
        <is>
          <t>속전속결 or 장기전</t>
        </is>
      </c>
    </row>
    <row r="7">
      <c r="A7" s="9" t="inlineStr">
        <is>
          <t>👥 인원</t>
        </is>
      </c>
      <c r="B7" s="9" t="inlineStr">
        <is>
          <t>2~50명</t>
        </is>
      </c>
      <c r="C7" s="9" t="inlineStr">
        <is>
          <t>50명</t>
        </is>
      </c>
      <c r="D7" s="9" t="inlineStr">
        <is>
          <t>소규모 결투도 가능</t>
        </is>
      </c>
    </row>
    <row r="8">
      <c r="A8" s="8" t="inlineStr">
        <is>
          <t>🗡️ PvP</t>
        </is>
      </c>
      <c r="B8" s="8" t="inlineStr">
        <is>
          <t>켜기 / 끄기 / 5분 후 활성</t>
        </is>
      </c>
      <c r="C8" s="8" t="inlineStr">
        <is>
          <t>켜기</t>
        </is>
      </c>
      <c r="D8" s="8" t="inlineStr">
        <is>
          <t>협동 모드 가능!</t>
        </is>
      </c>
    </row>
    <row r="9">
      <c r="A9" s="9" t="inlineStr">
        <is>
          <t>💀 몬스터 강도</t>
        </is>
      </c>
      <c r="B9" s="9" t="inlineStr">
        <is>
          <t>×0.5 / ×1 / ×2 / ×5 / ×10</t>
        </is>
      </c>
      <c r="C9" s="9" t="inlineStr">
        <is>
          <t>×1</t>
        </is>
      </c>
      <c r="D9" s="9" t="inlineStr">
        <is>
          <t>지옥 난이도!</t>
        </is>
      </c>
    </row>
    <row r="10">
      <c r="A10" s="8" t="inlineStr">
        <is>
          <t>🎁 드롭률</t>
        </is>
      </c>
      <c r="B10" s="8" t="inlineStr">
        <is>
          <t>×0.5 / ×1 / ×2 / ×5</t>
        </is>
      </c>
      <c r="C10" s="8" t="inlineStr">
        <is>
          <t>×1</t>
        </is>
      </c>
      <c r="D10" s="8" t="inlineStr">
        <is>
          <t>파밍 모드</t>
        </is>
      </c>
    </row>
    <row r="11">
      <c r="A11" s="9" t="inlineStr">
        <is>
          <t>📏 자기장</t>
        </is>
      </c>
      <c r="B11" s="9" t="inlineStr">
        <is>
          <t>없음 / 느림 / 보통 / 빠름 / 즉시</t>
        </is>
      </c>
      <c r="C11" s="9" t="inlineStr">
        <is>
          <t>보통</t>
        </is>
      </c>
      <c r="D11" s="9" t="inlineStr">
        <is>
          <t>즉시 = 즉사전</t>
        </is>
      </c>
    </row>
    <row r="12">
      <c r="A12" s="8" t="inlineStr">
        <is>
          <t>🐲 보스</t>
        </is>
      </c>
      <c r="B12" s="8" t="inlineStr">
        <is>
          <t>없음 / 5웨이브마다 / 매 웨이브 / 보스만</t>
        </is>
      </c>
      <c r="C12" s="8" t="inlineStr">
        <is>
          <t>5웨이브마다</t>
        </is>
      </c>
      <c r="D12" s="8" t="inlineStr">
        <is>
          <t>보스 러시 커스텀</t>
        </is>
      </c>
    </row>
    <row r="13">
      <c r="A13" s="9" t="inlineStr">
        <is>
          <t>⚔️ 시작 레벨</t>
        </is>
      </c>
      <c r="B13" s="9" t="inlineStr">
        <is>
          <t>Lv.1 / Lv.10 / Lv.20 / Lv.MAX</t>
        </is>
      </c>
      <c r="C13" s="9" t="inlineStr">
        <is>
          <t>Lv.1</t>
        </is>
      </c>
      <c r="D13" s="9" t="inlineStr">
        <is>
          <t>풀빌드 대전!</t>
        </is>
      </c>
    </row>
    <row r="14">
      <c r="A14" s="8" t="inlineStr">
        <is>
          <t>🗡️ 무기 제한</t>
        </is>
      </c>
      <c r="B14" s="8" t="inlineStr">
        <is>
          <t>전체 / 근접만 / 원거리만 / 랜덤 1개 고정</t>
        </is>
      </c>
      <c r="C14" s="8" t="inlineStr">
        <is>
          <t>전체</t>
        </is>
      </c>
      <c r="D14" s="8" t="inlineStr">
        <is>
          <t>특수 룰</t>
        </is>
      </c>
    </row>
    <row r="15">
      <c r="A15" s="9" t="inlineStr">
        <is>
          <t>용병 참전</t>
        </is>
      </c>
      <c r="B15" s="9" t="inlineStr">
        <is>
          <t>허용 / 금지</t>
        </is>
      </c>
      <c r="C15" s="9" t="inlineStr">
        <is>
          <t>허용</t>
        </is>
      </c>
      <c r="D15" s="9" t="inlineStr">
        <is>
          <t>순수 실력전</t>
        </is>
      </c>
    </row>
    <row r="16">
      <c r="A16" s="8" t="inlineStr"/>
      <c r="B16" s="8" t="inlineStr"/>
      <c r="C16" s="8" t="inlineStr"/>
      <c r="D16" s="8" t="inlineStr"/>
    </row>
    <row r="17">
      <c r="A17" s="9" t="inlineStr">
        <is>
          <t>📋 인기 프리셋</t>
        </is>
      </c>
      <c r="B17" s="9" t="inlineStr"/>
      <c r="C17" s="9" t="inlineStr"/>
      <c r="D17" s="9" t="inlineStr"/>
    </row>
    <row r="18">
      <c r="A18" s="8" t="inlineStr">
        <is>
          <t>🔥 지옥 서바이벌</t>
        </is>
      </c>
      <c r="B18" s="8" t="inlineStr">
        <is>
          <t>몬스터 ×10, 15분, PvP 끄기, 보스 매웨이브</t>
        </is>
      </c>
      <c r="C18" s="8" t="inlineStr">
        <is>
          <t>협동 극한</t>
        </is>
      </c>
      <c r="D18" s="8" t="inlineStr">
        <is>
          <t>친구 협동</t>
        </is>
      </c>
    </row>
    <row r="19">
      <c r="A19" s="9" t="inlineStr">
        <is>
          <t>⚔️ 검투사</t>
        </is>
      </c>
      <c r="B19" s="9" t="inlineStr">
        <is>
          <t>2인, Lv.MAX, 몬스터 없음, 자기장 즉시</t>
        </is>
      </c>
      <c r="C19" s="9" t="inlineStr">
        <is>
          <t>1:1 풀빌드 결투</t>
        </is>
      </c>
      <c r="D19" s="9" t="inlineStr">
        <is>
          <t>실력 대결!</t>
        </is>
      </c>
    </row>
    <row r="20">
      <c r="A20" s="8" t="inlineStr">
        <is>
          <t>🏹 사냥 대회</t>
        </is>
      </c>
      <c r="B20" s="8" t="inlineStr">
        <is>
          <t>10인, 몬스터 ×2, PvP 끄기, 5분</t>
        </is>
      </c>
      <c r="C20" s="8" t="inlineStr">
        <is>
          <t>킬 카운트 경쟁</t>
        </is>
      </c>
      <c r="D20" s="8" t="inlineStr">
        <is>
          <t>누가 더 많이?</t>
        </is>
      </c>
    </row>
    <row r="21">
      <c r="A21" s="9" t="inlineStr">
        <is>
          <t>💀 불가능</t>
        </is>
      </c>
      <c r="B21" s="9" t="inlineStr">
        <is>
          <t>몬스터 ×10, Lv.1, 보스만, 3분</t>
        </is>
      </c>
      <c r="C21" s="9" t="inlineStr">
        <is>
          <t>도전 과제용</t>
        </is>
      </c>
      <c r="D21" s="9" t="inlineStr">
        <is>
          <t>1% 클리어율</t>
        </is>
      </c>
    </row>
    <row r="22">
      <c r="A22" s="8" t="inlineStr">
        <is>
          <t>🎉 파티 모드</t>
        </is>
      </c>
      <c r="B22" s="8" t="inlineStr">
        <is>
          <t>50인, 드롭 ×5, PvP 끄기, 무제한</t>
        </is>
      </c>
      <c r="C22" s="8" t="inlineStr">
        <is>
          <t>파밍 파티</t>
        </is>
      </c>
      <c r="D22" s="8" t="inlineStr">
        <is>
          <t>편안한 플레이</t>
        </is>
      </c>
    </row>
    <row r="23">
      <c r="A23" s="9" t="inlineStr"/>
      <c r="B23" s="9" t="inlineStr"/>
      <c r="C23" s="9" t="inlineStr"/>
      <c r="D23" s="9" t="inlineStr"/>
    </row>
    <row r="24">
      <c r="A24" s="8" t="inlineStr">
        <is>
          <t>🏆 커스텀 랭킹</t>
        </is>
      </c>
      <c r="B24" s="8" t="inlineStr">
        <is>
          <t>인기 프리셋별 클리어 랭킹 (시간/킬/생존)</t>
        </is>
      </c>
      <c r="C24" s="8" t="inlineStr"/>
      <c r="D24" s="8" t="inlineStr">
        <is>
          <t>커뮤니티 콘텐츠</t>
        </is>
      </c>
    </row>
    <row r="25">
      <c r="A25" s="9" t="inlineStr">
        <is>
          <t>공유</t>
        </is>
      </c>
      <c r="B25" s="9" t="inlineStr">
        <is>
          <t>내 프리셋 코드 공유 → 다른 플레이어가 복사 사용</t>
        </is>
      </c>
      <c r="C25" s="9" t="inlineStr"/>
      <c r="D25" s="9" t="inlineStr">
        <is>
          <t>창의적 규칙 전파!</t>
        </is>
      </c>
    </row>
  </sheetData>
  <mergeCells count="1">
    <mergeCell ref="A1:D1"/>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4" customWidth="1" min="1" max="1"/>
    <col width="8" customWidth="1" min="2" max="2"/>
    <col width="28" customWidth="1" min="3" max="3"/>
    <col width="12" customWidth="1" min="4" max="4"/>
    <col width="12" customWidth="1" min="5" max="5"/>
  </cols>
  <sheetData>
    <row r="1">
      <c r="A1" s="6" t="inlineStr">
        <is>
          <t>마법 연구 트리 (성 시설)</t>
        </is>
      </c>
    </row>
    <row r="3">
      <c r="A3" s="7" t="inlineStr">
        <is>
          <t>연구 분야</t>
        </is>
      </c>
      <c r="B3" s="7" t="inlineStr">
        <is>
          <t>레벨</t>
        </is>
      </c>
      <c r="C3" s="7" t="inlineStr">
        <is>
          <t>효과</t>
        </is>
      </c>
      <c r="D3" s="7" t="inlineStr">
        <is>
          <t>비용</t>
        </is>
      </c>
      <c r="E3" s="7" t="inlineStr">
        <is>
          <t>연구 시간</t>
        </is>
      </c>
    </row>
    <row r="4">
      <c r="A4" s="8" t="inlineStr">
        <is>
          <t>═══ 🗡️ 전투 연구 ═══</t>
        </is>
      </c>
      <c r="B4" s="8" t="inlineStr"/>
      <c r="C4" s="8" t="inlineStr"/>
      <c r="D4" s="8" t="inlineStr"/>
      <c r="E4" s="8" t="inlineStr"/>
    </row>
    <row r="5">
      <c r="A5" s="9" t="inlineStr">
        <is>
          <t>공격 강화</t>
        </is>
      </c>
      <c r="B5" s="9" t="inlineStr">
        <is>
          <t>1~10</t>
        </is>
      </c>
      <c r="C5" s="9" t="inlineStr">
        <is>
          <t>용병 ATK +2%/Lv (최대 +20%)</t>
        </is>
      </c>
      <c r="D5" s="9" t="inlineStr">
        <is>
          <t>1,000G×Lv</t>
        </is>
      </c>
      <c r="E5" s="9" t="inlineStr">
        <is>
          <t>10분×Lv</t>
        </is>
      </c>
    </row>
    <row r="6">
      <c r="A6" s="8" t="inlineStr">
        <is>
          <t>방어 강화</t>
        </is>
      </c>
      <c r="B6" s="8" t="inlineStr">
        <is>
          <t>1~10</t>
        </is>
      </c>
      <c r="C6" s="8" t="inlineStr">
        <is>
          <t>용병 DEF +2%/Lv (최대 +20%)</t>
        </is>
      </c>
      <c r="D6" s="8" t="inlineStr">
        <is>
          <t>1,000G×Lv</t>
        </is>
      </c>
      <c r="E6" s="8" t="inlineStr">
        <is>
          <t>10분×Lv</t>
        </is>
      </c>
    </row>
    <row r="7">
      <c r="A7" s="9" t="inlineStr">
        <is>
          <t>체력 강화</t>
        </is>
      </c>
      <c r="B7" s="9" t="inlineStr">
        <is>
          <t>1~10</t>
        </is>
      </c>
      <c r="C7" s="9" t="inlineStr">
        <is>
          <t>용병 HP +3%/Lv (최대 +30%)</t>
        </is>
      </c>
      <c r="D7" s="9" t="inlineStr">
        <is>
          <t>1,200G×Lv</t>
        </is>
      </c>
      <c r="E7" s="9" t="inlineStr">
        <is>
          <t>12분×Lv</t>
        </is>
      </c>
    </row>
    <row r="8">
      <c r="A8" s="8" t="inlineStr">
        <is>
          <t>크리 연구</t>
        </is>
      </c>
      <c r="B8" s="8" t="inlineStr">
        <is>
          <t>1~5</t>
        </is>
      </c>
      <c r="C8" s="8" t="inlineStr">
        <is>
          <t>크리 확률 +2%/Lv (최대 +10%)</t>
        </is>
      </c>
      <c r="D8" s="8" t="inlineStr">
        <is>
          <t>3,000G×Lv</t>
        </is>
      </c>
      <c r="E8" s="8" t="inlineStr">
        <is>
          <t>30분×Lv</t>
        </is>
      </c>
    </row>
    <row r="9">
      <c r="A9" s="9" t="inlineStr">
        <is>
          <t>스킬 마스터</t>
        </is>
      </c>
      <c r="B9" s="9" t="inlineStr">
        <is>
          <t>1~5</t>
        </is>
      </c>
      <c r="C9" s="9" t="inlineStr">
        <is>
          <t>스킬 DMG +4%/Lv (최대 +20%)</t>
        </is>
      </c>
      <c r="D9" s="9" t="inlineStr">
        <is>
          <t>5,000G×Lv</t>
        </is>
      </c>
      <c r="E9" s="9" t="inlineStr">
        <is>
          <t>60분×Lv</t>
        </is>
      </c>
    </row>
    <row r="10">
      <c r="A10" s="8" t="inlineStr"/>
      <c r="B10" s="8" t="inlineStr"/>
      <c r="C10" s="8" t="inlineStr"/>
      <c r="D10" s="8" t="inlineStr"/>
      <c r="E10" s="8" t="inlineStr"/>
    </row>
    <row r="11">
      <c r="A11" s="9" t="inlineStr">
        <is>
          <t>═══ 💰 경제 연구 ═══</t>
        </is>
      </c>
      <c r="B11" s="9" t="inlineStr"/>
      <c r="C11" s="9" t="inlineStr"/>
      <c r="D11" s="9" t="inlineStr"/>
      <c r="E11" s="9" t="inlineStr"/>
    </row>
    <row r="12">
      <c r="A12" s="8" t="inlineStr">
        <is>
          <t>무역 효율</t>
        </is>
      </c>
      <c r="B12" s="8" t="inlineStr">
        <is>
          <t>1~10</t>
        </is>
      </c>
      <c r="C12" s="8" t="inlineStr">
        <is>
          <t>무역 이윤 +3%/Lv (최대 +30%)</t>
        </is>
      </c>
      <c r="D12" s="8" t="inlineStr">
        <is>
          <t>2,000G×Lv</t>
        </is>
      </c>
      <c r="E12" s="8" t="inlineStr">
        <is>
          <t>15분×Lv</t>
        </is>
      </c>
    </row>
    <row r="13">
      <c r="A13" s="9" t="inlineStr">
        <is>
          <t>세금 최적화</t>
        </is>
      </c>
      <c r="B13" s="9" t="inlineStr">
        <is>
          <t>1~5</t>
        </is>
      </c>
      <c r="C13" s="9" t="inlineStr">
        <is>
          <t>영토 세수 +1%/Lv (최대 +5%)</t>
        </is>
      </c>
      <c r="D13" s="9" t="inlineStr">
        <is>
          <t>5,000G×Lv</t>
        </is>
      </c>
      <c r="E13" s="9" t="inlineStr">
        <is>
          <t>60분×Lv</t>
        </is>
      </c>
    </row>
    <row r="14">
      <c r="A14" s="8" t="inlineStr">
        <is>
          <t>자원 채집</t>
        </is>
      </c>
      <c r="B14" s="8" t="inlineStr">
        <is>
          <t>1~10</t>
        </is>
      </c>
      <c r="C14" s="8" t="inlineStr">
        <is>
          <t>원정 보상 +5%/Lv (최대 +50%)</t>
        </is>
      </c>
      <c r="D14" s="8" t="inlineStr">
        <is>
          <t>1,500G×Lv</t>
        </is>
      </c>
      <c r="E14" s="8" t="inlineStr">
        <is>
          <t>10분×Lv</t>
        </is>
      </c>
    </row>
    <row r="15">
      <c r="A15" s="9" t="inlineStr">
        <is>
          <t>제작 효율</t>
        </is>
      </c>
      <c r="B15" s="9" t="inlineStr">
        <is>
          <t>1~5</t>
        </is>
      </c>
      <c r="C15" s="9" t="inlineStr">
        <is>
          <t>장비 제작 비용 -5%/Lv (최대 -25%)</t>
        </is>
      </c>
      <c r="D15" s="9" t="inlineStr">
        <is>
          <t>4,000G×Lv</t>
        </is>
      </c>
      <c r="E15" s="9" t="inlineStr">
        <is>
          <t>45분×Lv</t>
        </is>
      </c>
    </row>
    <row r="16">
      <c r="A16" s="8" t="inlineStr"/>
      <c r="B16" s="8" t="inlineStr"/>
      <c r="C16" s="8" t="inlineStr"/>
      <c r="D16" s="8" t="inlineStr"/>
      <c r="E16" s="8" t="inlineStr"/>
    </row>
    <row r="17">
      <c r="A17" s="9" t="inlineStr">
        <is>
          <t>═══ 🏰 방어 연구 ═══</t>
        </is>
      </c>
      <c r="B17" s="9" t="inlineStr"/>
      <c r="C17" s="9" t="inlineStr"/>
      <c r="D17" s="9" t="inlineStr"/>
      <c r="E17" s="9" t="inlineStr"/>
    </row>
    <row r="18">
      <c r="A18" s="8" t="inlineStr">
        <is>
          <t>성벽 강화</t>
        </is>
      </c>
      <c r="B18" s="8" t="inlineStr">
        <is>
          <t>1~10</t>
        </is>
      </c>
      <c r="C18" s="8" t="inlineStr">
        <is>
          <t>성벽 HP +5%/Lv (최대 +50%)</t>
        </is>
      </c>
      <c r="D18" s="8" t="inlineStr">
        <is>
          <t>2,000G×Lv</t>
        </is>
      </c>
      <c r="E18" s="8" t="inlineStr">
        <is>
          <t>20분×Lv</t>
        </is>
      </c>
    </row>
    <row r="19">
      <c r="A19" s="9" t="inlineStr">
        <is>
          <t>함정 강화</t>
        </is>
      </c>
      <c r="B19" s="9" t="inlineStr">
        <is>
          <t>1~10</t>
        </is>
      </c>
      <c r="C19" s="9" t="inlineStr">
        <is>
          <t>함정 DMG +5%/Lv (최대 +50%)</t>
        </is>
      </c>
      <c r="D19" s="9" t="inlineStr">
        <is>
          <t>1,500G×Lv</t>
        </is>
      </c>
      <c r="E19" s="9" t="inlineStr">
        <is>
          <t>15분×Lv</t>
        </is>
      </c>
    </row>
    <row r="20">
      <c r="A20" s="8" t="inlineStr">
        <is>
          <t>시야 확장</t>
        </is>
      </c>
      <c r="B20" s="8" t="inlineStr">
        <is>
          <t>1~5</t>
        </is>
      </c>
      <c r="C20" s="8" t="inlineStr">
        <is>
          <t>감시탑 시야 +10%/Lv</t>
        </is>
      </c>
      <c r="D20" s="8" t="inlineStr">
        <is>
          <t>3,000G×Lv</t>
        </is>
      </c>
      <c r="E20" s="8" t="inlineStr">
        <is>
          <t>30분×Lv</t>
        </is>
      </c>
    </row>
    <row r="21">
      <c r="A21" s="9" t="inlineStr">
        <is>
          <t>긴급 수리</t>
        </is>
      </c>
      <c r="B21" s="9" t="inlineStr">
        <is>
          <t>1~3</t>
        </is>
      </c>
      <c r="C21" s="9" t="inlineStr">
        <is>
          <t>공성전 중 성벽 자동 회복 +1%/초/Lv</t>
        </is>
      </c>
      <c r="D21" s="9" t="inlineStr">
        <is>
          <t>10,000G×Lv</t>
        </is>
      </c>
      <c r="E21" s="9" t="inlineStr">
        <is>
          <t>120분×Lv</t>
        </is>
      </c>
    </row>
    <row r="22">
      <c r="A22" s="8" t="inlineStr"/>
      <c r="B22" s="8" t="inlineStr"/>
      <c r="C22" s="8" t="inlineStr"/>
      <c r="D22" s="8" t="inlineStr"/>
      <c r="E22" s="8" t="inlineStr"/>
    </row>
    <row r="23">
      <c r="A23" s="9" t="inlineStr">
        <is>
          <t>═══ 🧬 특수 연구 ═══</t>
        </is>
      </c>
      <c r="B23" s="9" t="inlineStr"/>
      <c r="C23" s="9" t="inlineStr"/>
      <c r="D23" s="9" t="inlineStr"/>
      <c r="E23" s="9" t="inlineStr"/>
    </row>
    <row r="24">
      <c r="A24" s="8" t="inlineStr">
        <is>
          <t>포획 기술</t>
        </is>
      </c>
      <c r="B24" s="8" t="inlineStr">
        <is>
          <t>1~5</t>
        </is>
      </c>
      <c r="C24" s="8" t="inlineStr">
        <is>
          <t>포획 확률 +3%/Lv (최대 +15%)</t>
        </is>
      </c>
      <c r="D24" s="8" t="inlineStr">
        <is>
          <t>5,000G×Lv</t>
        </is>
      </c>
      <c r="E24" s="8" t="inlineStr">
        <is>
          <t>60분×Lv</t>
        </is>
      </c>
    </row>
    <row r="25">
      <c r="A25" s="9" t="inlineStr">
        <is>
          <t>소환 행운</t>
        </is>
      </c>
      <c r="B25" s="9" t="inlineStr">
        <is>
          <t>1~3</t>
        </is>
      </c>
      <c r="C25" s="9" t="inlineStr">
        <is>
          <t>가챠 영웅+ 확률 +0.5%/Lv</t>
        </is>
      </c>
      <c r="D25" s="9" t="inlineStr">
        <is>
          <t>10,000G×Lv</t>
        </is>
      </c>
      <c r="E25" s="9" t="inlineStr">
        <is>
          <t>120분×Lv</t>
        </is>
      </c>
    </row>
    <row r="26">
      <c r="A26" s="8" t="inlineStr">
        <is>
          <t>특성 연구</t>
        </is>
      </c>
      <c r="B26" s="8" t="inlineStr">
        <is>
          <t>1~3</t>
        </is>
      </c>
      <c r="C26" s="8" t="inlineStr">
        <is>
          <t>진화 시 특성 유전 확률 +10%/Lv</t>
        </is>
      </c>
      <c r="D26" s="8" t="inlineStr">
        <is>
          <t>15,000G×Lv</t>
        </is>
      </c>
      <c r="E26" s="8" t="inlineStr">
        <is>
          <t>180분×Lv</t>
        </is>
      </c>
    </row>
    <row r="27">
      <c r="A27" s="9" t="inlineStr"/>
      <c r="B27" s="9" t="inlineStr"/>
      <c r="C27" s="9" t="inlineStr"/>
      <c r="D27" s="9" t="inlineStr"/>
      <c r="E27" s="9" t="inlineStr"/>
    </row>
    <row r="28">
      <c r="A28" s="8" t="inlineStr">
        <is>
          <t>연구소 규칙</t>
        </is>
      </c>
      <c r="B28" s="8" t="inlineStr">
        <is>
          <t>성 시설 "📚 학원" → "🔬 연구소"로 업그레이드 (20,000G)</t>
        </is>
      </c>
      <c r="C28" s="8" t="inlineStr">
        <is>
          <t>동시 연구 1개 (연구소 Lv.당 +1)</t>
        </is>
      </c>
      <c r="D28" s="8" t="inlineStr"/>
      <c r="E28" s="8" t="inlineStr"/>
    </row>
    <row r="29">
      <c r="A29" s="9" t="inlineStr">
        <is>
          <t>연구소 레벨</t>
        </is>
      </c>
      <c r="B29" s="9" t="inlineStr">
        <is>
          <t>Lv.1~3, 동시 연구 1/2/3개 가능</t>
        </is>
      </c>
      <c r="C29" s="9" t="inlineStr"/>
      <c r="D29" s="9" t="inlineStr"/>
      <c r="E29" s="9" t="inlineStr"/>
    </row>
    <row r="30">
      <c r="A30" s="8" t="inlineStr">
        <is>
          <t>총 연구 항목</t>
        </is>
      </c>
      <c r="B30" s="8" t="inlineStr">
        <is>
          <t>18개 분야, 총 126레벨</t>
        </is>
      </c>
      <c r="C30" s="8" t="inlineStr">
        <is>
          <t>전부 완료: ~6개월 (장기 목표!)</t>
        </is>
      </c>
      <c r="D30" s="8" t="inlineStr"/>
      <c r="E30" s="8" t="inlineStr"/>
    </row>
  </sheetData>
  <mergeCells count="1">
    <mergeCell ref="A1:E1"/>
  </mergeCell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6" customWidth="1" min="1" max="1"/>
    <col width="12" customWidth="1" min="2" max="2"/>
    <col width="36" customWidth="1" min="3" max="3"/>
    <col width="18" customWidth="1" min="4" max="4"/>
  </cols>
  <sheetData>
    <row r="1">
      <c r="A1" s="6" t="inlineStr">
        <is>
          <t>IO 환경 변수 시스템</t>
        </is>
      </c>
    </row>
    <row r="3">
      <c r="A3" s="7" t="inlineStr">
        <is>
          <t>변수</t>
        </is>
      </c>
      <c r="B3" s="7" t="inlineStr">
        <is>
          <t>종류</t>
        </is>
      </c>
      <c r="C3" s="7" t="inlineStr">
        <is>
          <t>효과</t>
        </is>
      </c>
      <c r="D3" s="7" t="inlineStr">
        <is>
          <t>전략 포인트</t>
        </is>
      </c>
    </row>
    <row r="4">
      <c r="A4" s="8" t="inlineStr">
        <is>
          <t>═══ 🗺️ 맵 변형 (매판 랜덤) ═══</t>
        </is>
      </c>
      <c r="B4" s="8" t="inlineStr"/>
      <c r="C4" s="8" t="inlineStr"/>
      <c r="D4" s="8" t="inlineStr"/>
    </row>
    <row r="5">
      <c r="A5" s="9" t="inlineStr">
        <is>
          <t>초원 맵 🌿</t>
        </is>
      </c>
      <c r="B5" s="9" t="inlineStr">
        <is>
          <t>기본</t>
        </is>
      </c>
      <c r="C5" s="9" t="inlineStr">
        <is>
          <t>평탄, 장애물 적음</t>
        </is>
      </c>
      <c r="D5" s="9" t="inlineStr">
        <is>
          <t>표준 전투</t>
        </is>
      </c>
    </row>
    <row r="6">
      <c r="A6" s="8" t="inlineStr">
        <is>
          <t>화산 맵 🌋</t>
        </is>
      </c>
      <c r="B6" s="8" t="inlineStr">
        <is>
          <t>특수</t>
        </is>
      </c>
      <c r="C6" s="8" t="inlineStr">
        <is>
          <t>용암 강(접촉 시 HP-10/초), 화산 분출(랜덤 범위 폭발)</t>
        </is>
      </c>
      <c r="D6" s="8" t="inlineStr">
        <is>
          <t>경로 선택 중요!</t>
        </is>
      </c>
    </row>
    <row r="7">
      <c r="A7" s="9" t="inlineStr">
        <is>
          <t>빙하 맵 ❄️</t>
        </is>
      </c>
      <c r="B7" s="9" t="inlineStr">
        <is>
          <t>특수</t>
        </is>
      </c>
      <c r="C7" s="9" t="inlineStr">
        <is>
          <t>빙판(이동 미끄러짐), 눈보라(시야 -50%), 동상(3초 정지 후 HP-5%)</t>
        </is>
      </c>
      <c r="D7" s="9" t="inlineStr">
        <is>
          <t>감속 지옥!</t>
        </is>
      </c>
    </row>
    <row r="8">
      <c r="A8" s="8" t="inlineStr">
        <is>
          <t>사막 맵 🏜️</t>
        </is>
      </c>
      <c r="B8" s="8" t="inlineStr">
        <is>
          <t>특수</t>
        </is>
      </c>
      <c r="C8" s="8" t="inlineStr">
        <is>
          <t>모래 폭풍(5초마다 전체 DMG 3), 오아시스(회복 지대 3곳)</t>
        </is>
      </c>
      <c r="D8" s="8" t="inlineStr">
        <is>
          <t>오아시스 쟁탈전</t>
        </is>
      </c>
    </row>
    <row r="9">
      <c r="A9" s="9" t="inlineStr">
        <is>
          <t>심연 맵 🌑</t>
        </is>
      </c>
      <c r="B9" s="9" t="inlineStr">
        <is>
          <t>특수</t>
        </is>
      </c>
      <c r="C9" s="9" t="inlineStr">
        <is>
          <t>전체 어둠(시야 3칸), 그림자 몬스터 추가, 빛 구슬 아이템</t>
        </is>
      </c>
      <c r="D9" s="9" t="inlineStr">
        <is>
          <t>공포 서바이벌</t>
        </is>
      </c>
    </row>
    <row r="10">
      <c r="A10" s="8" t="inlineStr">
        <is>
          <t>부유 섬 맵 ☁️</t>
        </is>
      </c>
      <c r="B10" s="8" t="inlineStr">
        <is>
          <t>희귀</t>
        </is>
      </c>
      <c r="C10" s="8" t="inlineStr">
        <is>
          <t>떨어지면 즉사하는 절벽, 점프 패드, 좁은 통로</t>
        </is>
      </c>
      <c r="D10" s="8" t="inlineStr">
        <is>
          <t>낙사 주의!</t>
        </is>
      </c>
    </row>
    <row r="11">
      <c r="A11" s="9" t="inlineStr"/>
      <c r="B11" s="9" t="inlineStr"/>
      <c r="C11" s="9" t="inlineStr"/>
      <c r="D11" s="9" t="inlineStr"/>
    </row>
    <row r="12">
      <c r="A12" s="8" t="inlineStr">
        <is>
          <t>═══ 🌤️ 날씨 (매치 중 변동) ═══</t>
        </is>
      </c>
      <c r="B12" s="8" t="inlineStr"/>
      <c r="C12" s="8" t="inlineStr"/>
      <c r="D12" s="8" t="inlineStr"/>
    </row>
    <row r="13">
      <c r="A13" s="9" t="inlineStr">
        <is>
          <t>맑음 ☀️</t>
        </is>
      </c>
      <c r="B13" s="9" t="inlineStr">
        <is>
          <t>기본</t>
        </is>
      </c>
      <c r="C13" s="9" t="inlineStr">
        <is>
          <t>효과 없음</t>
        </is>
      </c>
      <c r="D13" s="9" t="inlineStr"/>
    </row>
    <row r="14">
      <c r="A14" s="8" t="inlineStr">
        <is>
          <t>비 🌧️</t>
        </is>
      </c>
      <c r="B14" s="8" t="inlineStr">
        <is>
          <t>보통</t>
        </is>
      </c>
      <c r="C14" s="8" t="inlineStr">
        <is>
          <t>화염 DMG -30%, 번개 DMG +30%, 시야 -20%</t>
        </is>
      </c>
      <c r="D14" s="8" t="inlineStr">
        <is>
          <t>원소 상성 변경!</t>
        </is>
      </c>
    </row>
    <row r="15">
      <c r="A15" s="9" t="inlineStr">
        <is>
          <t>눈 ❄️</t>
        </is>
      </c>
      <c r="B15" s="9" t="inlineStr">
        <is>
          <t>보통</t>
        </is>
      </c>
      <c r="C15" s="9" t="inlineStr">
        <is>
          <t>이동속도 -15%, 냉기 DMG +30%, 화염 DMG +30%</t>
        </is>
      </c>
      <c r="D15" s="9" t="inlineStr">
        <is>
          <t>느리지만 강력한 전투</t>
        </is>
      </c>
    </row>
    <row r="16">
      <c r="A16" s="8" t="inlineStr">
        <is>
          <t>안개 🌫️</t>
        </is>
      </c>
      <c r="B16" s="8" t="inlineStr">
        <is>
          <t>보통</t>
        </is>
      </c>
      <c r="C16" s="8" t="inlineStr">
        <is>
          <t>시야 -60%, 암살 계열 ATK +20%, 원거리 명중 -40%</t>
        </is>
      </c>
      <c r="D16" s="8" t="inlineStr">
        <is>
          <t>매복의 기회!</t>
        </is>
      </c>
    </row>
    <row r="17">
      <c r="A17" s="9" t="inlineStr">
        <is>
          <t>폭풍 ⛈️</t>
        </is>
      </c>
      <c r="B17" s="9" t="inlineStr">
        <is>
          <t>희귀</t>
        </is>
      </c>
      <c r="C17" s="9" t="inlineStr">
        <is>
          <t>매 10초 랜덤 낙뢰(DMG 50), 시야 -40%, 전체 SPD -10%</t>
        </is>
      </c>
      <c r="D17" s="9" t="inlineStr">
        <is>
          <t>혼돈의 전장!</t>
        </is>
      </c>
    </row>
    <row r="18">
      <c r="A18" s="8" t="inlineStr">
        <is>
          <t>일식 🌑</t>
        </is>
      </c>
      <c r="B18" s="8" t="inlineStr">
        <is>
          <t>초희귀(5%)</t>
        </is>
      </c>
      <c r="C18" s="8" t="inlineStr">
        <is>
          <t>전체 어둠 + 몬스터 ATK 2배 + 드롭 3배</t>
        </is>
      </c>
      <c r="D18" s="8" t="inlineStr">
        <is>
          <t>위험 = 보상!</t>
        </is>
      </c>
    </row>
    <row r="19">
      <c r="A19" s="9" t="inlineStr"/>
      <c r="B19" s="9" t="inlineStr"/>
      <c r="C19" s="9" t="inlineStr"/>
      <c r="D19" s="9" t="inlineStr"/>
    </row>
    <row r="20">
      <c r="A20" s="8" t="inlineStr">
        <is>
          <t>═══ 🎲 매치 이벤트 (랜덤 발동) ═══</t>
        </is>
      </c>
      <c r="B20" s="8" t="inlineStr"/>
      <c r="C20" s="8" t="inlineStr"/>
      <c r="D20" s="8" t="inlineStr"/>
    </row>
    <row r="21">
      <c r="A21" s="9" t="inlineStr">
        <is>
          <t>보물 비 💰</t>
        </is>
      </c>
      <c r="B21" s="9" t="inlineStr">
        <is>
          <t>웨이브 7~15 사이 랜덤</t>
        </is>
      </c>
      <c r="C21" s="9" t="inlineStr">
        <is>
          <t>하늘에서 골드/장비 드롭, 30초간 쟁탈</t>
        </is>
      </c>
      <c r="D21" s="9" t="inlineStr">
        <is>
          <t>쟁탈전!</t>
        </is>
      </c>
    </row>
    <row r="22">
      <c r="A22" s="8" t="inlineStr">
        <is>
          <t>엘리트 침공 💀</t>
        </is>
      </c>
      <c r="B22" s="8" t="inlineStr">
        <is>
          <t>웨이브 10~20 사이</t>
        </is>
      </c>
      <c r="C22" s="8" t="inlineStr">
        <is>
          <t>엘리트 몬스터 5체 추가 출현</t>
        </is>
      </c>
      <c r="D22" s="8" t="inlineStr">
        <is>
          <t>킬하면 대박 보상</t>
        </is>
      </c>
    </row>
    <row r="23">
      <c r="A23" s="9" t="inlineStr">
        <is>
          <t>치유의 샘 💚</t>
        </is>
      </c>
      <c r="B23" s="9" t="inlineStr">
        <is>
          <t>웨이브 15~25 사이</t>
        </is>
      </c>
      <c r="C23" s="9" t="inlineStr">
        <is>
          <t>맵 중앙에 치유 샘 출현 (30초 유지)</t>
        </is>
      </c>
      <c r="D23" s="9" t="inlineStr">
        <is>
          <t>치유 쟁탈 + PvP</t>
        </is>
      </c>
    </row>
    <row r="24">
      <c r="A24" s="8" t="inlineStr">
        <is>
          <t>차원 균열 🌀</t>
        </is>
      </c>
      <c r="B24" s="8" t="inlineStr">
        <is>
          <t>웨이브 25+ (10%)</t>
        </is>
      </c>
      <c r="C24" s="8" t="inlineStr">
        <is>
          <t>균열에서 보스급 몬스터 1체 + 신화 재료 드롭 5%</t>
        </is>
      </c>
      <c r="D24" s="8" t="inlineStr">
        <is>
          <t>하이리스크 보너스!</t>
        </is>
      </c>
    </row>
    <row r="25">
      <c r="A25" s="9" t="inlineStr">
        <is>
          <t>무중력 ☁️</t>
        </is>
      </c>
      <c r="B25" s="9" t="inlineStr">
        <is>
          <t>웨이브 20+ (5%)</t>
        </is>
      </c>
      <c r="C25" s="9" t="inlineStr">
        <is>
          <t>20초간 이동속도 2배 + 점프 가능 + 투사체 느려짐</t>
        </is>
      </c>
      <c r="D25" s="9" t="inlineStr">
        <is>
          <t>카오스 30초!</t>
        </is>
      </c>
    </row>
  </sheetData>
  <mergeCells count="1">
    <mergeCell ref="A1:D1"/>
  </mergeCell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4" customWidth="1" min="2" max="2"/>
    <col width="14" customWidth="1" min="3" max="3"/>
    <col width="16" customWidth="1" min="4" max="4"/>
  </cols>
  <sheetData>
    <row r="1">
      <c r="A1" s="6" t="inlineStr">
        <is>
          <t>서버 연대기 시스템</t>
        </is>
      </c>
    </row>
    <row r="3">
      <c r="A3" s="7" t="inlineStr">
        <is>
          <t>시스템</t>
        </is>
      </c>
      <c r="B3" s="7" t="inlineStr">
        <is>
          <t>상세</t>
        </is>
      </c>
      <c r="C3" s="7" t="inlineStr">
        <is>
          <t>열람 방법</t>
        </is>
      </c>
      <c r="D3" s="7" t="inlineStr">
        <is>
          <t>재미 포인트</t>
        </is>
      </c>
    </row>
    <row r="4">
      <c r="A4" s="8" t="inlineStr">
        <is>
          <t>📜 자동 기록 항목</t>
        </is>
      </c>
      <c r="B4" s="8" t="inlineStr"/>
      <c r="C4" s="8" t="inlineStr"/>
      <c r="D4" s="8" t="inlineStr"/>
    </row>
    <row r="5">
      <c r="A5" s="9" t="inlineStr">
        <is>
          <t>최초 발견</t>
        </is>
      </c>
      <c r="B5" s="9" t="inlineStr">
        <is>
          <t>비밀 지역/히든 보스 최초 발견자 이름 + 날짜</t>
        </is>
      </c>
      <c r="C5" s="9" t="inlineStr">
        <is>
          <t>연대기 탭</t>
        </is>
      </c>
      <c r="D5" s="9" t="inlineStr">
        <is>
          <t>영원한 명예!</t>
        </is>
      </c>
    </row>
    <row r="6">
      <c r="A6" s="8" t="inlineStr">
        <is>
          <t>공성전 역사</t>
        </is>
      </c>
      <c r="B6" s="8" t="inlineStr">
        <is>
          <t>모든 공성전 승패 기록 — 공격자/방어자/혈맹/전투력</t>
        </is>
      </c>
      <c r="C6" s="8" t="inlineStr">
        <is>
          <t>공성전 탭</t>
        </is>
      </c>
      <c r="D6" s="8" t="inlineStr">
        <is>
          <t>전쟁의 역사</t>
        </is>
      </c>
    </row>
    <row r="7">
      <c r="A7" s="9" t="inlineStr">
        <is>
          <t>영토 변천사</t>
        </is>
      </c>
      <c r="B7" s="9" t="inlineStr">
        <is>
          <t>영토 소유자 변동 타임라인 (지도 시각화)</t>
        </is>
      </c>
      <c r="C7" s="9" t="inlineStr">
        <is>
          <t>월드맵 탭</t>
        </is>
      </c>
      <c r="D7" s="9" t="inlineStr">
        <is>
          <t>누가 언제 지배했나</t>
        </is>
      </c>
    </row>
    <row r="8">
      <c r="A8" s="8" t="inlineStr">
        <is>
          <t>혈맹 흥망사</t>
        </is>
      </c>
      <c r="B8" s="8" t="inlineStr">
        <is>
          <t>혈맹 결성/동맹/배신/해체 전부 기록</t>
        </is>
      </c>
      <c r="C8" s="8" t="inlineStr">
        <is>
          <t>혈맹 탭</t>
        </is>
      </c>
      <c r="D8" s="8" t="inlineStr">
        <is>
          <t>정치 드라마 기록</t>
        </is>
      </c>
    </row>
    <row r="9">
      <c r="A9" s="9" t="inlineStr">
        <is>
          <t>전설의 플레이어</t>
        </is>
      </c>
      <c r="B9" s="9" t="inlineStr">
        <is>
          <t>IO 최다 1위 / 공성 최다 승 / 무역왕 / PK왕 역대 기록</t>
        </is>
      </c>
      <c r="C9" s="9" t="inlineStr">
        <is>
          <t>명예의 전당</t>
        </is>
      </c>
      <c r="D9" s="9" t="inlineStr"/>
    </row>
    <row r="10">
      <c r="A10" s="8" t="inlineStr">
        <is>
          <t>월드 이벤트</t>
        </is>
      </c>
      <c r="B10" s="8" t="inlineStr">
        <is>
          <t>드래곤 각성/마왕 부활 등 체인 이벤트 결과 기록</t>
        </is>
      </c>
      <c r="C10" s="8" t="inlineStr">
        <is>
          <t>이벤트 탭</t>
        </is>
      </c>
      <c r="D10" s="8" t="inlineStr">
        <is>
          <t>서버의 운명은?</t>
        </is>
      </c>
    </row>
    <row r="11">
      <c r="A11" s="9" t="inlineStr">
        <is>
          <t>경제 역사</t>
        </is>
      </c>
      <c r="B11" s="9" t="inlineStr">
        <is>
          <t>물가 변동 그래프 (3개월 차트)</t>
        </is>
      </c>
      <c r="C11" s="9" t="inlineStr">
        <is>
          <t>경제 탭</t>
        </is>
      </c>
      <c r="D11" s="9" t="inlineStr">
        <is>
          <t>시세 트렌드</t>
        </is>
      </c>
    </row>
    <row r="12">
      <c r="A12" s="8" t="inlineStr"/>
      <c r="B12" s="8" t="inlineStr"/>
      <c r="C12" s="8" t="inlineStr"/>
      <c r="D12" s="8" t="inlineStr"/>
    </row>
    <row r="13">
      <c r="A13" s="9" t="inlineStr">
        <is>
          <t>📖 명예의 전당</t>
        </is>
      </c>
      <c r="B13" s="9" t="inlineStr"/>
      <c r="C13" s="9" t="inlineStr"/>
      <c r="D13" s="9" t="inlineStr"/>
    </row>
    <row r="14">
      <c r="A14" s="8" t="inlineStr">
        <is>
          <t>시즌 챔피언</t>
        </is>
      </c>
      <c r="B14" s="8" t="inlineStr">
        <is>
          <t>매 시즌 종합 랭킹 1위 플레이어 이름 영구 기록</t>
        </is>
      </c>
      <c r="C14" s="8" t="inlineStr"/>
      <c r="D14" s="8" t="inlineStr">
        <is>
          <t>영원한 기록</t>
        </is>
      </c>
    </row>
    <row r="15">
      <c r="A15" s="9" t="inlineStr">
        <is>
          <t>서버 최초</t>
        </is>
      </c>
      <c r="B15" s="9" t="inlineStr">
        <is>
          <t>최초 신화 용병 보유 / 최초 100층 클리어 / 최초 초월 등</t>
        </is>
      </c>
      <c r="C15" s="9" t="inlineStr"/>
      <c r="D15" s="9" t="inlineStr">
        <is>
          <t>선구자의 명예</t>
        </is>
      </c>
    </row>
    <row r="16">
      <c r="A16" s="8" t="inlineStr">
        <is>
          <t>혈맹 왕조</t>
        </is>
      </c>
      <c r="B16" s="8" t="inlineStr">
        <is>
          <t>최장 영토 유지 혈맹 + 기간</t>
        </is>
      </c>
      <c r="C16" s="8" t="inlineStr"/>
      <c r="D16" s="8" t="inlineStr">
        <is>
          <t>왕조의 역사</t>
        </is>
      </c>
    </row>
    <row r="17">
      <c r="A17" s="9" t="inlineStr"/>
      <c r="B17" s="9" t="inlineStr"/>
      <c r="C17" s="9" t="inlineStr"/>
      <c r="D17" s="9" t="inlineStr"/>
    </row>
    <row r="18">
      <c r="A18" s="8" t="inlineStr">
        <is>
          <t>🖼️ 기능</t>
        </is>
      </c>
      <c r="B18" s="8" t="inlineStr"/>
      <c r="C18" s="8" t="inlineStr"/>
      <c r="D18" s="8" t="inlineStr"/>
    </row>
    <row r="19">
      <c r="A19" s="9" t="inlineStr">
        <is>
          <t>스크린샷</t>
        </is>
      </c>
      <c r="B19" s="9" t="inlineStr">
        <is>
          <t>주요 이벤트 시 자동 스크린샷 저장</t>
        </is>
      </c>
      <c r="C19" s="9" t="inlineStr">
        <is>
          <t>갤러리</t>
        </is>
      </c>
      <c r="D19" s="9" t="inlineStr">
        <is>
          <t>추억 보관</t>
        </is>
      </c>
    </row>
    <row r="20">
      <c r="A20" s="8" t="inlineStr">
        <is>
          <t>공유</t>
        </is>
      </c>
      <c r="B20" s="8" t="inlineStr">
        <is>
          <t>연대기 내용 SNS/디스코드 공유 버튼</t>
        </is>
      </c>
      <c r="C20" s="8" t="inlineStr"/>
      <c r="D20" s="8" t="inlineStr">
        <is>
          <t>커뮤니티 확산</t>
        </is>
      </c>
    </row>
    <row r="21">
      <c r="A21" s="9" t="inlineStr">
        <is>
          <t>서버 신문</t>
        </is>
      </c>
      <c r="B21" s="9" t="inlineStr">
        <is>
          <t>매주 자동 생성 — "이번 주의 사건" 요약</t>
        </is>
      </c>
      <c r="C21" s="9" t="inlineStr">
        <is>
          <t>SLG 메인 공지</t>
        </is>
      </c>
      <c r="D21" s="9" t="inlineStr">
        <is>
          <t>읽는 재미!</t>
        </is>
      </c>
    </row>
  </sheetData>
  <mergeCells count="1">
    <mergeCell ref="A1:D1"/>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2" customWidth="1" min="1" max="1"/>
    <col width="30" customWidth="1" min="2" max="2"/>
    <col width="18" customWidth="1" min="3" max="3"/>
    <col width="22" customWidth="1" min="4" max="4"/>
    <col width="16" customWidth="1" min="5" max="5"/>
  </cols>
  <sheetData>
    <row r="1">
      <c r="A1" s="6" t="inlineStr">
        <is>
          <t>차원 정복 — 최종 엔드게임</t>
        </is>
      </c>
    </row>
    <row r="3">
      <c r="A3" s="7" t="inlineStr">
        <is>
          <t>단계</t>
        </is>
      </c>
      <c r="B3" s="7" t="inlineStr">
        <is>
          <t>내용</t>
        </is>
      </c>
      <c r="C3" s="7" t="inlineStr">
        <is>
          <t>참가 조건</t>
        </is>
      </c>
      <c r="D3" s="7" t="inlineStr">
        <is>
          <t>보상</t>
        </is>
      </c>
      <c r="E3" s="7" t="inlineStr">
        <is>
          <t>핵심</t>
        </is>
      </c>
    </row>
    <row r="4">
      <c r="A4" s="8" t="inlineStr">
        <is>
          <t>═══ 최종 엔드게임 ═══</t>
        </is>
      </c>
      <c r="B4" s="8" t="inlineStr">
        <is>
          <t>차원 균열을 통해 다른 차원을 정복하는 서버 통합 콘텐츠</t>
        </is>
      </c>
      <c r="C4" s="8" t="inlineStr"/>
      <c r="D4" s="8" t="inlineStr"/>
      <c r="E4" s="8" t="inlineStr"/>
    </row>
    <row r="5">
      <c r="A5" s="9" t="inlineStr"/>
      <c r="B5" s="9" t="inlineStr"/>
      <c r="C5" s="9" t="inlineStr"/>
      <c r="D5" s="9" t="inlineStr"/>
      <c r="E5" s="9" t="inlineStr"/>
    </row>
    <row r="6">
      <c r="A6" s="8" t="inlineStr">
        <is>
          <t>1차원: 불의 차원</t>
        </is>
      </c>
      <c r="B6" s="8" t="inlineStr">
        <is>
          <t>화염 몬스터만 등장, 환경: 전역 화상 1/초</t>
        </is>
      </c>
      <c r="C6" s="8" t="inlineStr">
        <is>
          <t>심연의 탑 50층+</t>
        </is>
      </c>
      <c r="D6" s="8" t="inlineStr">
        <is>
          <t>차원석 ×10, 화염 신화 재료</t>
        </is>
      </c>
      <c r="E6" s="8" t="inlineStr">
        <is>
          <t>냉기 용병 필수!</t>
        </is>
      </c>
    </row>
    <row r="7">
      <c r="A7" s="9" t="inlineStr">
        <is>
          <t>2차원: 얼음 차원</t>
        </is>
      </c>
      <c r="B7" s="9" t="inlineStr">
        <is>
          <t>전체 감속 -30%, 빙결 몬스터</t>
        </is>
      </c>
      <c r="C7" s="9" t="inlineStr">
        <is>
          <t>심연 70층+</t>
        </is>
      </c>
      <c r="D7" s="9" t="inlineStr">
        <is>
          <t>차원석 ×15, 빙결 신화 재료</t>
        </is>
      </c>
      <c r="E7" s="9" t="inlineStr">
        <is>
          <t>화염 용병 필수!</t>
        </is>
      </c>
    </row>
    <row r="8">
      <c r="A8" s="8" t="inlineStr">
        <is>
          <t>3차원: 어둠 차원</t>
        </is>
      </c>
      <c r="B8" s="8" t="inlineStr">
        <is>
          <t>시야 0, 소리로만 판단, 그림자 보스</t>
        </is>
      </c>
      <c r="C8" s="8" t="inlineStr">
        <is>
          <t>심연 90층+</t>
        </is>
      </c>
      <c r="D8" s="8" t="inlineStr">
        <is>
          <t>차원석 ×20, 암흑 신화 재료</t>
        </is>
      </c>
      <c r="E8" s="8" t="inlineStr">
        <is>
          <t>빛 용병 + 감 필수!</t>
        </is>
      </c>
    </row>
    <row r="9">
      <c r="A9" s="9" t="inlineStr">
        <is>
          <t>4차원: 혼돈 차원</t>
        </is>
      </c>
      <c r="B9" s="9" t="inlineStr">
        <is>
          <t>모든 스탯 매 10초 랜덤 변동</t>
        </is>
      </c>
      <c r="C9" s="9" t="inlineStr">
        <is>
          <t>심연 100층 + 전투력 20,000+</t>
        </is>
      </c>
      <c r="D9" s="9" t="inlineStr">
        <is>
          <t>차원석 ×30, 혼돈 신화 재료</t>
        </is>
      </c>
      <c r="E9" s="9" t="inlineStr">
        <is>
          <t>적응력 시험!</t>
        </is>
      </c>
    </row>
    <row r="10">
      <c r="A10" s="8" t="inlineStr">
        <is>
          <t>5차원: 시간 차원</t>
        </is>
      </c>
      <c r="B10" s="8" t="inlineStr">
        <is>
          <t>3분 제한, 적 무한 리젠, 시간 역행 함정</t>
        </is>
      </c>
      <c r="C10" s="8" t="inlineStr">
        <is>
          <t>모든 차원 클리어</t>
        </is>
      </c>
      <c r="D10" s="8" t="inlineStr">
        <is>
          <t>차원석 ×50, 시간 신화 재료</t>
        </is>
      </c>
      <c r="E10" s="8" t="inlineStr">
        <is>
          <t>DPS 극한!</t>
        </is>
      </c>
    </row>
    <row r="11">
      <c r="A11" s="9" t="inlineStr"/>
      <c r="B11" s="9" t="inlineStr"/>
      <c r="C11" s="9" t="inlineStr"/>
      <c r="D11" s="9" t="inlineStr"/>
      <c r="E11" s="9" t="inlineStr"/>
    </row>
    <row r="12">
      <c r="A12" s="8" t="inlineStr">
        <is>
          <t>최종: 태초의 차원</t>
        </is>
      </c>
      <c r="B12" s="8" t="inlineStr">
        <is>
          <t>태초의 존재 정체와 대면 — 3페이즈 최종 보스</t>
        </is>
      </c>
      <c r="C12" s="8" t="inlineStr">
        <is>
          <t>5차원 클리어 + 서버 TOP 10</t>
        </is>
      </c>
      <c r="D12" s="8" t="inlineStr">
        <is>
          <t>초신화 용병 선택권 + "차원의 정복자" 칭호 + 서버 영구 기념비</t>
        </is>
      </c>
      <c r="E12" s="8" t="inlineStr">
        <is>
          <t>게임의 끝</t>
        </is>
      </c>
    </row>
    <row r="13">
      <c r="A13" s="9" t="inlineStr"/>
      <c r="B13" s="9" t="inlineStr"/>
      <c r="C13" s="9" t="inlineStr"/>
      <c r="D13" s="9" t="inlineStr"/>
      <c r="E13" s="9" t="inlineStr"/>
    </row>
    <row r="14">
      <c r="A14" s="8" t="inlineStr">
        <is>
          <t>차원석 용도</t>
        </is>
      </c>
      <c r="B14" s="8" t="inlineStr">
        <is>
          <t>차원 상점에서 교환: 초월 재료 / 전설 특성 리롤 / 한정 스킨</t>
        </is>
      </c>
      <c r="C14" s="8" t="inlineStr"/>
      <c r="D14" s="8" t="inlineStr"/>
      <c r="E14" s="8" t="inlineStr">
        <is>
          <t>유일한 획득처</t>
        </is>
      </c>
    </row>
    <row r="15">
      <c r="A15" s="9" t="inlineStr">
        <is>
          <t>주간 리셋</t>
        </is>
      </c>
      <c r="B15" s="9" t="inlineStr">
        <is>
          <t>각 차원 주 1회 클리어 가능</t>
        </is>
      </c>
      <c r="C15" s="9" t="inlineStr"/>
      <c r="D15" s="9" t="inlineStr"/>
      <c r="E15" s="9" t="inlineStr"/>
    </row>
    <row r="16">
      <c r="A16" s="8" t="inlineStr">
        <is>
          <t>협동</t>
        </is>
      </c>
      <c r="B16" s="8" t="inlineStr">
        <is>
          <t>1~5차원: 솔로 or 파티 / 최종: 서버 TOP 10 협동</t>
        </is>
      </c>
      <c r="C16" s="8" t="inlineStr"/>
      <c r="D16" s="8" t="inlineStr"/>
      <c r="E16" s="8" t="inlineStr">
        <is>
          <t>최강자 연합!</t>
        </is>
      </c>
    </row>
    <row r="17">
      <c r="A17" s="9" t="inlineStr">
        <is>
          <t>랭킹</t>
        </is>
      </c>
      <c r="B17" s="9" t="inlineStr">
        <is>
          <t>클리어 시간 랭킹, 1위: "차원의 패자" 칭호</t>
        </is>
      </c>
      <c r="C17" s="9" t="inlineStr"/>
      <c r="D17" s="9" t="inlineStr"/>
      <c r="E17" s="9" t="inlineStr"/>
    </row>
  </sheetData>
  <mergeCells count="1">
    <mergeCell ref="A1:E1"/>
  </mergeCell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12" customWidth="1" min="1" max="1"/>
    <col width="10" customWidth="1" min="2" max="2"/>
    <col width="36" customWidth="1" min="3" max="3"/>
    <col width="24" customWidth="1" min="4" max="4"/>
  </cols>
  <sheetData>
    <row r="1">
      <c r="A1" s="6" t="inlineStr">
        <is>
          <t>업적 대전과 &amp; 도감 (600+ 항목)</t>
        </is>
      </c>
    </row>
    <row r="3">
      <c r="A3" s="7" t="inlineStr">
        <is>
          <t>카테고리</t>
        </is>
      </c>
      <c r="B3" s="7" t="inlineStr">
        <is>
          <t>업적 수</t>
        </is>
      </c>
      <c r="C3" s="7" t="inlineStr">
        <is>
          <t>예시</t>
        </is>
      </c>
      <c r="D3" s="7" t="inlineStr">
        <is>
          <t>보상 체계</t>
        </is>
      </c>
    </row>
    <row r="4">
      <c r="A4" s="8" t="inlineStr">
        <is>
          <t>🗡️ 전투</t>
        </is>
      </c>
      <c r="B4" s="8" t="inlineStr">
        <is>
          <t>80개</t>
        </is>
      </c>
      <c r="C4" s="8" t="inlineStr">
        <is>
          <t>첫 킬 / 100킬 / 1000킬 / PvP 10승 / 보스 솔로킬</t>
        </is>
      </c>
      <c r="D4" s="8" t="inlineStr">
        <is>
          <t>단계별 골드 + 💎 + 칭호</t>
        </is>
      </c>
    </row>
    <row r="5">
      <c r="A5" s="9" t="inlineStr">
        <is>
          <t>🐲 용병</t>
        </is>
      </c>
      <c r="B5" s="9" t="inlineStr">
        <is>
          <t>100개</t>
        </is>
      </c>
      <c r="C5" s="9" t="inlineStr">
        <is>
          <t>첫 소환 / 등급별 수집 / 각성 10회 / 초월 달성 / 전 용병 수집</t>
        </is>
      </c>
      <c r="D5" s="9" t="inlineStr">
        <is>
          <t>용병 카드 + 소환권 + 스킨</t>
        </is>
      </c>
    </row>
    <row r="6">
      <c r="A6" s="8" t="inlineStr">
        <is>
          <t>🏰 공성전</t>
        </is>
      </c>
      <c r="B6" s="8" t="inlineStr">
        <is>
          <t>60개</t>
        </is>
      </c>
      <c r="C6" s="8" t="inlineStr">
        <is>
          <t>첫 공격 / 첫 방어 / 10승 / 50승 / 100승 / 혈맹 공성 참여</t>
        </is>
      </c>
      <c r="D6" s="8" t="inlineStr">
        <is>
          <t>골드 + 칭호 + 공성 전용 스킨</t>
        </is>
      </c>
    </row>
    <row r="7">
      <c r="A7" s="9" t="inlineStr">
        <is>
          <t>💰 무역</t>
        </is>
      </c>
      <c r="B7" s="9" t="inlineStr">
        <is>
          <t>50개</t>
        </is>
      </c>
      <c r="C7" s="9" t="inlineStr">
        <is>
          <t>첫 무역 / 10만G 수익 / 100만G / 무역왕 / 전 루트 완주</t>
        </is>
      </c>
      <c r="D7" s="9" t="inlineStr">
        <is>
          <t>골드 + 무역 버프 + 칭호</t>
        </is>
      </c>
    </row>
    <row r="8">
      <c r="A8" s="8" t="inlineStr">
        <is>
          <t>🐾 포획</t>
        </is>
      </c>
      <c r="B8" s="8" t="inlineStr">
        <is>
          <t>50개</t>
        </is>
      </c>
      <c r="C8" s="8" t="inlineStr">
        <is>
          <t>첫 포획 / 10종 / 전종 / 진화 / 교배 / 합체 변신</t>
        </is>
      </c>
      <c r="D8" s="8" t="inlineStr">
        <is>
          <t>포획 도구 + 특수 알 + 칭호</t>
        </is>
      </c>
    </row>
    <row r="9">
      <c r="A9" s="9" t="inlineStr">
        <is>
          <t>🏆 PvP</t>
        </is>
      </c>
      <c r="B9" s="9" t="inlineStr">
        <is>
          <t>40개</t>
        </is>
      </c>
      <c r="C9" s="9" t="inlineStr">
        <is>
          <t>아레나 10승 / 각 랭크 달성 / 다이아 / 마스터 / 전설</t>
        </is>
      </c>
      <c r="D9" s="9" t="inlineStr">
        <is>
          <t>💎 + 전용 프레임 + 스킨</t>
        </is>
      </c>
    </row>
    <row r="10">
      <c r="A10" s="8" t="inlineStr">
        <is>
          <t>📖 스토리</t>
        </is>
      </c>
      <c r="B10" s="8" t="inlineStr">
        <is>
          <t>30개</t>
        </is>
      </c>
      <c r="C10" s="8" t="inlineStr">
        <is>
          <t>메인 스토리 완료 / 용병 스토리 / 히든 엔딩 발견</t>
        </is>
      </c>
      <c r="D10" s="8" t="inlineStr">
        <is>
          <t>로어 해금 + 💎</t>
        </is>
      </c>
    </row>
    <row r="11">
      <c r="A11" s="9" t="inlineStr">
        <is>
          <t>🌍 탐험</t>
        </is>
      </c>
      <c r="B11" s="9" t="inlineStr">
        <is>
          <t>40개</t>
        </is>
      </c>
      <c r="C11" s="9" t="inlineStr">
        <is>
          <t>전 지역 방문 / 비밀 지역 발견 / 차원 클리어</t>
        </is>
      </c>
      <c r="D11" s="9" t="inlineStr">
        <is>
          <t>칭호 + 신화 재료</t>
        </is>
      </c>
    </row>
    <row r="12">
      <c r="A12" s="8" t="inlineStr">
        <is>
          <t>🤝 소셜</t>
        </is>
      </c>
      <c r="B12" s="8" t="inlineStr">
        <is>
          <t>30개</t>
        </is>
      </c>
      <c r="C12" s="8" t="inlineStr">
        <is>
          <t>혈맹 가입 / 친구 10명 / 멘토링 / 혈맹 레이드 참여</t>
        </is>
      </c>
      <c r="D12" s="8" t="inlineStr">
        <is>
          <t>소셜 보상 + 칭호</t>
        </is>
      </c>
    </row>
    <row r="13">
      <c r="A13" s="9" t="inlineStr">
        <is>
          <t>🏅 기록</t>
        </is>
      </c>
      <c r="B13" s="9" t="inlineStr">
        <is>
          <t>20개</t>
        </is>
      </c>
      <c r="C13" s="9" t="inlineStr">
        <is>
          <t>심연 50/80/100층 / IO 1위 10회 / 전투력 10000/50000</t>
        </is>
      </c>
      <c r="D13" s="9" t="inlineStr">
        <is>
          <t>전용 이펙트 + 칭호</t>
        </is>
      </c>
    </row>
    <row r="14">
      <c r="A14" s="8" t="inlineStr">
        <is>
          <t>🔮 수집</t>
        </is>
      </c>
      <c r="B14" s="8" t="inlineStr">
        <is>
          <t>50개</t>
        </is>
      </c>
      <c r="C14" s="8" t="inlineStr">
        <is>
          <t>장비 수집 / 스킨 수집 / 칭호 수집 / 레시피 발견</t>
        </is>
      </c>
      <c r="D14" s="8" t="inlineStr">
        <is>
          <t>수집 보상 + 도감 프레임</t>
        </is>
      </c>
    </row>
    <row r="15">
      <c r="A15" s="9" t="inlineStr">
        <is>
          <t>⭐ 히든</t>
        </is>
      </c>
      <c r="B15" s="9" t="inlineStr">
        <is>
          <t>50개 (???표시)</t>
        </is>
      </c>
      <c r="C15" s="9" t="inlineStr">
        <is>
          <t>비밀 지역 / 히든 보스 / 이스터에그 / 특수 조건</t>
        </is>
      </c>
      <c r="D15" s="9" t="inlineStr">
        <is>
          <t>최대 보상 + 서버 공지</t>
        </is>
      </c>
    </row>
    <row r="16">
      <c r="A16" s="8" t="inlineStr"/>
      <c r="B16" s="8" t="inlineStr"/>
      <c r="C16" s="8" t="inlineStr"/>
      <c r="D16" s="8" t="inlineStr"/>
    </row>
    <row r="17">
      <c r="A17" s="9" t="inlineStr">
        <is>
          <t>총 업적</t>
        </is>
      </c>
      <c r="B17" s="9" t="inlineStr">
        <is>
          <t>600개</t>
        </is>
      </c>
      <c r="C17" s="9" t="inlineStr"/>
      <c r="D17" s="9" t="inlineStr"/>
    </row>
    <row r="18">
      <c r="A18" s="8" t="inlineStr">
        <is>
          <t>마일스톤</t>
        </is>
      </c>
      <c r="B18" s="8" t="inlineStr">
        <is>
          <t>100개: 💎×200 / 300개: 신화재료 / 500개: "전설의 모험가" / 600개: "완벽주의자"</t>
        </is>
      </c>
      <c r="C18" s="8" t="inlineStr"/>
      <c r="D18" s="8" t="inlineStr"/>
    </row>
    <row r="19">
      <c r="A19" s="9" t="inlineStr"/>
      <c r="B19" s="9" t="inlineStr"/>
      <c r="C19" s="9" t="inlineStr"/>
      <c r="D19" s="9" t="inlineStr"/>
    </row>
    <row r="20">
      <c r="A20" s="8" t="inlineStr">
        <is>
          <t>📚 도감</t>
        </is>
      </c>
      <c r="B20" s="8" t="inlineStr"/>
      <c r="C20" s="8" t="inlineStr"/>
      <c r="D20" s="8" t="inlineStr"/>
    </row>
    <row r="21">
      <c r="A21" s="9" t="inlineStr">
        <is>
          <t>용병 도감</t>
        </is>
      </c>
      <c r="B21" s="9" t="inlineStr">
        <is>
          <t>60종 + 스킨 15종 = 75항목</t>
        </is>
      </c>
      <c r="C21" s="9" t="inlineStr">
        <is>
          <t>수집률 표시 + 보상</t>
        </is>
      </c>
      <c r="D21" s="9" t="inlineStr">
        <is>
          <t>완성 시 특수 배경</t>
        </is>
      </c>
    </row>
    <row r="22">
      <c r="A22" s="8" t="inlineStr">
        <is>
          <t>몬스터 도감</t>
        </is>
      </c>
      <c r="B22" s="8" t="inlineStr">
        <is>
          <t>포획 15종 + IO 몬스터 30종 = 45항목</t>
        </is>
      </c>
      <c r="C22" s="8" t="inlineStr">
        <is>
          <t>분포도/약점 표시 + 보상</t>
        </is>
      </c>
      <c r="D22" s="8" t="inlineStr">
        <is>
          <t>공략 정보 제공</t>
        </is>
      </c>
    </row>
    <row r="23">
      <c r="A23" s="9" t="inlineStr">
        <is>
          <t>장비 도감</t>
        </is>
      </c>
      <c r="B23" s="9" t="inlineStr">
        <is>
          <t>용병 장비 18종 + 일반 장비 30종 = 48항목</t>
        </is>
      </c>
      <c r="C23" s="9" t="inlineStr">
        <is>
          <t>스탯 비교 + 제작법</t>
        </is>
      </c>
      <c r="D23" s="9" t="inlineStr">
        <is>
          <t>제작 레퍼런스</t>
        </is>
      </c>
    </row>
    <row r="24">
      <c r="A24" s="8" t="inlineStr">
        <is>
          <t>세계 도감</t>
        </is>
      </c>
      <c r="B24" s="8" t="inlineStr">
        <is>
          <t>12지역 + 비밀 5곳 + NPC 20명 = 37항목</t>
        </is>
      </c>
      <c r="C24" s="8" t="inlineStr">
        <is>
          <t>로어 텍스트 + 보상</t>
        </is>
      </c>
      <c r="D24" s="8" t="inlineStr">
        <is>
          <t>세계관 몰입</t>
        </is>
      </c>
    </row>
  </sheetData>
  <mergeCells count="1">
    <mergeCell ref="A1:D1"/>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4" customWidth="1" min="1" max="1"/>
    <col width="26" customWidth="1" min="2" max="2"/>
    <col width="24" customWidth="1" min="3" max="3"/>
    <col width="24" customWidth="1" min="4" max="4"/>
  </cols>
  <sheetData>
    <row r="1">
      <c r="A1" s="6" t="inlineStr">
        <is>
          <t>용병 대사 시스템 (캐릭터별 음성)</t>
        </is>
      </c>
    </row>
    <row r="3">
      <c r="A3" s="7" t="inlineStr">
        <is>
          <t>상황</t>
        </is>
      </c>
      <c r="B3" s="7" t="inlineStr">
        <is>
          <t>대사 예시 (드래곤나이트)</t>
        </is>
      </c>
      <c r="C3" s="7" t="inlineStr">
        <is>
          <t>대사 예시 (세라핌)</t>
        </is>
      </c>
      <c r="D3" s="7" t="inlineStr">
        <is>
          <t>대사 예시 (죽���의 기사)</t>
        </is>
      </c>
    </row>
    <row r="4">
      <c r="A4" s="8" t="inlineStr">
        <is>
          <t>소환 시</t>
        </is>
      </c>
      <c r="B4" s="8" t="inlineStr">
        <is>
          <t>나를 불렀느냐... 좋다, 함께 날자!</t>
        </is>
      </c>
      <c r="C4" s="8" t="inlineStr">
        <is>
          <t>빛이 인도하는 곳으로...</t>
        </is>
      </c>
      <c r="D4" s="8" t="inlineStr">
        <is>
          <t>...또 깨워놓고. 누굴 베면 되지?</t>
        </is>
      </c>
    </row>
    <row r="5">
      <c r="A5" s="9" t="inlineStr">
        <is>
          <t>전투 시작</t>
        </is>
      </c>
      <c r="B5" s="9" t="inlineStr">
        <is>
          <t>용의 이름으로! 돌격!</t>
        </is>
      </c>
      <c r="C5" s="9" t="inlineStr">
        <is>
          <t>모두를 지켜보겠습니다.</t>
        </is>
      </c>
      <c r="D5" s="9" t="inlineStr">
        <is>
          <t>죽음은 나의 오랜 벗이지.</t>
        </is>
      </c>
    </row>
    <row r="6">
      <c r="A6" s="8" t="inlineStr">
        <is>
          <t>스킬 사용</t>
        </is>
      </c>
      <c r="B6" s="8" t="inlineStr">
        <is>
          <t>불타올라라! 드래곤 브레스!</t>
        </is>
      </c>
      <c r="C6" s="8" t="inlineStr">
        <is>
          <t>치유의 빛이여!</t>
        </is>
      </c>
      <c r="D6" s="8" t="inlineStr">
        <is>
          <t>영혼을 거두마... 데스 사이드!</t>
        </is>
      </c>
    </row>
    <row r="7">
      <c r="A7" s="9" t="inlineStr">
        <is>
          <t>킬 획득</t>
        </is>
      </c>
      <c r="B7" s="9" t="inlineStr">
        <is>
          <t>하하! 드래곤의 힘을 보았느냐!</t>
        </is>
      </c>
      <c r="C7" s="9" t="inlineStr">
        <is>
          <t>...미안합니다. 하지만 어쩔 수 없었어요.</t>
        </is>
      </c>
      <c r="D7" s="9" t="inlineStr">
        <is>
          <t>...조용해졌군.</t>
        </is>
      </c>
    </row>
    <row r="8">
      <c r="A8" s="8" t="inlineStr">
        <is>
          <t>사망 시</t>
        </is>
      </c>
      <c r="B8" s="8" t="inlineStr">
        <is>
          <t>크윽... 용이여, 미안하다...</t>
        </is>
      </c>
      <c r="C8" s="8" t="inlineStr">
        <is>
          <t>다음에는... 꼭 지킬게요...</t>
        </is>
      </c>
      <c r="D8" s="8" t="inlineStr">
        <is>
          <t>드디어... 쉴 수 있나...</t>
        </is>
      </c>
    </row>
    <row r="9">
      <c r="A9" s="9" t="inlineStr">
        <is>
          <t>부활 시</t>
        </is>
      </c>
      <c r="B9" s="9" t="inlineStr">
        <is>
          <t>아직이다! 용이 기다리고 있다!</t>
        </is>
      </c>
      <c r="C9" s="9" t="inlineStr">
        <is>
          <t>포기하지 않겠습니다!</t>
        </is>
      </c>
      <c r="D9" s="9" t="inlineStr">
        <is>
          <t>...잠을 방해하지 마라.</t>
        </is>
      </c>
    </row>
    <row r="10">
      <c r="A10" s="8" t="inlineStr"/>
      <c r="B10" s="8" t="inlineStr"/>
      <c r="C10" s="8" t="inlineStr"/>
      <c r="D10" s="8" t="inlineStr"/>
    </row>
    <row r="11">
      <c r="A11" s="9" t="inlineStr">
        <is>
          <t>공성전 출격</t>
        </is>
      </c>
      <c r="B11" s="9" t="inlineStr">
        <is>
          <t>성을 부수러 간다! 용과 함께!</t>
        </is>
      </c>
      <c r="C11" s="9" t="inlineStr">
        <is>
          <t>평화를 위해... 싸우겠습니다.</t>
        </is>
      </c>
      <c r="D11" s="9" t="inlineStr">
        <is>
          <t>재미있겠군. 성 하나쯤.</t>
        </is>
      </c>
    </row>
    <row r="12">
      <c r="A12" s="8" t="inlineStr">
        <is>
          <t>공성전 방어</t>
        </is>
      </c>
      <c r="B12" s="8" t="inlineStr">
        <is>
          <t>이 성은 내가 지킨다!</t>
        </is>
      </c>
      <c r="C12" s="8" t="inlineStr">
        <is>
          <t>이곳의 사람들을 지켜야 해요.</t>
        </is>
      </c>
      <c r="D12" s="8" t="inlineStr">
        <is>
          <t>들어오는 놈은... 다 죽는다.</t>
        </is>
      </c>
    </row>
    <row r="13">
      <c r="A13" s="9" t="inlineStr">
        <is>
          <t>무역 호위</t>
        </is>
      </c>
      <c r="B13" s="9" t="inlineStr">
        <is>
          <t>무역? 지루하지만... 용도 배가 고프니까.</t>
        </is>
      </c>
      <c r="C13" s="9" t="inlineStr">
        <is>
          <t>안전하게 모셔다 드리겠습니다.</t>
        </is>
      </c>
      <c r="D13" s="9" t="inlineStr">
        <is>
          <t>...골드를 많이 주겠지?</t>
        </is>
      </c>
    </row>
    <row r="14">
      <c r="A14" s="8" t="inlineStr"/>
      <c r="B14" s="8" t="inlineStr"/>
      <c r="C14" s="8" t="inlineStr"/>
      <c r="D14" s="8" t="inlineStr"/>
    </row>
    <row r="15">
      <c r="A15" s="9" t="inlineStr">
        <is>
          <t>인연 용병 동시 편성</t>
        </is>
      </c>
      <c r="B15" s="9" t="inlineStr">
        <is>
          <t>(성기사에게) 오래간만이구나, 옛 동지여!</t>
        </is>
      </c>
      <c r="C15" s="9" t="inlineStr">
        <is>
          <t>(죽음의 기사에게) ...오늘도 함께네요.</t>
        </is>
      </c>
      <c r="D15" s="9" t="inlineStr">
        <is>
          <t>(세라핌에게) ...네가 있으면 영원이 덜 지루하군.</t>
        </is>
      </c>
    </row>
    <row r="16">
      <c r="A16" s="8" t="inlineStr">
        <is>
          <t>각성 시</t>
        </is>
      </c>
      <c r="B16" s="8" t="inlineStr">
        <is>
          <t>느낀다... 용의 핏줄이 끓어오른다!</t>
        </is>
      </c>
      <c r="C16" s="8" t="inlineStr">
        <is>
          <t>빛이... 점점 밝아지고 있어요.</t>
        </is>
      </c>
      <c r="D16" s="8" t="inlineStr">
        <is>
          <t>...이 힘, 끝이 없군.</t>
        </is>
      </c>
    </row>
    <row r="17">
      <c r="A17" s="9" t="inlineStr">
        <is>
          <t>초월 시</t>
        </is>
      </c>
      <c r="B17" s="9" t="inlineStr">
        <is>
          <t>나는 이제 용 그 자체다!!!</t>
        </is>
      </c>
      <c r="C17" s="9" t="inlineStr">
        <is>
          <t>모든 것을 비추는 빛이 되겠습니다.</t>
        </is>
      </c>
      <c r="D17" s="9" t="inlineStr">
        <is>
          <t>죽음을 초월한 자... 그것이 나다.</t>
        </is>
      </c>
    </row>
    <row r="18">
      <c r="A18" s="8" t="inlineStr"/>
      <c r="B18" s="8" t="inlineStr"/>
      <c r="C18" s="8" t="inlineStr"/>
      <c r="D18" s="8" t="inlineStr"/>
    </row>
    <row r="19">
      <c r="A19" s="9" t="inlineStr">
        <is>
          <t>대기 (SLG 랜덤)</t>
        </is>
      </c>
      <c r="B19" s="9" t="inlineStr">
        <is>
          <t>(하품) 다음 전투는 언제지?</t>
        </is>
      </c>
      <c r="C19" s="9" t="inlineStr">
        <is>
          <t>꽃이 예쁘네요... 평화로운 날이에요.</t>
        </is>
      </c>
      <c r="D19" s="9" t="inlineStr">
        <is>
          <t>...시끄러운 세계다.</t>
        </is>
      </c>
    </row>
    <row r="20">
      <c r="A20" s="8" t="inlineStr">
        <is>
          <t>호감도 상승</t>
        </is>
      </c>
      <c r="B20" s="8" t="inlineStr">
        <is>
          <t>너와 함께 나는 게 즐겁다!</t>
        </is>
      </c>
      <c r="C20" s="8" t="inlineStr">
        <is>
          <t>당신 곁이 편안해요.</t>
        </is>
      </c>
      <c r="D20" s="8" t="inlineStr">
        <is>
          <t>...나쁘지 않군, 이 느낌.</t>
        </is>
      </c>
    </row>
  </sheetData>
  <mergeCells count="1">
    <mergeCell ref="A1:D1"/>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16" customWidth="1" min="1" max="1"/>
    <col width="34" customWidth="1" min="2" max="2"/>
    <col width="22" customWidth="1" min="3" max="3"/>
    <col width="18" customWidth="1" min="4" max="4"/>
  </cols>
  <sheetData>
    <row r="1">
      <c r="A1" s="6" t="inlineStr">
        <is>
          <t>밸런스 수치 마스터 시트</t>
        </is>
      </c>
    </row>
    <row r="3">
      <c r="A3" s="7" t="inlineStr">
        <is>
          <t>항목</t>
        </is>
      </c>
      <c r="B3" s="7" t="inlineStr">
        <is>
          <t>공식</t>
        </is>
      </c>
      <c r="C3" s="7" t="inlineStr">
        <is>
          <t>예시</t>
        </is>
      </c>
      <c r="D3" s="7" t="inlineStr">
        <is>
          <t>비고</t>
        </is>
      </c>
    </row>
    <row r="4">
      <c r="A4" s="8" t="inlineStr">
        <is>
          <t>═══ 전투 공식 ═══</t>
        </is>
      </c>
      <c r="B4" s="8" t="inlineStr"/>
      <c r="C4" s="8" t="inlineStr"/>
      <c r="D4" s="8" t="inlineStr"/>
    </row>
    <row r="5">
      <c r="A5" s="9" t="inlineStr">
        <is>
          <t>기본 데미지</t>
        </is>
      </c>
      <c r="B5" s="9" t="inlineStr">
        <is>
          <t>ATK × (100 / (100 + 적DEF)) × 스킬배수</t>
        </is>
      </c>
      <c r="C5" s="9" t="inlineStr">
        <is>
          <t>ATK 40, 적DEF 20 → 40×(100/120)×1 = 33</t>
        </is>
      </c>
      <c r="D5" s="9" t="inlineStr">
        <is>
          <t>DEF 수확체감형</t>
        </is>
      </c>
    </row>
    <row r="6">
      <c r="A6" s="8" t="inlineStr">
        <is>
          <t>크리티컬</t>
        </is>
      </c>
      <c r="B6" s="8" t="inlineStr">
        <is>
          <t>DMG × 1.5 (기본) + 크리DMG 보너스</t>
        </is>
      </c>
      <c r="C6" s="8" t="inlineStr">
        <is>
          <t>33 × 1.5 = 50</t>
        </is>
      </c>
      <c r="D6" s="8" t="inlineStr">
        <is>
          <t>크리DMG 장비로 증가 가능</t>
        </is>
      </c>
    </row>
    <row r="7">
      <c r="A7" s="9" t="inlineStr">
        <is>
          <t>용병 전투력</t>
        </is>
      </c>
      <c r="B7" s="9" t="inlineStr">
        <is>
          <t>ATK×2 + DEF×1.5 + HP×0.3 + (각성 보너스)</t>
        </is>
      </c>
      <c r="C7" s="9" t="inlineStr">
        <is>
          <t>40×2+20×1.5+300×0.3 = 200</t>
        </is>
      </c>
      <c r="D7" s="9" t="inlineStr">
        <is>
          <t>파티 전투력 = 합산</t>
        </is>
      </c>
    </row>
    <row r="8">
      <c r="A8" s="8" t="inlineStr">
        <is>
          <t>IO 레벨업 필요 EXP</t>
        </is>
      </c>
      <c r="B8" s="8" t="inlineStr">
        <is>
          <t>50 + (Lv × 30)</t>
        </is>
      </c>
      <c r="C8" s="8" t="inlineStr">
        <is>
          <t>Lv.10→11: 350 EXP</t>
        </is>
      </c>
      <c r="D8" s="8" t="inlineStr">
        <is>
          <t>후반 느려짐</t>
        </is>
      </c>
    </row>
    <row r="9">
      <c r="A9" s="9" t="inlineStr">
        <is>
          <t>IO 몬스터 HP 스케일링</t>
        </is>
      </c>
      <c r="B9" s="9" t="inlineStr">
        <is>
          <t>기본HP × (1 + 웨이브 × 0.15)²</t>
        </is>
      </c>
      <c r="C9" s="9" t="inlineStr">
        <is>
          <t>웨이브20: 100×(1+3)² = 1,600</t>
        </is>
      </c>
      <c r="D9" s="9" t="inlineStr">
        <is>
          <t>지수 스케일링!</t>
        </is>
      </c>
    </row>
    <row r="10">
      <c r="A10" s="8" t="inlineStr"/>
      <c r="B10" s="8" t="inlineStr"/>
      <c r="C10" s="8" t="inlineStr"/>
      <c r="D10" s="8" t="inlineStr"/>
    </row>
    <row r="11">
      <c r="A11" s="9" t="inlineStr">
        <is>
          <t>═══ 경제 공식 ═══</t>
        </is>
      </c>
      <c r="B11" s="9" t="inlineStr"/>
      <c r="C11" s="9" t="inlineStr"/>
      <c r="D11" s="9" t="inlineStr"/>
    </row>
    <row r="12">
      <c r="A12" s="8" t="inlineStr">
        <is>
          <t>무역 이윤</t>
        </is>
      </c>
      <c r="B12" s="8" t="inlineStr">
        <is>
          <t>(매도가 - 매입가) × (1 + 무역버프%)</t>
        </is>
      </c>
      <c r="C12" s="8" t="inlineStr">
        <is>
          <t>(180-100)×1.3 = 104G</t>
        </is>
      </c>
      <c r="D12" s="8" t="inlineStr">
        <is>
          <t>무역 연구+혈맹+이벤트</t>
        </is>
      </c>
    </row>
    <row r="13">
      <c r="A13" s="9" t="inlineStr">
        <is>
          <t>동적 가격</t>
        </is>
      </c>
      <c r="B13" s="9" t="inlineStr">
        <is>
          <t>기본가 × (1 + 수요율 - 공급율)</t>
        </is>
      </c>
      <c r="C13" s="9" t="inlineStr">
        <is>
          <t>180 × (1 + 0.3 - 0.5) = 144G</t>
        </is>
      </c>
      <c r="D13" s="9" t="inlineStr">
        <is>
          <t>범위: 50%~200%</t>
        </is>
      </c>
    </row>
    <row r="14">
      <c r="A14" s="8" t="inlineStr">
        <is>
          <t>영토 세수</t>
        </is>
      </c>
      <c r="B14" s="8" t="inlineStr">
        <is>
          <t>지역 무역 총액 × 세율 × 영주 보너스</t>
        </is>
      </c>
      <c r="C14" s="8" t="inlineStr">
        <is>
          <t>100,000G × 5% × 1.05 = 5,250G</t>
        </is>
      </c>
      <c r="D14" s="8" t="inlineStr">
        <is>
          <t>세율 1~10%</t>
        </is>
      </c>
    </row>
    <row r="15">
      <c r="A15" s="9" t="inlineStr">
        <is>
          <t>공성전 약탈</t>
        </is>
      </c>
      <c r="B15" s="9" t="inlineStr">
        <is>
          <t>패배자 보유 골드 × 20%</t>
        </is>
      </c>
      <c r="C15" s="9" t="inlineStr">
        <is>
          <t>100,000G × 20% = 20,000G</t>
        </is>
      </c>
      <c r="D15" s="9" t="inlineStr">
        <is>
          <t>최소 5,000G 보장</t>
        </is>
      </c>
    </row>
    <row r="16">
      <c r="A16" s="8" t="inlineStr"/>
      <c r="B16" s="8" t="inlineStr"/>
      <c r="C16" s="8" t="inlineStr"/>
      <c r="D16" s="8" t="inlineStr"/>
    </row>
    <row r="17">
      <c r="A17" s="9" t="inlineStr">
        <is>
          <t>═══ 성장 수치 ═══</t>
        </is>
      </c>
      <c r="B17" s="9" t="inlineStr"/>
      <c r="C17" s="9" t="inlineStr"/>
      <c r="D17" s="9" t="inlineStr"/>
    </row>
    <row r="18">
      <c r="A18" s="8" t="inlineStr">
        <is>
          <t>용병 레벨업 비용</t>
        </is>
      </c>
      <c r="B18" s="8" t="inlineStr">
        <is>
          <t>100G × Lv × 등급계수</t>
        </is>
      </c>
      <c r="C18" s="8" t="inlineStr">
        <is>
          <t>Lv50 영웅: 100×50×3 = 15,000G</t>
        </is>
      </c>
      <c r="D18" s="8" t="inlineStr">
        <is>
          <t>등급: 일반1/고급1.5/희귀2/영웅3/전설5/신화10</t>
        </is>
      </c>
    </row>
    <row r="19">
      <c r="A19" s="9" t="inlineStr">
        <is>
          <t>각성 비용</t>
        </is>
      </c>
      <c r="B19" s="9" t="inlineStr">
        <is>
          <t>(등급계수 × 10,000G) + 카드 5장</t>
        </is>
      </c>
      <c r="C19" s="9" t="inlineStr">
        <is>
          <t>영웅 각성: 30,000G + 카드 5</t>
        </is>
      </c>
      <c r="D19" s="9" t="inlineStr">
        <is>
          <t>각성2: 비용 ×3</t>
        </is>
      </c>
    </row>
    <row r="20">
      <c r="A20" s="8" t="inlineStr">
        <is>
          <t>초월 비용</t>
        </is>
      </c>
      <c r="B20" s="8" t="inlineStr">
        <is>
          <t>100,000G + 신화재료 + 100💎</t>
        </is>
      </c>
      <c r="C20" s="8" t="inlineStr">
        <is>
          <t>고정</t>
        </is>
      </c>
      <c r="D20" s="8" t="inlineStr">
        <is>
          <t>전 등급 동일</t>
        </is>
      </c>
    </row>
    <row r="21">
      <c r="A21" s="9" t="inlineStr">
        <is>
          <t>연구 비용</t>
        </is>
      </c>
      <c r="B21" s="9" t="inlineStr">
        <is>
          <t>기본비 × Lv</t>
        </is>
      </c>
      <c r="C21" s="9" t="inlineStr">
        <is>
          <t>ATK연구 Lv5: 1,000×5 = 5,000G</t>
        </is>
      </c>
      <c r="D21" s="9" t="inlineStr"/>
    </row>
    <row r="22">
      <c r="A22" s="8" t="inlineStr"/>
      <c r="B22" s="8" t="inlineStr"/>
      <c r="C22" s="8" t="inlineStr"/>
      <c r="D22" s="8" t="inlineStr"/>
    </row>
    <row r="23">
      <c r="A23" s="9" t="inlineStr">
        <is>
          <t>═══ 포획 ═══</t>
        </is>
      </c>
      <c r="B23" s="9" t="inlineStr"/>
      <c r="C23" s="9" t="inlineStr"/>
      <c r="D23" s="9" t="inlineStr"/>
    </row>
    <row r="24">
      <c r="A24" s="8" t="inlineStr">
        <is>
          <t>포획 확률</t>
        </is>
      </c>
      <c r="B24" s="8" t="inlineStr">
        <is>
          <t>기본률 × (1 - 현재HP%) × (1 + 포획연구%)</t>
        </is>
      </c>
      <c r="C24" s="8" t="inlineStr">
        <is>
          <t>엘리트 15% × 0.7 × 1.15 = 12%</t>
        </is>
      </c>
      <c r="D24" s="8" t="inlineStr">
        <is>
          <t>HP 줄이면 확률↑</t>
        </is>
      </c>
    </row>
    <row r="25">
      <c r="A25" s="9" t="inlineStr">
        <is>
          <t>교배 돌연변이</t>
        </is>
      </c>
      <c r="B25" s="9" t="inlineStr">
        <is>
          <t>기본 5% × (1 + 부모 유대도 보너스)</t>
        </is>
      </c>
      <c r="C25" s="9" t="inlineStr">
        <is>
          <t>유대도4+4: 5% × 1.4 = 7%</t>
        </is>
      </c>
      <c r="D25" s="9" t="inlineStr">
        <is>
          <t>유대도 중요</t>
        </is>
      </c>
    </row>
    <row r="26">
      <c r="A26" s="8" t="inlineStr"/>
      <c r="B26" s="8" t="inlineStr"/>
      <c r="C26" s="8" t="inlineStr"/>
      <c r="D26" s="8" t="inlineStr"/>
    </row>
    <row r="27">
      <c r="A27" s="9" t="inlineStr">
        <is>
          <t>═══ 가챠 ═══</t>
        </is>
      </c>
      <c r="B27" s="9" t="inlineStr"/>
      <c r="C27" s="9" t="inlineStr"/>
      <c r="D27" s="9" t="inlineStr"/>
    </row>
    <row r="28">
      <c r="A28" s="8" t="inlineStr">
        <is>
          <t>기본 확률</t>
        </is>
      </c>
      <c r="B28" s="8" t="inlineStr">
        <is>
          <t>고급35% 희귀5% (골드) / 희귀70% 영웅25% 전설4.5% 신화0.5% (💎)</t>
        </is>
      </c>
      <c r="C28" s="8" t="inlineStr"/>
      <c r="D28" s="8" t="inlineStr"/>
    </row>
    <row r="29">
      <c r="A29" s="9" t="inlineStr">
        <is>
          <t>소프트 천장</t>
        </is>
      </c>
      <c r="B29" s="9" t="inlineStr">
        <is>
          <t>50회 후 영웅확률 +3%/회</t>
        </is>
      </c>
      <c r="C29" s="9" t="inlineStr">
        <is>
          <t>60회: 25+30= 55%</t>
        </is>
      </c>
      <c r="D29" s="9" t="inlineStr"/>
    </row>
    <row r="30">
      <c r="A30" s="8" t="inlineStr">
        <is>
          <t>하드 천장</t>
        </is>
      </c>
      <c r="B30" s="8" t="inlineStr">
        <is>
          <t>80회 = 영웅 확정 / 200회 = 신화 확정</t>
        </is>
      </c>
      <c r="C30" s="8" t="inlineStr"/>
      <c r="D30" s="8" t="inlineStr">
        <is>
          <t>보장</t>
        </is>
      </c>
    </row>
  </sheetData>
  <mergeCells count="1">
    <mergeCell ref="A1:D1"/>
  </mergeCell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18" customWidth="1" min="1" max="1"/>
    <col width="44" customWidth="1" min="2" max="2"/>
    <col width="22" customWidth="1" min="3" max="3"/>
  </cols>
  <sheetData>
    <row r="1">
      <c r="A1" s="6" t="inlineStr">
        <is>
          <t>v3.4 업데이트 요약</t>
        </is>
      </c>
    </row>
    <row r="3">
      <c r="A3" s="7" t="inlineStr">
        <is>
          <t>시스템</t>
        </is>
      </c>
      <c r="B3" s="7" t="inlineStr">
        <is>
          <t>신규/개선</t>
        </is>
      </c>
      <c r="C3" s="7" t="inlineStr">
        <is>
          <t>핵심 재미</t>
        </is>
      </c>
    </row>
    <row r="4">
      <c r="A4" s="8" t="inlineStr">
        <is>
          <t>세계관 &amp; 로어</t>
        </is>
      </c>
      <c r="B4" s="8" t="inlineStr">
        <is>
          <t>신규 — 4시대+현재 역사, 지역별 배경 스토리</t>
        </is>
      </c>
      <c r="C4" s="8" t="inlineStr">
        <is>
          <t>왜 싸우는가? 의미 부여</t>
        </is>
      </c>
    </row>
    <row r="5">
      <c r="A5" s="9" t="inlineStr">
        <is>
          <t>비밀 지역 &amp; 히든</t>
        </is>
      </c>
      <c r="B5" s="9" t="inlineStr">
        <is>
          <t>신규 — 비밀 지역 5곳 + 히든 보스 3종 + 서버 최초 발견 시스템</t>
        </is>
      </c>
      <c r="C5" s="9" t="inlineStr">
        <is>
          <t>탐험/발견의 쾌감!</t>
        </is>
      </c>
    </row>
    <row r="6">
      <c r="A6" s="8" t="inlineStr">
        <is>
          <t>월드 이벤트 체인</t>
        </is>
      </c>
      <c r="B6" s="8" t="inlineStr">
        <is>
          <t>신규 — 3종 대형 체인 (드래곤/마왕/상인), 분기 결과, 서버 운명</t>
        </is>
      </c>
      <c r="C6" s="8" t="inlineStr">
        <is>
          <t>라이브 서비스 핵심!</t>
        </is>
      </c>
    </row>
    <row r="7">
      <c r="A7" s="9" t="inlineStr">
        <is>
          <t>용병 특성 유전</t>
        </is>
      </c>
      <c r="B7" s="9" t="inlineStr">
        <is>
          <t>신규 — 30종+전설5종 특성, 합성 유전, 리롤, 개체 차별화</t>
        </is>
      </c>
      <c r="C7" s="9" t="inlineStr">
        <is>
          <t>같은 용병도 다르다!</t>
        </is>
      </c>
    </row>
    <row r="8">
      <c r="A8" s="8" t="inlineStr">
        <is>
          <t>커스텀 IO 매치</t>
        </is>
      </c>
      <c r="B8" s="8" t="inlineStr">
        <is>
          <t>신규 — 11가지 설정 항목, 프리셋 5종, 공유 시스템</t>
        </is>
      </c>
      <c r="C8" s="8" t="inlineStr">
        <is>
          <t>플레이어 창의력!</t>
        </is>
      </c>
    </row>
    <row r="9">
      <c r="A9" s="9" t="inlineStr">
        <is>
          <t>마법 연구 트리</t>
        </is>
      </c>
      <c r="B9" s="9" t="inlineStr">
        <is>
          <t>신규 — 4분야 18연구 126레벨, 6개월 장기 목표</t>
        </is>
      </c>
      <c r="C9" s="9" t="inlineStr">
        <is>
          <t>장기 성장 축</t>
        </is>
      </c>
    </row>
    <row r="10">
      <c r="A10" s="8" t="inlineStr">
        <is>
          <t>IO 환경 변수</t>
        </is>
      </c>
      <c r="B10" s="8" t="inlineStr">
        <is>
          <t>신규 — 맵 6종, 날씨 6종, 매치 이벤트 5종</t>
        </is>
      </c>
      <c r="C10" s="8" t="inlineStr">
        <is>
          <t>매판 다른 전장!</t>
        </is>
      </c>
    </row>
    <row r="11">
      <c r="A11" s="9" t="inlineStr">
        <is>
          <t>서버 연대기</t>
        </is>
      </c>
      <c r="B11" s="9" t="inlineStr">
        <is>
          <t>신규 — 전쟁/외교/경제 역사 자동 기록, 명예의 전당, 서버 신문</t>
        </is>
      </c>
      <c r="C11" s="9" t="inlineStr">
        <is>
          <t>살아있는 세계!</t>
        </is>
      </c>
    </row>
    <row r="12">
      <c r="A12" s="8" t="inlineStr">
        <is>
          <t>차원 정복</t>
        </is>
      </c>
      <c r="B12" s="8" t="inlineStr">
        <is>
          <t>신규 — 5차원+최종 보스, 서버 TOP 10 협동, 최종 엔드게임</t>
        </is>
      </c>
      <c r="C12" s="8" t="inlineStr">
        <is>
          <t>게임의 궁극 목표</t>
        </is>
      </c>
    </row>
    <row r="13">
      <c r="A13" s="9" t="inlineStr">
        <is>
          <t>업적 대전과</t>
        </is>
      </c>
      <c r="B13" s="9" t="inlineStr">
        <is>
          <t>신규 — 12카테고리 600+개, 마일스톤, 도감 205항목</t>
        </is>
      </c>
      <c r="C13" s="9" t="inlineStr">
        <is>
          <t>수집의 끝판왕</t>
        </is>
      </c>
    </row>
    <row r="14">
      <c r="A14" s="8" t="inlineStr">
        <is>
          <t>용병 대사</t>
        </is>
      </c>
      <c r="B14" s="8" t="inlineStr">
        <is>
          <t>신규 — 상황별 16종 대사, 캐릭터별 개성</t>
        </is>
      </c>
      <c r="C14" s="8" t="inlineStr">
        <is>
          <t>감정 이입 극대화</t>
        </is>
      </c>
    </row>
    <row r="15">
      <c r="A15" s="9" t="inlineStr">
        <is>
          <t>밸런스 수치표</t>
        </is>
      </c>
      <c r="B15" s="9" t="inlineStr">
        <is>
          <t>신규 — 전투/경제/성장/포획/가챠 핵심 공식 정리</t>
        </is>
      </c>
      <c r="C15" s="9" t="inlineStr">
        <is>
          <t>개발 레퍼런스</t>
        </is>
      </c>
    </row>
    <row r="16">
      <c r="A16" s="8" t="inlineStr"/>
      <c r="B16" s="8" t="inlineStr"/>
      <c r="C16" s="8" t="inlineStr"/>
    </row>
    <row r="17">
      <c r="A17" s="9" t="inlineStr">
        <is>
          <t>═══ v3.0~v3.4 최종 총계 ═══</t>
        </is>
      </c>
      <c r="B17" s="9" t="inlineStr"/>
      <c r="C17" s="9" t="inlineStr"/>
    </row>
    <row r="18">
      <c r="A18" s="8" t="inlineStr">
        <is>
          <t>총 시트</t>
        </is>
      </c>
      <c r="B18" s="8" t="inlineStr">
        <is>
          <t>186개</t>
        </is>
      </c>
      <c r="C18" s="8" t="inlineStr"/>
    </row>
    <row r="19">
      <c r="A19" s="9" t="inlineStr">
        <is>
          <t>총 용병</t>
        </is>
      </c>
      <c r="B19" s="9" t="inlineStr">
        <is>
          <t>60종 + 스킨 15종 + 특성 35종</t>
        </is>
      </c>
      <c r="C19" s="9" t="inlineStr"/>
    </row>
    <row r="20">
      <c r="A20" s="8" t="inlineStr">
        <is>
          <t>총 포획 몬스터</t>
        </is>
      </c>
      <c r="B20" s="8" t="inlineStr">
        <is>
          <t>15종 (3단 진화 + 교배) + 도감 45종</t>
        </is>
      </c>
      <c r="C20" s="8" t="inlineStr"/>
    </row>
    <row r="21">
      <c r="A21" s="9" t="inlineStr">
        <is>
          <t>총 보스</t>
        </is>
      </c>
      <c r="B21" s="9" t="inlineStr">
        <is>
          <t>IO 5 + 레이드 4 + 심연 100층 + 히든 3 + 차원 6</t>
        </is>
      </c>
      <c r="C21" s="9" t="inlineStr"/>
    </row>
    <row r="22">
      <c r="A22" s="8" t="inlineStr">
        <is>
          <t>총 업적</t>
        </is>
      </c>
      <c r="B22" s="8" t="inlineStr">
        <is>
          <t>600+개, 도감 205항목</t>
        </is>
      </c>
      <c r="C22" s="8" t="inlineStr"/>
    </row>
    <row r="23">
      <c r="A23" s="9" t="inlineStr">
        <is>
          <t>총 콘텐츠</t>
        </is>
      </c>
      <c r="B23" s="9" t="inlineStr">
        <is>
          <t>IO(6모드) + SLG + 공성 + 무역(동적경제) + 혈맹 + 아레나 + 심연 + 차원 + 비밀 지역</t>
        </is>
      </c>
      <c r="C23" s="9" t="inlineStr"/>
    </row>
    <row r="24">
      <c r="A24" s="8" t="inlineStr">
        <is>
          <t>세계관</t>
        </is>
      </c>
      <c r="B24" s="8" t="inlineStr">
        <is>
          <t>4시대 역사 + 서버 연대기 + 월드 이벤트 체인 3종</t>
        </is>
      </c>
      <c r="C24" s="8" t="inlineStr"/>
    </row>
    <row r="25">
      <c r="A25" s="9" t="inlineStr">
        <is>
          <t>플레이어 자유도</t>
        </is>
      </c>
      <c r="B25" s="9" t="inlineStr">
        <is>
          <t>커스텀 매치 + 맵 에디터 + 외교/정치 + AI 전술 + 특성 빌드</t>
        </is>
      </c>
      <c r="C25" s="9" t="inlineStr"/>
    </row>
  </sheetData>
  <mergeCells count="1">
    <mergeCell ref="A1:C1"/>
  </mergeCell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4" customWidth="1" min="1" max="1"/>
    <col width="14" customWidth="1" min="2" max="2"/>
    <col width="16" customWidth="1" min="3" max="3"/>
    <col width="30" customWidth="1" min="4" max="4"/>
    <col width="14" customWidth="1" min="5" max="5"/>
  </cols>
  <sheetData>
    <row r="1">
      <c r="A1" s="6" t="inlineStr">
        <is>
          <t>IO 무기 진화 &amp; 조합 트리</t>
        </is>
      </c>
    </row>
    <row r="3">
      <c r="A3" s="7" t="inlineStr">
        <is>
          <t>무기 A</t>
        </is>
      </c>
      <c r="B3" s="7" t="inlineStr">
        <is>
          <t>+ 무기 B</t>
        </is>
      </c>
      <c r="C3" s="7">
        <f> 진화 무기</f>
        <v/>
      </c>
      <c r="D3" s="7" t="inlineStr">
        <is>
          <t>효과</t>
        </is>
      </c>
      <c r="E3" s="7" t="inlineStr">
        <is>
          <t>재미 포인트</t>
        </is>
      </c>
    </row>
    <row r="4">
      <c r="A4" s="8" t="inlineStr">
        <is>
          <t>═══ 2무기 조합 (Lv.5+5) ═══</t>
        </is>
      </c>
      <c r="B4" s="8" t="inlineStr"/>
      <c r="C4" s="8" t="inlineStr"/>
      <c r="D4" s="8" t="inlineStr"/>
      <c r="E4" s="8" t="inlineStr"/>
    </row>
    <row r="5">
      <c r="A5" s="9" t="inlineStr">
        <is>
          <t>🗡️ 회전 검</t>
        </is>
      </c>
      <c r="B5" s="9" t="inlineStr">
        <is>
          <t>+ 🗡️ 회전 검</t>
        </is>
      </c>
      <c r="C5" s="9">
        <f> ⚔️ 쌍검 폭풍</f>
        <v/>
      </c>
      <c r="D5" s="9" t="inlineStr">
        <is>
          <t>검 4개 궤도, DMG ×2.5, 공속 +50%</t>
        </is>
      </c>
      <c r="E5" s="9" t="inlineStr">
        <is>
          <t>근접 지옥!</t>
        </is>
      </c>
    </row>
    <row r="6">
      <c r="A6" s="8" t="inlineStr">
        <is>
          <t>🔥 파이어볼</t>
        </is>
      </c>
      <c r="B6" s="8" t="inlineStr">
        <is>
          <t>+ ⚡ 낙뢰</t>
        </is>
      </c>
      <c r="C6" s="8">
        <f> 🌋 화염 뇌격</f>
        <v/>
      </c>
      <c r="D6" s="8" t="inlineStr">
        <is>
          <t>추적형 화염+번개 융합탄, 범위 DMG 40</t>
        </is>
      </c>
      <c r="E6" s="8" t="inlineStr">
        <is>
          <t>원소 합체!</t>
        </is>
      </c>
    </row>
    <row r="7">
      <c r="A7" s="9" t="inlineStr">
        <is>
          <t>❄️ 얼음 고리</t>
        </is>
      </c>
      <c r="B7" s="9" t="inlineStr">
        <is>
          <t>+ ☠️ 독 안개</t>
        </is>
      </c>
      <c r="C7" s="9">
        <f> 💀 빙독 장판</f>
        <v/>
      </c>
      <c r="D7" s="9" t="inlineStr">
        <is>
          <t>광역 감속 70% + 독 8/초, 범위 ×3</t>
        </is>
      </c>
      <c r="E7" s="9" t="inlineStr">
        <is>
          <t>CC 지옥!</t>
        </is>
      </c>
    </row>
    <row r="8">
      <c r="A8" s="8" t="inlineStr">
        <is>
          <t>🏹 연속 화살</t>
        </is>
      </c>
      <c r="B8" s="8" t="inlineStr">
        <is>
          <t>+ 🗡️ 회전 검</t>
        </is>
      </c>
      <c r="C8" s="8">
        <f> 🌀 검우 (검의 비)</f>
        <v/>
      </c>
      <c r="D8" s="8" t="inlineStr">
        <is>
          <t>하늘에서 검 쏟아짐, 전방위 DMG 35</t>
        </is>
      </c>
      <c r="E8" s="8" t="inlineStr">
        <is>
          <t>비주얼 최강!</t>
        </is>
      </c>
    </row>
    <row r="9">
      <c r="A9" s="9" t="inlineStr">
        <is>
          <t>✨ 신성 폭발</t>
        </is>
      </c>
      <c r="B9" s="9" t="inlineStr">
        <is>
          <t>+ 🛡️ 가시 방패</t>
        </is>
      </c>
      <c r="C9" s="9">
        <f> 💫 신성 보호막</f>
        <v/>
      </c>
      <c r="D9" s="9" t="inlineStr">
        <is>
          <t>피격 시 폭발 + 반사 200%, DMG 30/초</t>
        </is>
      </c>
      <c r="E9" s="9" t="inlineStr">
        <is>
          <t>탱커 궁극기!</t>
        </is>
      </c>
    </row>
    <row r="10">
      <c r="A10" s="8" t="inlineStr">
        <is>
          <t>🔥 파이어볼</t>
        </is>
      </c>
      <c r="B10" s="8" t="inlineStr">
        <is>
          <t>+ ❄️ 얼음 고리</t>
        </is>
      </c>
      <c r="C10" s="8">
        <f> 💨 증기 폭발</f>
        <v/>
      </c>
      <c r="D10" s="8" t="inlineStr">
        <is>
          <t>화+빙 융합, 3초마다 전체 DMG 25 + 시야차단</t>
        </is>
      </c>
      <c r="E10" s="8" t="inlineStr">
        <is>
          <t>숨겨진 조합!</t>
        </is>
      </c>
    </row>
    <row r="11">
      <c r="A11" s="9" t="inlineStr"/>
      <c r="B11" s="9" t="inlineStr"/>
      <c r="C11" s="9" t="inlineStr"/>
      <c r="D11" s="9" t="inlineStr"/>
      <c r="E11" s="9" t="inlineStr"/>
    </row>
    <row r="12">
      <c r="A12" s="8" t="inlineStr">
        <is>
          <t>═══ 3무기 조합 (Lv.7+7+7) ═══</t>
        </is>
      </c>
      <c r="B12" s="8" t="inlineStr"/>
      <c r="C12" s="8" t="inlineStr"/>
      <c r="D12" s="8" t="inlineStr"/>
      <c r="E12" s="8" t="inlineStr"/>
    </row>
    <row r="13">
      <c r="A13" s="9" t="inlineStr">
        <is>
          <t>���️ 쌍검 폭풍</t>
        </is>
      </c>
      <c r="B13" s="9" t="inlineStr">
        <is>
          <t>+ 🌀 검우</t>
        </is>
      </c>
      <c r="C13" s="9">
        <f> 🗡️ 만검귀환</f>
        <v/>
      </c>
      <c r="D13" s="9" t="inlineStr">
        <is>
          <t>화면 전체 검, 매초 DMG 60, 회피 불가</t>
        </is>
      </c>
      <c r="E13" s="9" t="inlineStr">
        <is>
          <t>최종 근접 무기!</t>
        </is>
      </c>
    </row>
    <row r="14">
      <c r="A14" s="8" t="inlineStr">
        <is>
          <t>🌋 화염 뇌격</t>
        </is>
      </c>
      <c r="B14" s="8" t="inlineStr">
        <is>
          <t>+ 💀 빙독 장판</t>
        </is>
      </c>
      <c r="C14" s="8">
        <f> 🌈 원소 대재앙</f>
        <v/>
      </c>
      <c r="D14" s="8" t="inlineStr">
        <is>
          <t>4원소 동시 폭발, 전체 DMG 80 + CC 3초</t>
        </is>
      </c>
      <c r="E14" s="8" t="inlineStr">
        <is>
          <t>최종 마법 무기!</t>
        </is>
      </c>
    </row>
    <row r="15">
      <c r="A15" s="9" t="inlineStr">
        <is>
          <t>💫 신성 보호막</t>
        </is>
      </c>
      <c r="B15" s="9" t="inlineStr">
        <is>
          <t>+ 🌋 화염 뇌격</t>
        </is>
      </c>
      <c r="C15" s="9">
        <f> ☀️ 태양의 심판</f>
        <v/>
      </c>
      <c r="D15" s="9" t="inlineStr">
        <is>
          <t>자동 추적 광선, 가장 강한 적 DMG 100/초</t>
        </is>
      </c>
      <c r="E15" s="9" t="inlineStr">
        <is>
          <t>최종 보스킬러!</t>
        </is>
      </c>
    </row>
    <row r="16">
      <c r="A16" s="8" t="inlineStr"/>
      <c r="B16" s="8" t="inlineStr"/>
      <c r="C16" s="8" t="inlineStr"/>
      <c r="D16" s="8" t="inlineStr"/>
      <c r="E16" s="8" t="inlineStr"/>
    </row>
    <row r="17">
      <c r="A17" s="9" t="inlineStr">
        <is>
          <t>═══ 조합 규칙 ═══</t>
        </is>
      </c>
      <c r="B17" s="9" t="inlineStr"/>
      <c r="C17" s="9" t="inlineStr"/>
      <c r="D17" s="9" t="inlineStr"/>
      <c r="E17" s="9" t="inlineStr"/>
    </row>
    <row r="18">
      <c r="A18" s="8" t="inlineStr">
        <is>
          <t>조합 조건</t>
        </is>
      </c>
      <c r="B18" s="8" t="inlineStr">
        <is>
          <t>두 무기 모두 Lv.5(2조합) 또는 Lv.7(3조합) 이상</t>
        </is>
      </c>
      <c r="C18" s="8" t="inlineStr">
        <is>
          <t>레벨업 시 조합 선택지 등장</t>
        </is>
      </c>
      <c r="D18" s="8" t="inlineStr"/>
      <c r="E18" s="8" t="inlineStr"/>
    </row>
    <row r="19">
      <c r="A19" s="9" t="inlineStr">
        <is>
          <t>레벨업 선택</t>
        </is>
      </c>
      <c r="B19" s="9" t="inlineStr">
        <is>
          <t>무기 추가 / 무기 강화 / 패시브 / 조합 (조건 충족 시)</t>
        </is>
      </c>
      <c r="C19" s="9" t="inlineStr">
        <is>
          <t>조합이 뜨면 무조건 선택!</t>
        </is>
      </c>
      <c r="D19" s="9" t="inlineStr"/>
      <c r="E19" s="9" t="inlineStr"/>
    </row>
    <row r="20">
      <c r="A20" s="8" t="inlineStr">
        <is>
          <t>최대 무기</t>
        </is>
      </c>
      <c r="B20" s="8" t="inlineStr">
        <is>
          <t>동시 보유 3개 (조합 시 2→1로 합쳐져 슬롯 확보)</t>
        </is>
      </c>
      <c r="C20" s="8" t="inlineStr">
        <is>
          <t>전략적 조합 타이밍</t>
        </is>
      </c>
      <c r="D20" s="8" t="inlineStr"/>
      <c r="E20" s="8" t="inlineStr"/>
    </row>
    <row r="21">
      <c r="A21" s="9" t="inlineStr">
        <is>
          <t>숨겨진 조합</t>
        </is>
      </c>
      <c r="B21" s="9" t="inlineStr">
        <is>
          <t>게임 내 표시 안 됨 — 직접 발견해야 함 (증기 폭발 등)</t>
        </is>
      </c>
      <c r="C21" s="9" t="inlineStr">
        <is>
          <t>커뮤니티 발견의 재미!</t>
        </is>
      </c>
      <c r="D21" s="9" t="inlineStr"/>
      <c r="E21" s="9" t="inlineStr"/>
    </row>
  </sheetData>
  <mergeCells count="1">
    <mergeCell ref="A1:E1"/>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8" customWidth="1" min="1" max="1"/>
    <col width="16" customWidth="1" min="2" max="2"/>
    <col width="24" customWidth="1" min="3" max="3"/>
    <col width="28" customWidth="1" min="4" max="4"/>
    <col width="14" customWidth="1" min="5" max="5"/>
  </cols>
  <sheetData>
    <row r="1">
      <c r="A1" s="6" t="inlineStr">
        <is>
          <t>용병 합체 궁극기 (6종)</t>
        </is>
      </c>
    </row>
    <row r="3">
      <c r="A3" s="7" t="inlineStr">
        <is>
          <t>합체 조합</t>
        </is>
      </c>
      <c r="B3" s="7" t="inlineStr">
        <is>
          <t>궁극기 이름</t>
        </is>
      </c>
      <c r="C3" s="7" t="inlineStr">
        <is>
          <t>연출</t>
        </is>
      </c>
      <c r="D3" s="7" t="inlineStr">
        <is>
          <t>효과</t>
        </is>
      </c>
      <c r="E3" s="7" t="inlineStr">
        <is>
          <t>발동 조건</t>
        </is>
      </c>
    </row>
    <row r="4">
      <c r="A4" s="8" t="inlineStr">
        <is>
          <t>🐲+👼 드래곤나이트+세라핌</t>
        </is>
      </c>
      <c r="B4" s="8" t="inlineStr">
        <is>
          <t>천상의 용기사</t>
        </is>
      </c>
      <c r="C4" s="8" t="inlineStr">
        <is>
          <t>두 용병이 빛나며 합체, 천사 날개 달린 드래곤 기사로 변신</t>
        </is>
      </c>
      <c r="D4" s="8" t="inlineStr">
        <is>
          <t>전체 12배 + 아군 전원 HP 100% + 5초 무적</t>
        </is>
      </c>
      <c r="E4" s="8" t="inlineStr">
        <is>
          <t>양쪽 HP 30% 이하</t>
        </is>
      </c>
    </row>
    <row r="5">
      <c r="A5" s="9" t="inlineStr">
        <is>
          <t>💀+👼 죽음의기사+세라핌</t>
        </is>
      </c>
      <c r="B5" s="9" t="inlineStr">
        <is>
          <t>생사의 균형</t>
        </is>
      </c>
      <c r="C5" s="9" t="inlineStr">
        <is>
          <t>흑백 에너지가 소용돌이치며 융합</t>
        </is>
      </c>
      <c r="D5" s="9" t="inlineStr">
        <is>
          <t>적 전체 현HP 40% 삭제 + 아군 전원 부활</t>
        </is>
      </c>
      <c r="E5" s="9" t="inlineStr">
        <is>
          <t>한쪽 사망 시</t>
        </is>
      </c>
    </row>
    <row r="6">
      <c r="A6" s="8" t="inlineStr">
        <is>
          <t>❄️+🔥 서리여왕+불사조기사</t>
        </is>
      </c>
      <c r="B6" s="8" t="inlineStr">
        <is>
          <t>절대영도 vs 영원의 불꽃</t>
        </is>
      </c>
      <c r="C6" s="8" t="inlineStr">
        <is>
          <t>얼음과 화염이 충돌하며 폭발</t>
        </is>
      </c>
      <c r="D6" s="8" t="inlineStr">
        <is>
          <t>전체 15배 + 3초 빙결 + 5초 화상 동시</t>
        </is>
      </c>
      <c r="E6" s="8" t="inlineStr">
        <is>
          <t>양쪽 스킬 동시 사용</t>
        </is>
      </c>
    </row>
    <row r="7">
      <c r="A7" s="9" t="inlineStr">
        <is>
          <t>🗡️+🌑 검성+그림자군주</t>
        </is>
      </c>
      <c r="B7" s="9" t="inlineStr">
        <is>
          <t>만검의 그림자</t>
        </is>
      </c>
      <c r="C7" s="9" t="inlineStr">
        <is>
          <t>수천 개의 그림자 검이 전장을 뒤덮음</t>
        </is>
      </c>
      <c r="D7" s="9" t="inlineStr">
        <is>
          <t>전체 10연참 × 2배 각각 크리 판정</t>
        </is>
      </c>
      <c r="E7" s="9" t="inlineStr">
        <is>
          <t>킬 합산 10회</t>
        </is>
      </c>
    </row>
    <row r="8">
      <c r="A8" s="8" t="inlineStr">
        <is>
          <t>⏳+🌟 시간마법사+대마법사</t>
        </is>
      </c>
      <c r="B8" s="8" t="inlineStr">
        <is>
          <t>시공 대붕괴</t>
        </is>
      </c>
      <c r="C8" s="8" t="inlineStr">
        <is>
          <t>시간이 멈추고 마법 폭풍이 발생</t>
        </is>
      </c>
      <c r="D8" s="8" t="inlineStr">
        <is>
          <t>12초 전체 정지 + 매초 광역 5배</t>
        </is>
      </c>
      <c r="E8" s="8" t="inlineStr">
        <is>
          <t>전투 90초 경과</t>
        </is>
      </c>
    </row>
    <row r="9">
      <c r="A9" s="9" t="inlineStr">
        <is>
          <t>🐲+💀 바하무트+세계의끝</t>
        </is>
      </c>
      <c r="B9" s="9" t="inlineStr">
        <is>
          <t>종말의 용</t>
        </is>
      </c>
      <c r="C9" s="9" t="inlineStr">
        <is>
          <t>하늘이 갈라지며 거대한 용 출현</t>
        </is>
      </c>
      <c r="D9" s="9" t="inlineStr">
        <is>
          <t>전체 20배 + 10초간 매초 추가 3배</t>
        </is>
      </c>
      <c r="E9" s="9" t="inlineStr">
        <is>
          <t>양쪽 초월 상태</t>
        </is>
      </c>
    </row>
    <row r="10">
      <c r="A10" s="8" t="inlineStr"/>
      <c r="B10" s="8" t="inlineStr"/>
      <c r="C10" s="8" t="inlineStr"/>
      <c r="D10" s="8" t="inlineStr"/>
      <c r="E10" s="8" t="inlineStr"/>
    </row>
    <row r="11">
      <c r="A11" s="9" t="inlineStr">
        <is>
          <t>합체 조건</t>
        </is>
      </c>
      <c r="B11" s="9" t="inlineStr">
        <is>
          <t>두 용병 모두 인연 해금 + 각성 1단계 이상</t>
        </is>
      </c>
      <c r="C11" s="9" t="inlineStr"/>
      <c r="D11" s="9" t="inlineStr"/>
      <c r="E11" s="9" t="inlineStr"/>
    </row>
    <row r="12">
      <c r="A12" s="8" t="inlineStr">
        <is>
          <t>쿨다운</t>
        </is>
      </c>
      <c r="B12" s="8" t="inlineStr">
        <is>
          <t>전투당 1회만 사용 가능</t>
        </is>
      </c>
      <c r="C12" s="8" t="inlineStr"/>
      <c r="D12" s="8" t="inlineStr"/>
      <c r="E12" s="8" t="inlineStr"/>
    </row>
    <row r="13">
      <c r="A13" s="9" t="inlineStr">
        <is>
          <t>공성전</t>
        </is>
      </c>
      <c r="B13" s="9" t="inlineStr">
        <is>
          <t>공성전에서 합체 궁극기 사용 가능 — 전세 역전의 열쇠!</t>
        </is>
      </c>
      <c r="C13" s="9" t="inlineStr"/>
      <c r="D13" s="9" t="inlineStr"/>
      <c r="E13" s="9" t="inlineStr"/>
    </row>
    <row r="14">
      <c r="A14" s="8" t="inlineStr">
        <is>
          <t>연출 시간</t>
        </is>
      </c>
      <c r="B14" s="8" t="inlineStr">
        <is>
          <t>3초 컷씬 (스킵 불가) — 합체 순간 양쪽 무적</t>
        </is>
      </c>
      <c r="C14" s="8" t="inlineStr"/>
      <c r="D14" s="8" t="inlineStr"/>
      <c r="E14" s="8" t="inlineStr"/>
    </row>
    <row r="15">
      <c r="A15" s="9" t="inlineStr">
        <is>
          <t>밸런스</t>
        </is>
      </c>
      <c r="B15" s="9" t="inlineStr">
        <is>
          <t>합체 후 30초간 양쪽 용병 ATK -50% 디버프</t>
        </is>
      </c>
      <c r="C15" s="9" t="inlineStr">
        <is>
          <t>사용 타이밍 전략적</t>
        </is>
      </c>
      <c r="D15" s="9" t="inlineStr"/>
      <c r="E15" s="9" t="inlineStr"/>
    </row>
  </sheetData>
  <mergeCells count="1">
    <mergeCell ref="A1:E1"/>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4" customWidth="1" min="1" max="1"/>
    <col width="34" customWidth="1" min="2" max="2"/>
    <col width="26" customWidth="1" min="3" max="3"/>
    <col width="16" customWidth="1" min="4" max="4"/>
  </cols>
  <sheetData>
    <row r="1">
      <c r="A1" s="6" t="inlineStr">
        <is>
          <t>SLG 생활 콘텐츠 (4종)</t>
        </is>
      </c>
    </row>
    <row r="3">
      <c r="A3" s="7" t="inlineStr">
        <is>
          <t>콘텐츠</t>
        </is>
      </c>
      <c r="B3" s="7" t="inlineStr">
        <is>
          <t>시스템</t>
        </is>
      </c>
      <c r="C3" s="7" t="inlineStr">
        <is>
          <t>보상</t>
        </is>
      </c>
      <c r="D3" s="7" t="inlineStr">
        <is>
          <t>재미 포인트</t>
        </is>
      </c>
    </row>
    <row r="4">
      <c r="A4" s="8" t="inlineStr">
        <is>
          <t>═══ 🎣 낚시 ═══</t>
        </is>
      </c>
      <c r="B4" s="8" t="inlineStr"/>
      <c r="C4" s="8" t="inlineStr"/>
      <c r="D4" s="8" t="inlineStr"/>
    </row>
    <row r="5">
      <c r="A5" s="9" t="inlineStr">
        <is>
          <t>기본</t>
        </is>
      </c>
      <c r="B5" s="9" t="inlineStr">
        <is>
          <t>성 연못/바다/강 3곳, 미니게임 (타이밍 바 클릭)</t>
        </is>
      </c>
      <c r="C5" s="9" t="inlineStr">
        <is>
          <t>물고기 도감 30종, 요리 재료</t>
        </is>
      </c>
      <c r="D5" s="9" t="inlineStr">
        <is>
          <t>힐링 콘텐츠</t>
        </is>
      </c>
    </row>
    <row r="6">
      <c r="A6" s="8" t="inlineStr">
        <is>
          <t>희귀 물고기</t>
        </is>
      </c>
      <c r="B6" s="8" t="inlineStr">
        <is>
          <t>날씨/시간대별 출현, 황금 잉어(0.5%) → 50,000G</t>
        </is>
      </c>
      <c r="C6" s="8" t="inlineStr">
        <is>
          <t>도감 완성 시 "낚시왕" + 전용 낚싯대</t>
        </is>
      </c>
      <c r="D6" s="8" t="inlineStr">
        <is>
          <t>수집의 즐거움</t>
        </is>
      </c>
    </row>
    <row r="7">
      <c r="A7" s="9" t="inlineStr">
        <is>
          <t>낚시 대회</t>
        </is>
      </c>
      <c r="B7" s="9" t="inlineStr">
        <is>
          <t>매주 수요일, 제한 시간 내 최대 무게</t>
        </is>
      </c>
      <c r="C7" s="9" t="inlineStr">
        <is>
          <t>1위: 10,000G + 희귀 요리 재료</t>
        </is>
      </c>
      <c r="D7" s="9" t="inlineStr">
        <is>
          <t>경쟁!</t>
        </is>
      </c>
    </row>
    <row r="8">
      <c r="A8" s="8" t="inlineStr"/>
      <c r="B8" s="8" t="inlineStr"/>
      <c r="C8" s="8" t="inlineStr"/>
      <c r="D8" s="8" t="inlineStr"/>
    </row>
    <row r="9">
      <c r="A9" s="9" t="inlineStr">
        <is>
          <t>═══ 🍳 요리 ═══</t>
        </is>
      </c>
      <c r="B9" s="9" t="inlineStr"/>
      <c r="C9" s="9" t="inlineStr"/>
      <c r="D9" s="9" t="inlineStr"/>
    </row>
    <row r="10">
      <c r="A10" s="8" t="inlineStr">
        <is>
          <t>기본</t>
        </is>
      </c>
      <c r="B10" s="8" t="inlineStr">
        <is>
          <t>재료 조합으로 요리 제작, 레시피 50종</t>
        </is>
      </c>
      <c r="C10" s="8" t="inlineStr">
        <is>
          <t>용병 버프 (ATK/DEF/HP/SPD) 30분</t>
        </is>
      </c>
      <c r="D10" s="8" t="inlineStr">
        <is>
          <t>전투 준비!</t>
        </is>
      </c>
    </row>
    <row r="11">
      <c r="A11" s="9" t="inlineStr">
        <is>
          <t>등급</t>
        </is>
      </c>
      <c r="B11" s="9" t="inlineStr">
        <is>
          <t>일반(재료2) / 고급(재료4) / 희귀(재료6) / 전설(재료8+희귀재료)</t>
        </is>
      </c>
      <c r="C11" s="9" t="inlineStr">
        <is>
          <t>버프 강도 1%/3%/5%/10%</t>
        </is>
      </c>
      <c r="D11" s="9" t="inlineStr">
        <is>
          <t>고급 요리 = 전략</t>
        </is>
      </c>
    </row>
    <row r="12">
      <c r="A12" s="8" t="inlineStr">
        <is>
          <t>발견</t>
        </is>
      </c>
      <c r="B12" s="8" t="inlineStr">
        <is>
          <t>레시피 힌트 없음 — 재료 조합 직접 실험</t>
        </is>
      </c>
      <c r="C12" s="8" t="inlineStr">
        <is>
          <t>새 레시피 발견 시 보상 + 서버 공지</t>
        </is>
      </c>
      <c r="D12" s="8" t="inlineStr">
        <is>
          <t>실험의 재미!</t>
        </is>
      </c>
    </row>
    <row r="13">
      <c r="A13" s="9" t="inlineStr">
        <is>
          <t>요리 대회</t>
        </is>
      </c>
      <c r="B13" s="9" t="inlineStr">
        <is>
          <t>매주 토요일, NPC 심사위원 3명이 점수</t>
        </is>
      </c>
      <c r="C13" s="9" t="inlineStr">
        <is>
          <t>1위: 요리왕 칭호 + 전설 레시피 힌트</t>
        </is>
      </c>
      <c r="D13" s="9" t="inlineStr"/>
    </row>
    <row r="14">
      <c r="A14" s="8" t="inlineStr"/>
      <c r="B14" s="8" t="inlineStr"/>
      <c r="C14" s="8" t="inlineStr"/>
      <c r="D14" s="8" t="inlineStr"/>
    </row>
    <row r="15">
      <c r="A15" s="9" t="inlineStr">
        <is>
          <t>═══ 🌿 정원 ═══</t>
        </is>
      </c>
      <c r="B15" s="9" t="inlineStr"/>
      <c r="C15" s="9" t="inlineStr"/>
      <c r="D15" s="9" t="inlineStr"/>
    </row>
    <row r="16">
      <c r="A16" s="8" t="inlineStr">
        <is>
          <t>기본</t>
        </is>
      </c>
      <c r="B16" s="8" t="inlineStr">
        <is>
          <t>성 내 정원에 식물 재배 (씨앗 → 수확)</t>
        </is>
      </c>
      <c r="C16" s="8" t="inlineStr">
        <is>
          <t>약초(포션 재료), 꽃(장식), 열매(요리 재료)</t>
        </is>
      </c>
      <c r="D16" s="8" t="inlineStr">
        <is>
          <t>느긋한 성장</t>
        </is>
      </c>
    </row>
    <row r="17">
      <c r="A17" s="9" t="inlineStr">
        <is>
          <t>희귀 식물</t>
        </is>
      </c>
      <c r="B17" s="9" t="inlineStr">
        <is>
          <t>세계수 묘목(30일!): 완성 시 세계수 잎 자동 생산</t>
        </is>
      </c>
      <c r="C17" s="9" t="inlineStr">
        <is>
          <t>매주 세계수 잎 ×1 (영구 자원!)</t>
        </is>
      </c>
      <c r="D17" s="9" t="inlineStr">
        <is>
          <t>장기 투자 보상</t>
        </is>
      </c>
    </row>
    <row r="18">
      <c r="A18" s="8" t="inlineStr">
        <is>
          <t>정원 꾸미기</t>
        </is>
      </c>
      <c r="B18" s="8" t="inlineStr">
        <is>
          <t>꽃밭/분수/벤치/가로등 배치</t>
        </is>
      </c>
      <c r="C18" s="8" t="inlineStr">
        <is>
          <t>방문자에게 호감도 보너스</t>
        </is>
      </c>
      <c r="D18" s="8" t="inlineStr">
        <is>
          <t>힐링 공간</t>
        </is>
      </c>
    </row>
    <row r="19">
      <c r="A19" s="9" t="inlineStr"/>
      <c r="B19" s="9" t="inlineStr"/>
      <c r="C19" s="9" t="inlineStr"/>
      <c r="D19" s="9" t="inlineStr"/>
    </row>
    <row r="20">
      <c r="A20" s="8" t="inlineStr">
        <is>
          <t>═══ 🐕 펫 양육 ═══</t>
        </is>
      </c>
      <c r="B20" s="8" t="inlineStr"/>
      <c r="C20" s="8" t="inlineStr"/>
      <c r="D20" s="8" t="inlineStr"/>
    </row>
    <row r="21">
      <c r="A21" s="9" t="inlineStr">
        <is>
          <t>기본</t>
        </is>
      </c>
      <c r="B21" s="9" t="inlineStr">
        <is>
          <t>성에 펫 1마리 양육 (먹이/놀기/산책)</t>
        </is>
      </c>
      <c r="C21" s="9" t="inlineStr">
        <is>
          <t>펫 성장 → IO 동반: 아이템 자동 수집, 경험치 +5%</t>
        </is>
      </c>
      <c r="D21" s="9" t="inlineStr">
        <is>
          <t>귀여운 동반자!</t>
        </is>
      </c>
    </row>
    <row r="22">
      <c r="A22" s="8" t="inlineStr">
        <is>
          <t>펫 종류</t>
        </is>
      </c>
      <c r="B22" s="8" t="inlineStr">
        <is>
          <t>강아지/고양이/아기드래곤/슬라임/정령 (5종)</t>
        </is>
      </c>
      <c r="C22" s="8" t="inlineStr">
        <is>
          <t>각각 고유 능력 (수집/탐지/버프/힐/공격)</t>
        </is>
      </c>
      <c r="D22" s="8" t="inlineStr">
        <is>
          <t>선택의 재미</t>
        </is>
      </c>
    </row>
    <row r="23">
      <c r="A23" s="9" t="inlineStr">
        <is>
          <t>펫 진화</t>
        </is>
      </c>
      <c r="B23" s="9" t="inlineStr">
        <is>
          <t>호감도 MAX 시 진화 → 고유 스킬 강화</t>
        </is>
      </c>
      <c r="C23" s="9" t="inlineStr">
        <is>
          <t>아기드래곤→미니드래곤: 공격 보조 추가</t>
        </is>
      </c>
      <c r="D23" s="9" t="inlineStr">
        <is>
          <t>키우기의 보람!</t>
        </is>
      </c>
    </row>
  </sheetData>
  <mergeCells count="1">
    <mergeCell ref="A1:D1"/>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4" customWidth="1" min="2" max="2"/>
    <col width="24" customWidth="1" min="3" max="3"/>
    <col width="16" customWidth="1" min="4" max="4"/>
  </cols>
  <sheetData>
    <row r="1">
      <c r="A1" s="6" t="inlineStr">
        <is>
          <t>서버 간 대전 시스템</t>
        </is>
      </c>
    </row>
    <row r="3">
      <c r="A3" s="7" t="inlineStr">
        <is>
          <t>시스템</t>
        </is>
      </c>
      <c r="B3" s="7" t="inlineStr">
        <is>
          <t>상세</t>
        </is>
      </c>
      <c r="C3" s="7" t="inlineStr">
        <is>
          <t>보상</t>
        </is>
      </c>
      <c r="D3" s="7" t="inlineStr">
        <is>
          <t>재미 포인트</t>
        </is>
      </c>
    </row>
    <row r="4">
      <c r="A4" s="8" t="inlineStr">
        <is>
          <t>🌐 크로스 서버전</t>
        </is>
      </c>
      <c r="B4" s="8" t="inlineStr">
        <is>
          <t>월 1회, 서버 대표 선발 → 다른 서버와 대전</t>
        </is>
      </c>
      <c r="C4" s="8" t="inlineStr">
        <is>
          <t>서버 등급 + 전원 보상</t>
        </is>
      </c>
      <c r="D4" s="8" t="inlineStr">
        <is>
          <t>서버의 자존심!</t>
        </is>
      </c>
    </row>
    <row r="5">
      <c r="A5" s="9" t="inlineStr"/>
      <c r="B5" s="9" t="inlineStr"/>
      <c r="C5" s="9" t="inlineStr"/>
      <c r="D5" s="9" t="inlineStr"/>
    </row>
    <row r="6">
      <c r="A6" s="8" t="inlineStr">
        <is>
          <t>대표 선발</t>
        </is>
      </c>
      <c r="B6" s="8" t="inlineStr">
        <is>
          <t>IO 랭킹 TOP 5 + 아레나 TOP 3 + 혈맹 대표 2명 = 10명</t>
        </is>
      </c>
      <c r="C6" s="8" t="inlineStr"/>
      <c r="D6" s="8" t="inlineStr">
        <is>
          <t>최강자 드림팀</t>
        </is>
      </c>
    </row>
    <row r="7">
      <c r="A7" s="9" t="inlineStr">
        <is>
          <t>예선</t>
        </is>
      </c>
      <c r="B7" s="9" t="inlineStr">
        <is>
          <t>서버 내 예선 토너먼트 (상위 30명 중 10명 선발)</t>
        </is>
      </c>
      <c r="C7" s="9" t="inlineStr">
        <is>
          <t>참여만 해도 5,000G</t>
        </is>
      </c>
      <c r="D7" s="9" t="inlineStr">
        <is>
          <t>나도 대표 도전!</t>
        </is>
      </c>
    </row>
    <row r="8">
      <c r="A8" s="8" t="inlineStr"/>
      <c r="B8" s="8" t="inlineStr"/>
      <c r="C8" s="8" t="inlineStr"/>
      <c r="D8" s="8" t="inlineStr"/>
    </row>
    <row r="9">
      <c r="A9" s="9" t="inlineStr">
        <is>
          <t>📋 종목 (3종)</t>
        </is>
      </c>
      <c r="B9" s="9" t="inlineStr"/>
      <c r="C9" s="9" t="inlineStr"/>
      <c r="D9" s="9" t="inlineStr"/>
    </row>
    <row r="10">
      <c r="A10" s="8" t="inlineStr">
        <is>
          <t>IO 서바이벌</t>
        </is>
      </c>
      <c r="B10" s="8" t="inlineStr">
        <is>
          <t>양 서버 10명 혼합 매치, 서버별 킬/생존 점수</t>
        </is>
      </c>
      <c r="C10" s="8" t="inlineStr">
        <is>
          <t>최다 점수 서버 승리</t>
        </is>
      </c>
      <c r="D10" s="8" t="inlineStr">
        <is>
          <t>IO 실력 대���</t>
        </is>
      </c>
    </row>
    <row r="11">
      <c r="A11" s="9" t="inlineStr">
        <is>
          <t>공성전</t>
        </is>
      </c>
      <c r="B11" s="9" t="inlineStr">
        <is>
          <t>서버 대표팀이 서로의 성 공격 (홈&amp;어웨이)</t>
        </is>
      </c>
      <c r="C11" s="9" t="inlineStr">
        <is>
          <t>총 2전, 승점 합산</t>
        </is>
      </c>
      <c r="D11" s="9" t="inlineStr">
        <is>
          <t>공성 전략 대결</t>
        </is>
      </c>
    </row>
    <row r="12">
      <c r="A12" s="8" t="inlineStr">
        <is>
          <t>용병 토너먼트</t>
        </is>
      </c>
      <c r="B12" s="8" t="inlineStr">
        <is>
          <t>대표 용병 파티 자동 대전 (5:5 × 5판)</t>
        </is>
      </c>
      <c r="C12" s="8" t="inlineStr">
        <is>
          <t>3승 선승제</t>
        </is>
      </c>
      <c r="D12" s="8" t="inlineStr">
        <is>
          <t>육성의 결과!</t>
        </is>
      </c>
    </row>
    <row r="13">
      <c r="A13" s="9" t="inlineStr"/>
      <c r="B13" s="9" t="inlineStr"/>
      <c r="C13" s="9" t="inlineStr"/>
      <c r="D13" s="9" t="inlineStr"/>
    </row>
    <row r="14">
      <c r="A14" s="8" t="inlineStr">
        <is>
          <t>🏆 서버 등급</t>
        </is>
      </c>
      <c r="B14" s="8" t="inlineStr"/>
      <c r="C14" s="8" t="inlineStr"/>
      <c r="D14" s="8" t="inlineStr"/>
    </row>
    <row r="15">
      <c r="A15" s="9" t="inlineStr">
        <is>
          <t>🥉 브론즈 서버</t>
        </is>
      </c>
      <c r="B15" s="9" t="inlineStr">
        <is>
          <t>0~2승</t>
        </is>
      </c>
      <c r="C15" s="9" t="inlineStr">
        <is>
          <t>전원: 5,000G + 20💎</t>
        </is>
      </c>
      <c r="D15" s="9" t="inlineStr"/>
    </row>
    <row r="16">
      <c r="A16" s="8" t="inlineStr">
        <is>
          <t>🥈 실버 서버</t>
        </is>
      </c>
      <c r="B16" s="8" t="inlineStr">
        <is>
          <t>3~5승</t>
        </is>
      </c>
      <c r="C16" s="8" t="inlineStr">
        <is>
          <t>전원: 15,000G + 50💎</t>
        </is>
      </c>
      <c r="D16" s="8" t="inlineStr"/>
    </row>
    <row r="17">
      <c r="A17" s="9" t="inlineStr">
        <is>
          <t>🥇 골드 서버</t>
        </is>
      </c>
      <c r="B17" s="9" t="inlineStr">
        <is>
          <t>6~8승</t>
        </is>
      </c>
      <c r="C17" s="9" t="inlineStr">
        <is>
          <t>전원: 30,000G + 100💎 + 서버 칭호</t>
        </is>
      </c>
      <c r="D17" s="9" t="inlineStr"/>
    </row>
    <row r="18">
      <c r="A18" s="8" t="inlineStr">
        <is>
          <t>💎 다이아 서버</t>
        </is>
      </c>
      <c r="B18" s="8" t="inlineStr">
        <is>
          <t>9승 이상</t>
        </is>
      </c>
      <c r="C18" s="8" t="inlineStr">
        <is>
          <t>전원: 50,000G + 200💎 + 전용 스킨 + 서버 왕관 아이콘</t>
        </is>
      </c>
      <c r="D18" s="8" t="inlineStr">
        <is>
          <t>최강 서버!</t>
        </is>
      </c>
    </row>
    <row r="19">
      <c r="A19" s="9" t="inlineStr"/>
      <c r="B19" s="9" t="inlineStr"/>
      <c r="C19" s="9" t="inlineStr"/>
      <c r="D19" s="9" t="inlineStr"/>
    </row>
    <row r="20">
      <c r="A20" s="8" t="inlineStr">
        <is>
          <t>서버 자존심</t>
        </is>
      </c>
      <c r="B20" s="8" t="inlineStr">
        <is>
          <t>서버 등급은 모든 플레이어 프로필에 표시</t>
        </is>
      </c>
      <c r="C20" s="8" t="inlineStr">
        <is>
          <t>다른 서버 플레이어에게 보임</t>
        </is>
      </c>
      <c r="D20" s="8" t="inlineStr">
        <is>
          <t>소속감 + 자부심!</t>
        </is>
      </c>
    </row>
    <row r="21">
      <c r="A21" s="9" t="inlineStr">
        <is>
          <t>MVP</t>
        </is>
      </c>
      <c r="B21" s="9" t="inlineStr">
        <is>
          <t>각 종목 MVP: 추가 50💎 + "서버의 영웅" 칭호</t>
        </is>
      </c>
      <c r="C21" s="9" t="inlineStr"/>
      <c r="D21" s="9" t="inlineStr">
        <is>
          <t>개인 명예</t>
        </is>
      </c>
    </row>
  </sheetData>
  <mergeCells count="1">
    <mergeCell ref="A1:D1"/>
  </mergeCell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4" customWidth="1" min="1" max="1"/>
    <col width="24" customWidth="1" min="2" max="2"/>
    <col width="24" customWidth="1" min="3" max="3"/>
    <col width="18" customWidth="1" min="4" max="4"/>
    <col width="14" customWidth="1" min="5" max="5"/>
  </cols>
  <sheetData>
    <row r="1">
      <c r="A1" s="6" t="inlineStr">
        <is>
          <t>공성전 시즌 토너먼트</t>
        </is>
      </c>
    </row>
    <row r="3">
      <c r="A3" s="7" t="inlineStr">
        <is>
          <t>단계</t>
        </is>
      </c>
      <c r="B3" s="7" t="inlineStr">
        <is>
          <t>참가</t>
        </is>
      </c>
      <c r="C3" s="7" t="inlineStr">
        <is>
          <t>규칙</t>
        </is>
      </c>
      <c r="D3" s="7" t="inlineStr">
        <is>
          <t>보상</t>
        </is>
      </c>
      <c r="E3" s="7" t="inlineStr">
        <is>
          <t>일정</t>
        </is>
      </c>
    </row>
    <row r="4">
      <c r="A4" s="8" t="inlineStr">
        <is>
          <t>🏟️ 시즌 토너먼트</t>
        </is>
      </c>
      <c r="B4" s="8" t="inlineStr">
        <is>
          <t>시즌마다 1회 (3개월)</t>
        </is>
      </c>
      <c r="C4" s="8" t="inlineStr">
        <is>
          <t>16강 단판 승부 토너먼트</t>
        </is>
      </c>
      <c r="D4" s="8" t="inlineStr">
        <is>
          <t>우승: 500,000G + 500💎</t>
        </is>
      </c>
      <c r="E4" s="8" t="inlineStr">
        <is>
          <t>시즌 마지막 2주</t>
        </is>
      </c>
    </row>
    <row r="5">
      <c r="A5" s="9" t="inlineStr"/>
      <c r="B5" s="9" t="inlineStr"/>
      <c r="C5" s="9" t="inlineStr"/>
      <c r="D5" s="9" t="inlineStr"/>
      <c r="E5" s="9" t="inlineStr"/>
    </row>
    <row r="6">
      <c r="A6" s="8" t="inlineStr">
        <is>
          <t>참가 신청</t>
        </is>
      </c>
      <c r="B6" s="8" t="inlineStr">
        <is>
          <t>혈맹 단위 참가 (최소 5명)</t>
        </is>
      </c>
      <c r="C6" s="8" t="inlineStr">
        <is>
          <t>전투력 합산 기준 시드 배정</t>
        </is>
      </c>
      <c r="D6" s="8" t="inlineStr">
        <is>
          <t>참가비: 10,000G/혈맹</t>
        </is>
      </c>
      <c r="E6" s="8" t="inlineStr">
        <is>
          <t>시즌 종료 2주 전</t>
        </is>
      </c>
    </row>
    <row r="7">
      <c r="A7" s="9" t="inlineStr"/>
      <c r="B7" s="9" t="inlineStr"/>
      <c r="C7" s="9" t="inlineStr"/>
      <c r="D7" s="9" t="inlineStr"/>
      <c r="E7" s="9" t="inlineStr"/>
    </row>
    <row r="8">
      <c r="A8" s="8" t="inlineStr">
        <is>
          <t>16강</t>
        </is>
      </c>
      <c r="B8" s="8" t="inlineStr">
        <is>
          <t>매일 2경기, 4일간</t>
        </is>
      </c>
      <c r="C8" s="8" t="inlineStr">
        <is>
          <t>공격→방어 교대, 총합 점수</t>
        </is>
      </c>
      <c r="D8" s="8" t="inlineStr">
        <is>
          <t>패자: 참가 보상 5,000G</t>
        </is>
      </c>
      <c r="E8" s="8" t="inlineStr">
        <is>
          <t>1주차 월~목</t>
        </is>
      </c>
    </row>
    <row r="9">
      <c r="A9" s="9" t="inlineStr">
        <is>
          <t>8강</t>
        </is>
      </c>
      <c r="B9" s="9" t="inlineStr">
        <is>
          <t>매일 2경기, 2일간</t>
        </is>
      </c>
      <c r="C9" s="9" t="inlineStr">
        <is>
          <t>동일 규칙</t>
        </is>
      </c>
      <c r="D9" s="9" t="inlineStr">
        <is>
          <t>패자: 10,000G</t>
        </is>
      </c>
      <c r="E9" s="9" t="inlineStr">
        <is>
          <t>1주차 금~토</t>
        </is>
      </c>
    </row>
    <row r="10">
      <c r="A10" s="8" t="inlineStr">
        <is>
          <t>4강 (준결승)</t>
        </is>
      </c>
      <c r="B10" s="8" t="inlineStr">
        <is>
          <t>2경기</t>
        </is>
      </c>
      <c r="C10" s="8" t="inlineStr">
        <is>
          <t>동일 규칙 + 관전 최대 활성화</t>
        </is>
      </c>
      <c r="D10" s="8" t="inlineStr">
        <is>
          <t>패자: 30,000G + 칭호</t>
        </is>
      </c>
      <c r="E10" s="8" t="inlineStr">
        <is>
          <t>2주차 수</t>
        </is>
      </c>
    </row>
    <row r="11">
      <c r="A11" s="9" t="inlineStr">
        <is>
          <t>결승</t>
        </is>
      </c>
      <c r="B11" s="9" t="inlineStr">
        <is>
          <t>1경기</t>
        </is>
      </c>
      <c r="C11" s="9" t="inlineStr">
        <is>
          <t>3전 2선승 + 서버 전체 관전</t>
        </is>
      </c>
      <c r="D11" s="9" t="inlineStr"/>
      <c r="E11" s="9" t="inlineStr">
        <is>
          <t>2주차 일요일 20:00</t>
        </is>
      </c>
    </row>
    <row r="12">
      <c r="A12" s="8" t="inlineStr"/>
      <c r="B12" s="8" t="inlineStr"/>
      <c r="C12" s="8" t="inlineStr"/>
      <c r="D12" s="8" t="inlineStr"/>
      <c r="E12" s="8" t="inlineStr"/>
    </row>
    <row r="13">
      <c r="A13" s="9" t="inlineStr">
        <is>
          <t>🏆 결승 보상</t>
        </is>
      </c>
      <c r="B13" s="9" t="inlineStr"/>
      <c r="C13" s="9" t="inlineStr"/>
      <c r="D13" s="9" t="inlineStr"/>
      <c r="E13" s="9" t="inlineStr"/>
    </row>
    <row r="14">
      <c r="A14" s="8" t="inlineStr">
        <is>
          <t>우승</t>
        </is>
      </c>
      <c r="B14" s="8" t="inlineStr">
        <is>
          <t>500,000G + 500💎 + "공성왕" 칭호 + 성 전용 스킨 "황금 성"</t>
        </is>
      </c>
      <c r="C14" s="8" t="inlineStr"/>
      <c r="D14" s="8" t="inlineStr"/>
      <c r="E14" s="8" t="inlineStr"/>
    </row>
    <row r="15">
      <c r="A15" s="9" t="inlineStr">
        <is>
          <t>준우승</t>
        </is>
      </c>
      <c r="B15" s="9" t="inlineStr">
        <is>
          <t>200,000G + 200💎 + "공성 도전자" 칭호</t>
        </is>
      </c>
      <c r="C15" s="9" t="inlineStr"/>
      <c r="D15" s="9" t="inlineStr"/>
      <c r="E15" s="9" t="inlineStr"/>
    </row>
    <row r="16">
      <c r="A16" s="8" t="inlineStr">
        <is>
          <t>4강</t>
        </is>
      </c>
      <c r="B16" s="8" t="inlineStr">
        <is>
          <t>100,000G + 100💎</t>
        </is>
      </c>
      <c r="C16" s="8" t="inlineStr"/>
      <c r="D16" s="8" t="inlineStr"/>
      <c r="E16" s="8" t="inlineStr"/>
    </row>
    <row r="17">
      <c r="A17" s="9" t="inlineStr"/>
      <c r="B17" s="9" t="inlineStr"/>
      <c r="C17" s="9" t="inlineStr"/>
      <c r="D17" s="9" t="inlineStr"/>
      <c r="E17" s="9" t="inlineStr"/>
    </row>
    <row r="18">
      <c r="A18" s="8" t="inlineStr">
        <is>
          <t>관전 시스템</t>
        </is>
      </c>
      <c r="B18" s="8" t="inlineStr">
        <is>
          <t>서버 전체 실시간 관전 + 응원 투표</t>
        </is>
      </c>
      <c r="C18" s="8" t="inlineStr">
        <is>
          <t>응원 진영 승리 시 관전자도 보상 (1,000G)</t>
        </is>
      </c>
      <c r="D18" s="8" t="inlineStr"/>
      <c r="E18" s="8" t="inlineStr"/>
    </row>
    <row r="19">
      <c r="A19" s="9" t="inlineStr">
        <is>
          <t>중계</t>
        </is>
      </c>
      <c r="B19" s="9" t="inlineStr">
        <is>
          <t>NPC 해설자가 주요 순간 자동 코멘트 (텍스트)</t>
        </is>
      </c>
      <c r="C19" s="9" t="inlineStr"/>
      <c r="D19" s="9" t="inlineStr"/>
      <c r="E19" s="9" t="inlineStr"/>
    </row>
    <row r="20">
      <c r="A20" s="8" t="inlineStr">
        <is>
          <t>하이라이트</t>
        </is>
      </c>
      <c r="B20" s="8" t="inlineStr">
        <is>
          <t>토너먼트 종료 후 명장면 자동 편집 리플레이</t>
        </is>
      </c>
      <c r="C20" s="8" t="inlineStr"/>
      <c r="D20" s="8" t="inlineStr"/>
      <c r="E20" s="8" t="inlineStr"/>
    </row>
  </sheetData>
  <mergeCells count="1">
    <mergeCell ref="A1:E1"/>
  </mergeCell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4" customWidth="1" min="1" max="1"/>
    <col width="30" customWidth="1" min="2" max="2"/>
    <col width="24" customWidth="1" min="3" max="3"/>
    <col width="16" customWidth="1" min="4" max="4"/>
  </cols>
  <sheetData>
    <row r="1">
      <c r="A1" s="6" t="inlineStr">
        <is>
          <t>IO 변신 시스템 (포획 연동)</t>
        </is>
      </c>
    </row>
    <row r="3">
      <c r="A3" s="7" t="inlineStr">
        <is>
          <t>시스템</t>
        </is>
      </c>
      <c r="B3" s="7" t="inlineStr">
        <is>
          <t>상세</t>
        </is>
      </c>
      <c r="C3" s="7" t="inlineStr">
        <is>
          <t>효과</t>
        </is>
      </c>
      <c r="D3" s="7" t="inlineStr">
        <is>
          <t>제한</t>
        </is>
      </c>
    </row>
    <row r="4">
      <c r="A4" s="8" t="inlineStr">
        <is>
          <t>🐾 포획 변신</t>
        </is>
      </c>
      <c r="B4" s="8" t="inlineStr">
        <is>
          <t>IO 매치 중 포획 몬스터로 변신</t>
        </is>
      </c>
      <c r="C4" s="8" t="inlineStr">
        <is>
          <t>몬스터 스탯+스킬 사용, 외형 변경</t>
        </is>
      </c>
      <c r="D4" s="8" t="inlineStr">
        <is>
          <t>매치당 1회, 60초</t>
        </is>
      </c>
    </row>
    <row r="5">
      <c r="A5" s="9" t="inlineStr"/>
      <c r="B5" s="9" t="inlineStr"/>
      <c r="C5" s="9" t="inlineStr"/>
      <c r="D5" s="9" t="inlineStr"/>
    </row>
    <row r="6">
      <c r="A6" s="8" t="inlineStr">
        <is>
          <t>변신 조건</t>
        </is>
      </c>
      <c r="B6" s="8" t="inlineStr">
        <is>
          <t>유대도 3단계(신뢰) 이상 + IO 내 Lv.10 이상</t>
        </is>
      </c>
      <c r="C6" s="8" t="inlineStr"/>
      <c r="D6" s="8" t="inlineStr"/>
    </row>
    <row r="7">
      <c r="A7" s="9" t="inlineStr">
        <is>
          <t>변신 중</t>
        </is>
      </c>
      <c r="B7" s="9" t="inlineStr">
        <is>
          <t>플레이어 무기 비활성 → 몬스터 고유 능력만 사용</t>
        </is>
      </c>
      <c r="C7" s="9" t="inlineStr"/>
      <c r="D7" s="9" t="inlineStr">
        <is>
          <t>PvP에서 예측 불가!</t>
        </is>
      </c>
    </row>
    <row r="8">
      <c r="A8" s="8" t="inlineStr">
        <is>
          <t>변신 해제</t>
        </is>
      </c>
      <c r="B8" s="8" t="inlineStr">
        <is>
          <t>60초 경과 / 자발적 해제 / HP 0 시</t>
        </is>
      </c>
      <c r="C8" s="8" t="inlineStr">
        <is>
          <t>해제 후 3초 무적 (전환 보호)</t>
        </is>
      </c>
      <c r="D8" s="8" t="inlineStr"/>
    </row>
    <row r="9">
      <c r="A9" s="9" t="inlineStr"/>
      <c r="B9" s="9" t="inlineStr"/>
      <c r="C9" s="9" t="inlineStr"/>
      <c r="D9" s="9" t="inlineStr"/>
    </row>
    <row r="10">
      <c r="A10" s="8" t="inlineStr">
        <is>
          <t>🐲 변신별 전투 스타일</t>
        </is>
      </c>
      <c r="B10" s="8" t="inlineStr"/>
      <c r="C10" s="8" t="inlineStr"/>
      <c r="D10" s="8" t="inlineStr"/>
    </row>
    <row r="11">
      <c r="A11" s="9" t="inlineStr">
        <is>
          <t>슬라임 엠퍼러</t>
        </is>
      </c>
      <c r="B11" s="9" t="inlineStr">
        <is>
          <t>높은 HP(400), 분열(사망시 미니3체)</t>
        </is>
      </c>
      <c r="C11" s="9" t="inlineStr">
        <is>
          <t>탱킹 + 다수 전략</t>
        </is>
      </c>
      <c r="D11" s="9" t="inlineStr">
        <is>
          <t>수적 우위!</t>
        </is>
      </c>
    </row>
    <row r="12">
      <c r="A12" s="8" t="inlineStr">
        <is>
          <t>펜리르</t>
        </is>
      </c>
      <c r="B12" s="8" t="inlineStr">
        <is>
          <t>높은 ATK(45), 울부짖음(주변 ATK+20%)</t>
        </is>
      </c>
      <c r="C12" s="8" t="inlineStr">
        <is>
          <t>파티 버프 + 공격형</t>
        </is>
      </c>
      <c r="D12" s="8" t="inlineStr">
        <is>
          <t>아군 강화!</t>
        </is>
      </c>
    </row>
    <row r="13">
      <c r="A13" s="9" t="inlineStr">
        <is>
          <t>에이션트 드래곤</t>
        </is>
      </c>
      <c r="B13" s="9" t="inlineStr">
        <is>
          <t>최강 ATK(70), 브레스(광역 6배)</t>
        </is>
      </c>
      <c r="C13" s="9" t="inlineStr">
        <is>
          <t>보스급 화력</t>
        </is>
      </c>
      <c r="D13" s="9" t="inlineStr">
        <is>
          <t>60초간 드래곤!</t>
        </is>
      </c>
    </row>
    <row r="14">
      <c r="A14" s="8" t="inlineStr">
        <is>
          <t>데스 리치</t>
        </is>
      </c>
      <c r="B14" s="8" t="inlineStr">
        <is>
          <t>마법(55), 영혼 지배(적 1체 조종 10초)</t>
        </is>
      </c>
      <c r="C14" s="8" t="inlineStr">
        <is>
          <t>적 강탈!</t>
        </is>
      </c>
      <c r="D14" s="8" t="inlineStr">
        <is>
          <t>전략적 사용</t>
        </is>
      </c>
    </row>
    <row r="15">
      <c r="A15" s="9" t="inlineStr">
        <is>
          <t>피닉스</t>
        </is>
      </c>
      <c r="B15" s="9" t="inlineStr">
        <is>
          <t>사망시 부활(HP50%) + ATK(50)</t>
        </is>
      </c>
      <c r="C15" s="9" t="inlineStr">
        <is>
          <t>불사 전투기</t>
        </is>
      </c>
      <c r="D15" s="9" t="inlineStr">
        <is>
          <t>자폭 특공!</t>
        </is>
      </c>
    </row>
    <row r="16">
      <c r="A16" s="8" t="inlineStr">
        <is>
          <t>히드라</t>
        </is>
      </c>
      <c r="B16" s="8" t="inlineStr">
        <is>
          <t>재생(HP25%↓시 ATK 2배) + HP(650)</t>
        </is>
      </c>
      <c r="C16" s="8" t="inlineStr">
        <is>
          <t>역전 특화</t>
        </is>
      </c>
      <c r="D16" s="8" t="inlineStr">
        <is>
          <t>위기를 기회로!</t>
        </is>
      </c>
    </row>
    <row r="17">
      <c r="A17" s="9" t="inlineStr">
        <is>
          <t>환상의 짐승</t>
        </is>
      </c>
      <c r="B17" s="9" t="inlineStr">
        <is>
          <t>전능력 랜덤 복사 3개 + ATK(80)</t>
        </is>
      </c>
      <c r="C17" s="9" t="inlineStr">
        <is>
          <t>예측 불가 최강</t>
        </is>
      </c>
      <c r="D17" s="9" t="inlineStr">
        <is>
          <t>수집 보상 가치!</t>
        </is>
      </c>
    </row>
    <row r="18">
      <c r="A18" s="8" t="inlineStr"/>
      <c r="B18" s="8" t="inlineStr"/>
      <c r="C18" s="8" t="inlineStr"/>
      <c r="D18" s="8" t="inlineStr"/>
    </row>
    <row r="19">
      <c r="A19" s="9" t="inlineStr">
        <is>
          <t>PvP 변신</t>
        </is>
      </c>
      <c r="B19" s="9" t="inlineStr">
        <is>
          <t>변신 중 다른 플레이어 공격 가능</t>
        </is>
      </c>
      <c r="C19" s="9" t="inlineStr">
        <is>
          <t>변신 킬 시 추가 보상 (용맹 포인트)</t>
        </is>
      </c>
      <c r="D19" s="9" t="inlineStr"/>
    </row>
    <row r="20">
      <c r="A20" s="8" t="inlineStr">
        <is>
          <t>변신 vs 변신</t>
        </is>
      </c>
      <c r="B20" s="8" t="inlineStr">
        <is>
          <t>양쪽 변신 시 "야수 대전" — 몬스터끼리 전투</t>
        </is>
      </c>
      <c r="C20" s="8" t="inlineStr">
        <is>
          <t>추가 보상 ×2</t>
        </is>
      </c>
      <c r="D20" s="8" t="inlineStr">
        <is>
          <t>진짜 포켓몬 배틀!</t>
        </is>
      </c>
    </row>
  </sheetData>
  <mergeCells count="1">
    <mergeCell ref="A1:D1"/>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0" customWidth="1" min="2" max="2"/>
    <col width="24" customWidth="1" min="3" max="3"/>
    <col width="14" customWidth="1" min="4" max="4"/>
  </cols>
  <sheetData>
    <row r="1">
      <c r="A1" s="6" t="inlineStr">
        <is>
          <t>무역 카라반 실시간 시스템</t>
        </is>
      </c>
    </row>
    <row r="3">
      <c r="A3" s="7" t="inlineStr">
        <is>
          <t>시스템</t>
        </is>
      </c>
      <c r="B3" s="7" t="inlineStr">
        <is>
          <t>상세</t>
        </is>
      </c>
      <c r="C3" s="7" t="inlineStr">
        <is>
          <t>위험/보상</t>
        </is>
      </c>
      <c r="D3" s="7" t="inlineStr">
        <is>
          <t>재미 포인트</t>
        </is>
      </c>
    </row>
    <row r="4">
      <c r="A4" s="8" t="inlineStr">
        <is>
          <t>🐴 카라반 출발</t>
        </is>
      </c>
      <c r="B4" s="8" t="inlineStr">
        <is>
          <t>무역 시작 시 카라반이 월드맵에서 실시간 이동</t>
        </is>
      </c>
      <c r="C4" s="8" t="inlineStr">
        <is>
          <t>이동 경로가 다른 플레이어에게 보임!</t>
        </is>
      </c>
      <c r="D4" s="8" t="inlineStr">
        <is>
          <t>긴장감!</t>
        </is>
      </c>
    </row>
    <row r="5">
      <c r="A5" s="9" t="inlineStr">
        <is>
          <t>이동 표시</t>
        </is>
      </c>
      <c r="B5" s="9" t="inlineStr">
        <is>
          <t>미니맵에 내 카라반 + 다른 플레이어 카라반 표시</t>
        </is>
      </c>
      <c r="C5" s="9" t="inlineStr">
        <is>
          <t>적재량 많을수록 아이콘 크게</t>
        </is>
      </c>
      <c r="D5" s="9" t="inlineStr">
        <is>
          <t>큰 카라반 = 큰 목표</t>
        </is>
      </c>
    </row>
    <row r="6">
      <c r="A6" s="8" t="inlineStr"/>
      <c r="B6" s="8" t="inlineStr"/>
      <c r="C6" s="8" t="inlineStr"/>
      <c r="D6" s="8" t="inlineStr"/>
    </row>
    <row r="7">
      <c r="A7" s="9" t="inlineStr">
        <is>
          <t>⚔️ 습격 시스템</t>
        </is>
      </c>
      <c r="B7" s="9" t="inlineStr"/>
      <c r="C7" s="9" t="inlineStr"/>
      <c r="D7" s="9" t="inlineStr"/>
    </row>
    <row r="8">
      <c r="A8" s="8" t="inlineStr">
        <is>
          <t>PvP 약탈</t>
        </is>
      </c>
      <c r="B8" s="8" t="inlineStr">
        <is>
          <t>이동 중 카라반 클릭 → IO 방식 전투 진입</t>
        </is>
      </c>
      <c r="C8" s="8" t="inlineStr">
        <is>
          <t>승리: 물품 30% 약탈 / 패배: 카르마+150</t>
        </is>
      </c>
      <c r="D8" s="8" t="inlineStr">
        <is>
          <t>거상의 긴장감!</t>
        </is>
      </c>
    </row>
    <row r="9">
      <c r="A9" s="9" t="inlineStr">
        <is>
          <t>호위 용병</t>
        </is>
      </c>
      <c r="B9" s="9" t="inlineStr">
        <is>
          <t>카라반에 용병 3명 배치, AI 자동 방어</t>
        </is>
      </c>
      <c r="C9" s="9" t="inlineStr">
        <is>
          <t>전투력 높으면 습격 자동 격퇴 (50%)</t>
        </is>
      </c>
      <c r="D9" s="9" t="inlineStr">
        <is>
          <t>용병 키운 보람</t>
        </is>
      </c>
    </row>
    <row r="10">
      <c r="A10" s="8" t="inlineStr">
        <is>
          <t>호위 플레이어</t>
        </is>
      </c>
      <c r="B10" s="8" t="inlineStr">
        <is>
          <t>친구/혈맹원에게 호위 요청 → 실시간 동행</t>
        </is>
      </c>
      <c r="C10" s="8" t="inlineStr">
        <is>
          <t>호위료: 이윤의 20% 자동 지급</t>
        </is>
      </c>
      <c r="D10" s="8" t="inlineStr">
        <is>
          <t>협동 무역!</t>
        </is>
      </c>
    </row>
    <row r="11">
      <c r="A11" s="9" t="inlineStr"/>
      <c r="B11" s="9" t="inlineStr"/>
      <c r="C11" s="9" t="inlineStr"/>
      <c r="D11" s="9" t="inlineStr"/>
    </row>
    <row r="12">
      <c r="A12" s="8" t="inlineStr">
        <is>
          <t>🚨 이벤트</t>
        </is>
      </c>
      <c r="B12" s="8" t="inlineStr"/>
      <c r="C12" s="8" t="inlineStr"/>
      <c r="D12" s="8" t="inlineStr"/>
    </row>
    <row r="13">
      <c r="A13" s="9" t="inlineStr">
        <is>
          <t>해적 NPC</t>
        </is>
      </c>
      <c r="B13" s="9" t="inlineStr">
        <is>
          <t>위험도 높은 루트에서 NPC 해적 조우</t>
        </is>
      </c>
      <c r="C13" s="9" t="inlineStr">
        <is>
          <t>격파: 보너스 물품 + 해적 보물</t>
        </is>
      </c>
      <c r="D13" s="9" t="inlineStr">
        <is>
          <t>전투형 무역</t>
        </is>
      </c>
    </row>
    <row r="14">
      <c r="A14" s="8" t="inlineStr">
        <is>
          <t>마차 고장</t>
        </is>
      </c>
      <c r="B14" s="8" t="inlineStr">
        <is>
          <t>10% 확률 마차 고장 → 수리 미니게임 (30초)</t>
        </is>
      </c>
      <c r="C14" s="8" t="inlineStr">
        <is>
          <t>실패 시 이동 시간 +50%</t>
        </is>
      </c>
      <c r="D14" s="8" t="inlineStr">
        <is>
          <t>돌발 이벤트!</t>
        </is>
      </c>
    </row>
    <row r="15">
      <c r="A15" s="9" t="inlineStr">
        <is>
          <t>비밀 상인</t>
        </is>
      </c>
      <c r="B15" s="9" t="inlineStr">
        <is>
          <t>5% 확률 길에서 비밀 상인 조우</t>
        </is>
      </c>
      <c r="C15" s="9" t="inlineStr">
        <is>
          <t>희귀 물품 반값 매입 기회!</t>
        </is>
      </c>
      <c r="D15" s="9" t="inlineStr">
        <is>
          <t>행운!</t>
        </is>
      </c>
    </row>
    <row r="16">
      <c r="A16" s="8" t="inlineStr">
        <is>
          <t>도적단 매복</t>
        </is>
      </c>
      <c r="B16" s="8" t="inlineStr">
        <is>
          <t>위험 루트에서 도적단 3~5명 전투</t>
        </is>
      </c>
      <c r="C16" s="8" t="inlineStr">
        <is>
          <t>격파: 도적의 보물 (5,000G~20,000G)</t>
        </is>
      </c>
      <c r="D16" s="8" t="inlineStr">
        <is>
          <t>예상 못한 전리품</t>
        </is>
      </c>
    </row>
    <row r="17">
      <c r="A17" s="9" t="inlineStr"/>
      <c r="B17" s="9" t="inlineStr"/>
      <c r="C17" s="9" t="inlineStr"/>
      <c r="D17" s="9" t="inlineStr"/>
    </row>
    <row r="18">
      <c r="A18" s="8" t="inlineStr">
        <is>
          <t>📊 카라반 업그레이드</t>
        </is>
      </c>
      <c r="B18" s="8" t="inlineStr"/>
      <c r="C18" s="8" t="inlineStr"/>
      <c r="D18" s="8" t="inlineStr"/>
    </row>
    <row r="19">
      <c r="A19" s="9" t="inlineStr">
        <is>
          <t>마차 강화</t>
        </is>
      </c>
      <c r="B19" s="9" t="inlineStr">
        <is>
          <t>속도 +20% / +40% / +60% (3단계)</t>
        </is>
      </c>
      <c r="C19" s="9" t="inlineStr">
        <is>
          <t>10,000G / 30,000G / 80,000G</t>
        </is>
      </c>
      <c r="D19" s="9" t="inlineStr">
        <is>
          <t>시간 절약</t>
        </is>
      </c>
    </row>
    <row r="20">
      <c r="A20" s="8" t="inlineStr">
        <is>
          <t>적재 확장</t>
        </is>
      </c>
      <c r="B20" s="8" t="inlineStr">
        <is>
          <t>물품 +5 / +10 / +20 (3단계)</t>
        </is>
      </c>
      <c r="C20" s="8" t="inlineStr">
        <is>
          <t>5,000G / 20,000G / 60,000G</t>
        </is>
      </c>
      <c r="D20" s="8" t="inlineStr">
        <is>
          <t>대량 운송</t>
        </is>
      </c>
    </row>
    <row r="21">
      <c r="A21" s="9" t="inlineStr">
        <is>
          <t>위장</t>
        </is>
      </c>
      <c r="B21" s="9" t="inlineStr">
        <is>
          <t>카라반 아이콘 안 보임 (다른 플레이어에게)</t>
        </is>
      </c>
      <c r="C21" s="9" t="inlineStr">
        <is>
          <t>50,000G</t>
        </is>
      </c>
      <c r="D21" s="9" t="inlineStr">
        <is>
          <t>은밀 무역!</t>
        </is>
      </c>
    </row>
  </sheetData>
  <mergeCells count="1">
    <mergeCell ref="A1:D1"/>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4" customWidth="1" min="1" max="1"/>
    <col width="12" customWidth="1" min="2" max="2"/>
    <col width="14" customWidth="1" min="3" max="3"/>
    <col width="22" customWidth="1" min="4" max="4"/>
    <col width="26" customWidth="1" min="5" max="5"/>
  </cols>
  <sheetData>
    <row r="1">
      <c r="A1" s="6" t="inlineStr">
        <is>
          <t>NPC 호감도 시스템 (7명)</t>
        </is>
      </c>
    </row>
    <row r="3">
      <c r="A3" s="7" t="inlineStr">
        <is>
          <t>NPC</t>
        </is>
      </c>
      <c r="B3" s="7" t="inlineStr">
        <is>
          <t>위치</t>
        </is>
      </c>
      <c r="C3" s="7" t="inlineStr">
        <is>
          <t>성격</t>
        </is>
      </c>
      <c r="D3" s="7" t="inlineStr">
        <is>
          <t>호감도 보상</t>
        </is>
      </c>
      <c r="E3" s="7" t="inlineStr">
        <is>
          <t>특별 보상 (MAX)</t>
        </is>
      </c>
    </row>
    <row r="4">
      <c r="A4" s="8" t="inlineStr">
        <is>
          <t>🗡️ 대장장이 볼칸</t>
        </is>
      </c>
      <c r="B4" s="8" t="inlineStr">
        <is>
          <t>바람개비 마을</t>
        </is>
      </c>
      <c r="C4" s="8" t="inlineStr">
        <is>
          <t>무뚝뚝한 장인</t>
        </is>
      </c>
      <c r="D4" s="8" t="inlineStr">
        <is>
          <t>장비 강화 비용 -5%/단계</t>
        </is>
      </c>
      <c r="E4" s="8" t="inlineStr">
        <is>
          <t>전설 레시피 "볼칸의 명작" 해금</t>
        </is>
      </c>
    </row>
    <row r="5">
      <c r="A5" s="9" t="inlineStr">
        <is>
          <t>🧙 현자 엘드린</t>
        </is>
      </c>
      <c r="B5" s="9" t="inlineStr">
        <is>
          <t>신전 마을</t>
        </is>
      </c>
      <c r="C5" s="9" t="inlineStr">
        <is>
          <t>온화한 노인</t>
        </is>
      </c>
      <c r="D5" s="9" t="inlineStr">
        <is>
          <t>연구 시간 -5%/단계</t>
        </is>
      </c>
      <c r="E5" s="9" t="inlineStr">
        <is>
          <t>비밀 마법 "시간 가속" 해금 (연구 즉시완료 1회/주)</t>
        </is>
      </c>
    </row>
    <row r="6">
      <c r="A6" s="8" t="inlineStr">
        <is>
          <t>🏹 사냥꾼 리라</t>
        </is>
      </c>
      <c r="B6" s="8" t="inlineStr">
        <is>
          <t>구름마루 산장</t>
        </is>
      </c>
      <c r="C6" s="8" t="inlineStr">
        <is>
          <t>쾌활한 모험가</t>
        </is>
      </c>
      <c r="D6" s="8" t="inlineStr">
        <is>
          <t>포획 확률 +2%/단계</t>
        </is>
      </c>
      <c r="E6" s="8" t="inlineStr">
        <is>
          <t>희귀 포획 도구 "리라의 올가미" (보스급 포획 +5%)</t>
        </is>
      </c>
    </row>
    <row r="7">
      <c r="A7" s="9" t="inlineStr">
        <is>
          <t>💰 상인 하산</t>
        </is>
      </c>
      <c r="B7" s="9" t="inlineStr">
        <is>
          <t>사막 시장</t>
        </is>
      </c>
      <c r="C7" s="9" t="inlineStr">
        <is>
          <t>교활한 상인</t>
        </is>
      </c>
      <c r="D7" s="9" t="inlineStr">
        <is>
          <t>무역 이윤 +3%/단계</t>
        </is>
      </c>
      <c r="E7" s="9" t="inlineStr">
        <is>
          <t>비밀 루트 "하산의 밀수로" 해금 (이윤 200%)</t>
        </is>
      </c>
    </row>
    <row r="8">
      <c r="A8" s="8" t="inlineStr">
        <is>
          <t>⛪ 사제 에리카</t>
        </is>
      </c>
      <c r="B8" s="8" t="inlineStr">
        <is>
          <t>별빛 항구</t>
        </is>
      </c>
      <c r="C8" s="8" t="inlineStr">
        <is>
          <t>자상한 치유사</t>
        </is>
      </c>
      <c r="D8" s="8" t="inlineStr">
        <is>
          <t>용병 치유 속도 +10%/단계</t>
        </is>
      </c>
      <c r="E8" s="8" t="inlineStr">
        <is>
          <t>특수 버프 "에리카의 축복" (부활 1회/일)</t>
        </is>
      </c>
    </row>
    <row r="9">
      <c r="A9" s="9" t="inlineStr">
        <is>
          <t>🌑 도적 카인</t>
        </is>
      </c>
      <c r="B9" s="9" t="inlineStr">
        <is>
          <t>심연의 골짜기</t>
        </is>
      </c>
      <c r="C9" s="9" t="inlineStr">
        <is>
          <t>냉소적 정보꾼</t>
        </is>
      </c>
      <c r="D9" s="9" t="inlineStr">
        <is>
          <t>현상금 정보 실시간 제공</t>
        </is>
      </c>
      <c r="E9" s="9" t="inlineStr">
        <is>
          <t>비밀 지역 힌트 + "카인의 단검" (암살 전용)</t>
        </is>
      </c>
    </row>
    <row r="10">
      <c r="A10" s="8" t="inlineStr">
        <is>
          <t>🐲 용기사 레온</t>
        </is>
      </c>
      <c r="B10" s="8" t="inlineStr">
        <is>
          <t>불의 화산</t>
        </is>
      </c>
      <c r="C10" s="8" t="inlineStr">
        <is>
          <t>호탕한 전사</t>
        </is>
      </c>
      <c r="D10" s="8" t="inlineStr">
        <is>
          <t>드래곤 계열 ATK +3%/단계</t>
        </is>
      </c>
      <c r="E10" s="8" t="inlineStr">
        <is>
          <t>용기사 레온을 용병으로 고용 가능! (영웅급)</t>
        </is>
      </c>
    </row>
    <row r="11">
      <c r="A11" s="9" t="inlineStr"/>
      <c r="B11" s="9" t="inlineStr"/>
      <c r="C11" s="9" t="inlineStr"/>
      <c r="D11" s="9" t="inlineStr"/>
      <c r="E11" s="9" t="inlineStr"/>
    </row>
    <row r="12">
      <c r="A12" s="8" t="inlineStr">
        <is>
          <t>호감도 단계</t>
        </is>
      </c>
      <c r="B12" s="8" t="inlineStr">
        <is>
          <t>행동</t>
        </is>
      </c>
      <c r="C12" s="8" t="inlineStr">
        <is>
          <t>필요치</t>
        </is>
      </c>
      <c r="D12" s="8" t="inlineStr"/>
      <c r="E12" s="8" t="inlineStr"/>
    </row>
    <row r="13">
      <c r="A13" s="9" t="inlineStr">
        <is>
          <t>1. 낯선 사이</t>
        </is>
      </c>
      <c r="B13" s="9" t="inlineStr">
        <is>
          <t>첫 만남</t>
        </is>
      </c>
      <c r="C13" s="9" t="inlineStr">
        <is>
          <t>0</t>
        </is>
      </c>
      <c r="D13" s="9" t="inlineStr">
        <is>
          <t>기본 상점만 이용</t>
        </is>
      </c>
      <c r="E13" s="9" t="inlineStr"/>
    </row>
    <row r="14">
      <c r="A14" s="8" t="inlineStr">
        <is>
          <t>2. 아는 사이</t>
        </is>
      </c>
      <c r="B14" s="8" t="inlineStr">
        <is>
          <t>대화 10회 + 선물 5회</t>
        </is>
      </c>
      <c r="C14" s="8" t="inlineStr">
        <is>
          <t>100</t>
        </is>
      </c>
      <c r="D14" s="8" t="inlineStr">
        <is>
          <t>할인 -5% + 전용 대화</t>
        </is>
      </c>
      <c r="E14" s="8" t="inlineStr"/>
    </row>
    <row r="15">
      <c r="A15" s="9" t="inlineStr">
        <is>
          <t>3. 친한 사이</t>
        </is>
      </c>
      <c r="B15" s="9" t="inlineStr">
        <is>
          <t>퀘스트 3개 완료</t>
        </is>
      </c>
      <c r="C15" s="9" t="inlineStr">
        <is>
          <t>300</t>
        </is>
      </c>
      <c r="D15" s="9" t="inlineStr">
        <is>
          <t>할인 -10% + 비밀 상점</t>
        </is>
      </c>
      <c r="E15" s="9" t="inlineStr"/>
    </row>
    <row r="16">
      <c r="A16" s="8" t="inlineStr">
        <is>
          <t>4. 절친</t>
        </is>
      </c>
      <c r="B16" s="8" t="inlineStr">
        <is>
          <t>퀘스트 7개 + 선물 20회</t>
        </is>
      </c>
      <c r="C16" s="8" t="inlineStr">
        <is>
          <t>700</t>
        </is>
      </c>
      <c r="D16" s="8" t="inlineStr">
        <is>
          <t>보상 + 특수 퀘스트 해금</t>
        </is>
      </c>
      <c r="E16" s="8" t="inlineStr"/>
    </row>
    <row r="17">
      <c r="A17" s="9" t="inlineStr">
        <is>
          <t>5. 소울메이트</t>
        </is>
      </c>
      <c r="B17" s="9" t="inlineStr">
        <is>
          <t>전용 스토리 완료</t>
        </is>
      </c>
      <c r="C17" s="9" t="inlineStr">
        <is>
          <t>1500</t>
        </is>
      </c>
      <c r="D17" s="9" t="inlineStr">
        <is>
          <t>최종 보상 + NPC 동행 가능!</t>
        </is>
      </c>
      <c r="E17" s="9" t="inlineStr"/>
    </row>
    <row r="18">
      <c r="A18" s="8" t="inlineStr"/>
      <c r="B18" s="8" t="inlineStr"/>
      <c r="C18" s="8" t="inlineStr"/>
      <c r="D18" s="8" t="inlineStr"/>
      <c r="E18" s="8" t="inlineStr"/>
    </row>
    <row r="19">
      <c r="A19" s="9" t="inlineStr">
        <is>
          <t>선물</t>
        </is>
      </c>
      <c r="B19" s="9" t="inlineStr">
        <is>
          <t>NPC별 좋아하는 아이템 (힌트: 대화에서 언급)</t>
        </is>
      </c>
      <c r="C19" s="9" t="inlineStr">
        <is>
          <t>좋아하는 선물 +10, 보통 +3, 싫어하는 -5</t>
        </is>
      </c>
      <c r="D19" s="9" t="inlineStr"/>
      <c r="E19" s="9" t="inlineStr">
        <is>
          <t>관찰력!</t>
        </is>
      </c>
    </row>
    <row r="20">
      <c r="A20" s="8" t="inlineStr">
        <is>
          <t>NPC 동행</t>
        </is>
      </c>
      <c r="B20" s="8" t="inlineStr">
        <is>
          <t>소울메���트 달성 시 IO에서 NPC가 AI 동료로 참전</t>
        </is>
      </c>
      <c r="C20" s="8" t="inlineStr">
        <is>
          <t>각 NPC 고유 스킬 보유</t>
        </is>
      </c>
      <c r="D20" s="8" t="inlineStr">
        <is>
          <t>용병+NPC 혼합팀!</t>
        </is>
      </c>
    </row>
  </sheetData>
  <mergeCells count="1">
    <mergeCell ref="A1:E1"/>
  </mergeCell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4" customWidth="1" min="1" max="1"/>
    <col width="28" customWidth="1" min="2" max="2"/>
    <col width="22" customWidth="1" min="3" max="3"/>
    <col width="18" customWidth="1" min="4" max="4"/>
  </cols>
  <sheetData>
    <row r="1">
      <c r="A1" s="6" t="inlineStr">
        <is>
          <t>하우징 &amp; 인테리어 시스템</t>
        </is>
      </c>
    </row>
    <row r="3">
      <c r="A3" s="7" t="inlineStr">
        <is>
          <t>카테고리</t>
        </is>
      </c>
      <c r="B3" s="7" t="inlineStr">
        <is>
          <t>아이템</t>
        </is>
      </c>
      <c r="C3" s="7" t="inlineStr">
        <is>
          <t>효과</t>
        </is>
      </c>
      <c r="D3" s="7" t="inlineStr">
        <is>
          <t>획득 방법</t>
        </is>
      </c>
    </row>
    <row r="4">
      <c r="A4" s="8" t="inlineStr">
        <is>
          <t>═══ 🏠 성 내부 꾸미기 ═══</t>
        </is>
      </c>
      <c r="B4" s="8" t="inlineStr"/>
      <c r="C4" s="8" t="inlineStr"/>
      <c r="D4" s="8" t="inlineStr"/>
    </row>
    <row r="5">
      <c r="A5" s="9" t="inlineStr">
        <is>
          <t>방 구조</t>
        </is>
      </c>
      <c r="B5" s="9" t="inlineStr">
        <is>
          <t>거실/침실/훈련실/보물실/정원 (5개 방)</t>
        </is>
      </c>
      <c r="C5" s="9" t="inlineStr">
        <is>
          <t>방 크기 = 성 레벨에 따라 확장</t>
        </is>
      </c>
      <c r="D5" s="9" t="inlineStr">
        <is>
          <t>기본 제공</t>
        </is>
      </c>
    </row>
    <row r="6">
      <c r="A6" s="8" t="inlineStr"/>
      <c r="B6" s="8" t="inlineStr"/>
      <c r="C6" s="8" t="inlineStr"/>
      <c r="D6" s="8" t="inlineStr"/>
    </row>
    <row r="7">
      <c r="A7" s="9" t="inlineStr">
        <is>
          <t>🛋️ 가구</t>
        </is>
      </c>
      <c r="B7" s="9" t="inlineStr">
        <is>
          <t>나무 의자/테이블/침대/서재/찬장</t>
        </is>
      </c>
      <c r="C7" s="9" t="inlineStr">
        <is>
          <t>배치 자유, 장식 점수 +1~5</t>
        </is>
      </c>
      <c r="D7" s="9" t="inlineStr">
        <is>
          <t>상점 (골드)</t>
        </is>
      </c>
    </row>
    <row r="8">
      <c r="A8" s="8" t="inlineStr"/>
      <c r="B8" s="8" t="inlineStr">
        <is>
          <t>왕좌/수정 테이블/드래곤 침대</t>
        </is>
      </c>
      <c r="C8" s="8" t="inlineStr">
        <is>
          <t>장식 점수 +10~20</t>
        </is>
      </c>
      <c r="D8" s="8" t="inlineStr">
        <is>
          <t>공성전 보상/제작</t>
        </is>
      </c>
    </row>
    <row r="9">
      <c r="A9" s="9" t="inlineStr"/>
      <c r="B9" s="9" t="inlineStr">
        <is>
          <t>전설 가구: 태초의 서재/신의 옥좌</t>
        </is>
      </c>
      <c r="C9" s="9" t="inlineStr">
        <is>
          <t>장식 점수 +50 + 특수 효과</t>
        </is>
      </c>
      <c r="D9" s="9" t="inlineStr">
        <is>
          <t>차원 정복 보상</t>
        </is>
      </c>
    </row>
    <row r="10">
      <c r="A10" s="8" t="inlineStr"/>
      <c r="B10" s="8" t="inlineStr"/>
      <c r="C10" s="8" t="inlineStr"/>
      <c r="D10" s="8" t="inlineStr"/>
    </row>
    <row r="11">
      <c r="A11" s="9" t="inlineStr">
        <is>
          <t>🖼️ 장식</t>
        </is>
      </c>
      <c r="B11" s="9" t="inlineStr">
        <is>
          <t>벽화/깃발/트로피/무기 진열대</t>
        </is>
      </c>
      <c r="C11" s="9" t="inlineStr">
        <is>
          <t>성 방문자에게 업적 과시</t>
        </is>
      </c>
      <c r="D11" s="9" t="inlineStr">
        <is>
          <t>업적 달성 시 해금</t>
        </is>
      </c>
    </row>
    <row r="12">
      <c r="A12" s="8" t="inlineStr"/>
      <c r="B12" s="8" t="inlineStr">
        <is>
          <t>용병 초상화 (보유 용병 자동 생성)</t>
        </is>
      </c>
      <c r="C12" s="8" t="inlineStr">
        <is>
          <t>해당 용병 이야기가 표시됨</t>
        </is>
      </c>
      <c r="D12" s="8" t="inlineStr">
        <is>
          <t>용병 획득 시</t>
        </is>
      </c>
    </row>
    <row r="13">
      <c r="A13" s="9" t="inlineStr"/>
      <c r="B13" s="9" t="inlineStr">
        <is>
          <t>공성전 전리품 (패배자 깃발)</t>
        </is>
      </c>
      <c r="C13" s="9" t="inlineStr">
        <is>
          <t>공성전 승리 기록 표시</t>
        </is>
      </c>
      <c r="D13" s="9" t="inlineStr">
        <is>
          <t>공성전 승리 시</t>
        </is>
      </c>
    </row>
    <row r="14">
      <c r="A14" s="8" t="inlineStr"/>
      <c r="B14" s="8" t="inlineStr"/>
      <c r="C14" s="8" t="inlineStr"/>
      <c r="D14" s="8" t="inlineStr"/>
    </row>
    <row r="15">
      <c r="A15" s="9" t="inlineStr">
        <is>
          <t>💡 분위기</t>
        </is>
      </c>
      <c r="B15" s="9" t="inlineStr">
        <is>
          <t>조명 (촛불/마법등/크리스탈)</t>
        </is>
      </c>
      <c r="C15" s="9" t="inlineStr">
        <is>
          <t>방 분위기 변경</t>
        </is>
      </c>
      <c r="D15" s="9" t="inlineStr">
        <is>
          <t>상점/제작</t>
        </is>
      </c>
    </row>
    <row r="16">
      <c r="A16" s="8" t="inlineStr"/>
      <c r="B16" s="8" t="inlineStr">
        <is>
          <t>벽지 (석조/목재/수정/용비늘)</t>
        </is>
      </c>
      <c r="C16" s="8" t="inlineStr">
        <is>
          <t>방 테마 변경</t>
        </is>
      </c>
      <c r="D16" s="8" t="inlineStr">
        <is>
          <t>시즌 이벤트</t>
        </is>
      </c>
    </row>
    <row r="17">
      <c r="A17" s="9" t="inlineStr"/>
      <c r="B17" s="9" t="inlineStr">
        <is>
          <t>바닥 (돌/���무/카펫/용암/얼음)</t>
        </is>
      </c>
      <c r="C17" s="9" t="inlineStr">
        <is>
          <t>방 분위기 + 테마</t>
        </is>
      </c>
      <c r="D17" s="9" t="inlineStr"/>
    </row>
    <row r="18">
      <c r="A18" s="8" t="inlineStr"/>
      <c r="B18" s="8" t="inlineStr"/>
      <c r="C18" s="8" t="inlineStr"/>
      <c r="D18" s="8" t="inlineStr"/>
    </row>
    <row r="19">
      <c r="A19" s="9" t="inlineStr">
        <is>
          <t>⭐ 장식 점수 효과</t>
        </is>
      </c>
      <c r="B19" s="9" t="inlineStr"/>
      <c r="C19" s="9" t="inlineStr"/>
      <c r="D19" s="9" t="inlineStr"/>
    </row>
    <row r="20">
      <c r="A20" s="8" t="inlineStr">
        <is>
          <t>50점</t>
        </is>
      </c>
      <c r="B20" s="8" t="inlineStr">
        <is>
          <t>방문자에게 "아늑한 성" 표시</t>
        </is>
      </c>
      <c r="C20" s="8" t="inlineStr"/>
      <c r="D20" s="8" t="inlineStr"/>
    </row>
    <row r="21">
      <c r="A21" s="9" t="inlineStr">
        <is>
          <t>100점</t>
        </is>
      </c>
      <c r="B21" s="9" t="inlineStr">
        <is>
          <t>용병 휴식 회복 +10%</t>
        </is>
      </c>
      <c r="C21" s="9" t="inlineStr"/>
      <c r="D21" s="9" t="inlineStr"/>
    </row>
    <row r="22">
      <c r="A22" s="8" t="inlineStr">
        <is>
          <t>200점</t>
        </is>
      </c>
      <c r="B22" s="8" t="inlineStr">
        <is>
          <t>연구 시간 -5%</t>
        </is>
      </c>
      <c r="C22" s="8" t="inlineStr"/>
      <c r="D22" s="8" t="inlineStr"/>
    </row>
    <row r="23">
      <c r="A23" s="9" t="inlineStr">
        <is>
          <t>500점</t>
        </is>
      </c>
      <c r="B23" s="9" t="inlineStr">
        <is>
          <t>전 용병 HP +3% (영구)</t>
        </is>
      </c>
      <c r="C23" s="9" t="inlineStr"/>
      <c r="D23" s="9" t="inlineStr">
        <is>
          <t>실질 버프!</t>
        </is>
      </c>
    </row>
    <row r="24">
      <c r="A24" s="8" t="inlineStr">
        <is>
          <t>1000점</t>
        </is>
      </c>
      <c r="B24" s="8" t="inlineStr">
        <is>
          <t>성 외관에 특수 오라 + "인테리어 달인" 칭호</t>
        </is>
      </c>
      <c r="C24" s="8" t="inlineStr"/>
      <c r="D24" s="8" t="inlineStr">
        <is>
          <t>최종 목표</t>
        </is>
      </c>
    </row>
    <row r="25">
      <c r="A25" s="9" t="inlineStr"/>
      <c r="B25" s="9" t="inlineStr"/>
      <c r="C25" s="9" t="inlineStr"/>
      <c r="D25" s="9" t="inlineStr"/>
    </row>
    <row r="26">
      <c r="A26" s="8" t="inlineStr">
        <is>
          <t>방문 시스템</t>
        </is>
      </c>
      <c r="B26" s="8" t="inlineStr">
        <is>
          <t>다른 플레이어 성 방문 가능 (허가 시)</t>
        </is>
      </c>
      <c r="C26" s="8" t="inlineStr">
        <is>
          <t>방문 시 좋아요 → 인기 랭킹</t>
        </is>
      </c>
      <c r="D26" s="8" t="inlineStr">
        <is>
          <t>커뮤니티!</t>
        </is>
      </c>
    </row>
  </sheetData>
  <mergeCells count="1">
    <mergeCell ref="A1:D1"/>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4" customWidth="1" min="1" max="1"/>
    <col width="28" customWidth="1" min="2" max="2"/>
    <col width="14" customWidth="1" min="3" max="3"/>
    <col width="16" customWidth="1" min="4" max="4"/>
    <col width="10" customWidth="1" min="5" max="5"/>
  </cols>
  <sheetData>
    <row r="1">
      <c r="A1" s="6" t="inlineStr">
        <is>
          <t>수익화 모델 (BM 전략)</t>
        </is>
      </c>
    </row>
    <row r="3">
      <c r="A3" s="7" t="inlineStr">
        <is>
          <t>카테고리</t>
        </is>
      </c>
      <c r="B3" s="7" t="inlineStr">
        <is>
          <t>상품</t>
        </is>
      </c>
      <c r="C3" s="7" t="inlineStr">
        <is>
          <t>가격</t>
        </is>
      </c>
      <c r="D3" s="7" t="inlineStr">
        <is>
          <t>가치</t>
        </is>
      </c>
      <c r="E3" s="7" t="inlineStr">
        <is>
          <t>비중 예상</t>
        </is>
      </c>
    </row>
    <row r="4">
      <c r="A4" s="8" t="inlineStr">
        <is>
          <t>═══ 💎 다이아몬드 충전 ═══</t>
        </is>
      </c>
      <c r="B4" s="8" t="inlineStr"/>
      <c r="C4" s="8" t="inlineStr"/>
      <c r="D4" s="8" t="inlineStr"/>
      <c r="E4" s="8" t="inlineStr"/>
    </row>
    <row r="5">
      <c r="A5" s="9" t="inlineStr">
        <is>
          <t>소량</t>
        </is>
      </c>
      <c r="B5" s="9" t="inlineStr">
        <is>
          <t>60💎</t>
        </is>
      </c>
      <c r="C5" s="9" t="inlineStr">
        <is>
          <t>₩1,200</t>
        </is>
      </c>
      <c r="D5" s="9" t="inlineStr">
        <is>
          <t>기본</t>
        </is>
      </c>
      <c r="E5" s="9" t="inlineStr"/>
    </row>
    <row r="6">
      <c r="A6" s="8" t="inlineStr">
        <is>
          <t>표준</t>
        </is>
      </c>
      <c r="B6" s="8" t="inlineStr">
        <is>
          <t>330💎 (+10%)</t>
        </is>
      </c>
      <c r="C6" s="8" t="inlineStr">
        <is>
          <t>₩5,900</t>
        </is>
      </c>
      <c r="D6" s="8" t="inlineStr">
        <is>
          <t>가성비 최고</t>
        </is>
      </c>
      <c r="E6" s="8" t="inlineStr">
        <is>
          <t>주력 상품</t>
        </is>
      </c>
    </row>
    <row r="7">
      <c r="A7" s="9" t="inlineStr">
        <is>
          <t>대량</t>
        </is>
      </c>
      <c r="B7" s="9" t="inlineStr">
        <is>
          <t>700💎 (+17%)</t>
        </is>
      </c>
      <c r="C7" s="9" t="inlineStr">
        <is>
          <t>₩11,800</t>
        </is>
      </c>
      <c r="D7" s="9" t="inlineStr"/>
      <c r="E7" s="9" t="inlineStr"/>
    </row>
    <row r="8">
      <c r="A8" s="8" t="inlineStr">
        <is>
          <t>특대</t>
        </is>
      </c>
      <c r="B8" s="8" t="inlineStr">
        <is>
          <t>1,500💎 (+25%)</t>
        </is>
      </c>
      <c r="C8" s="8" t="inlineStr">
        <is>
          <t>₩22,000</t>
        </is>
      </c>
      <c r="D8" s="8" t="inlineStr">
        <is>
          <t>고래용</t>
        </is>
      </c>
      <c r="E8" s="8" t="inlineStr"/>
    </row>
    <row r="9">
      <c r="A9" s="9" t="inlineStr"/>
      <c r="B9" s="9" t="inlineStr"/>
      <c r="C9" s="9" t="inlineStr"/>
      <c r="D9" s="9" t="inlineStr"/>
      <c r="E9" s="9" t="inlineStr"/>
    </row>
    <row r="10">
      <c r="A10" s="8" t="inlineStr">
        <is>
          <t>═══ 주요 소비처 ═══</t>
        </is>
      </c>
      <c r="B10" s="8" t="inlineStr"/>
      <c r="C10" s="8" t="inlineStr"/>
      <c r="D10" s="8" t="inlineStr">
        <is>
          <t>수익 비중</t>
        </is>
      </c>
      <c r="E10" s="8" t="inlineStr"/>
    </row>
    <row r="11">
      <c r="A11" s="9" t="inlineStr">
        <is>
          <t>용병 소환 가챠</t>
        </is>
      </c>
      <c r="B11" s="9" t="inlineStr">
        <is>
          <t>30💎/회, 300💎/10연차</t>
        </is>
      </c>
      <c r="C11" s="9" t="inlineStr">
        <is>
          <t>핵심 소비처</t>
        </is>
      </c>
      <c r="D11" s="9" t="inlineStr">
        <is>
          <t>40%</t>
        </is>
      </c>
      <c r="E11" s="9" t="inlineStr">
        <is>
          <t>핵심 BM</t>
        </is>
      </c>
    </row>
    <row r="12">
      <c r="A12" s="8" t="inlineStr">
        <is>
          <t>배틀패스 (유료)</t>
        </is>
      </c>
      <c r="B12" s="8" t="inlineStr">
        <is>
          <t>500💎/시즌 (3개월)</t>
        </is>
      </c>
      <c r="C12" s="8" t="inlineStr">
        <is>
          <t>안정적 반복 매출</t>
        </is>
      </c>
      <c r="D12" s="8" t="inlineStr">
        <is>
          <t>20%</t>
        </is>
      </c>
      <c r="E12" s="8" t="inlineStr">
        <is>
          <t>구독형</t>
        </is>
      </c>
    </row>
    <row r="13">
      <c r="A13" s="9" t="inlineStr">
        <is>
          <t>용병 스킨</t>
        </is>
      </c>
      <c r="B13" s="9" t="inlineStr">
        <is>
          <t>300~500💎/개</t>
        </is>
      </c>
      <c r="C13" s="9" t="inlineStr">
        <is>
          <t>비전투 과금</t>
        </is>
      </c>
      <c r="D13" s="9" t="inlineStr">
        <is>
          <t>15%</t>
        </is>
      </c>
      <c r="E13" s="9" t="inlineStr">
        <is>
          <t>비싸지만 자발적</t>
        </is>
      </c>
    </row>
    <row r="14">
      <c r="A14" s="8" t="inlineStr">
        <is>
          <t>성 스킨</t>
        </is>
      </c>
      <c r="B14" s="8" t="inlineStr">
        <is>
          <t>500💎/개</t>
        </is>
      </c>
      <c r="C14" s="8" t="inlineStr">
        <is>
          <t>외형 변경</t>
        </is>
      </c>
      <c r="D14" s="8" t="inlineStr">
        <is>
          <t>5%</t>
        </is>
      </c>
      <c r="E14" s="8" t="inlineStr"/>
    </row>
    <row r="15">
      <c r="A15" s="9" t="inlineStr">
        <is>
          <t>편의 아이템</t>
        </is>
      </c>
      <c r="B15" s="9" t="inlineStr">
        <is>
          <t>건설 즉시완료/원정 슬롯/특성 리롤석</t>
        </is>
      </c>
      <c r="C15" s="9" t="inlineStr">
        <is>
          <t>시간 절약</t>
        </is>
      </c>
      <c r="D15" s="9" t="inlineStr">
        <is>
          <t>10%</t>
        </is>
      </c>
      <c r="E15" s="9" t="inlineStr"/>
    </row>
    <row r="16">
      <c r="A16" s="8" t="inlineStr">
        <is>
          <t>용병 슬롯 확장</t>
        </is>
      </c>
      <c r="B16" s="8" t="inlineStr">
        <is>
          <t>100💎/슬롯</t>
        </is>
      </c>
      <c r="C16" s="8" t="inlineStr">
        <is>
          <t>기본 8 → 최대 20</t>
        </is>
      </c>
      <c r="D16" s="8" t="inlineStr">
        <is>
          <t>5%</t>
        </is>
      </c>
      <c r="E16" s="8" t="inlineStr"/>
    </row>
    <row r="17">
      <c r="A17" s="9" t="inlineStr">
        <is>
          <t>기타</t>
        </is>
      </c>
      <c r="B17" s="9" t="inlineStr">
        <is>
          <t>이름 변경/서버 이전/전용 이모티콘</t>
        </is>
      </c>
      <c r="C17" s="9" t="inlineStr">
        <is>
          <t>소액 다수</t>
        </is>
      </c>
      <c r="D17" s="9" t="inlineStr">
        <is>
          <t>5%</t>
        </is>
      </c>
      <c r="E17" s="9" t="inlineStr"/>
    </row>
    <row r="18">
      <c r="A18" s="8" t="inlineStr"/>
      <c r="B18" s="8" t="inlineStr"/>
      <c r="C18" s="8" t="inlineStr"/>
      <c r="D18" s="8" t="inlineStr"/>
      <c r="E18" s="8" t="inlineStr"/>
    </row>
    <row r="19">
      <c r="A19" s="9" t="inlineStr">
        <is>
          <t>═══ 무과금 보호 ═══</t>
        </is>
      </c>
      <c r="B19" s="9" t="inlineStr"/>
      <c r="C19" s="9" t="inlineStr"/>
      <c r="D19" s="9" t="inlineStr"/>
      <c r="E19" s="9" t="inlineStr"/>
    </row>
    <row r="20">
      <c r="A20" s="8" t="inlineStr">
        <is>
          <t>원칙</t>
        </is>
      </c>
      <c r="B20" s="8" t="inlineStr">
        <is>
          <t>스탯에 직접 영향주는 과금 아이템 없음</t>
        </is>
      </c>
      <c r="C20" s="8" t="inlineStr"/>
      <c r="D20" s="8" t="inlineStr"/>
      <c r="E20" s="8" t="inlineStr">
        <is>
          <t>P2W 방지</t>
        </is>
      </c>
    </row>
    <row r="21">
      <c r="A21" s="9" t="inlineStr">
        <is>
          <t>일일 무료</t>
        </is>
      </c>
      <c r="B21" s="9" t="inlineStr">
        <is>
          <t>매일 골드 소환 1회 + 주 1회 다이아 소환</t>
        </is>
      </c>
      <c r="C21" s="9" t="inlineStr"/>
      <c r="D21" s="9" t="inlineStr"/>
      <c r="E21" s="9" t="inlineStr">
        <is>
          <t>무과금 소환 보장</t>
        </is>
      </c>
    </row>
    <row r="22">
      <c r="A22" s="8" t="inlineStr">
        <is>
          <t>천장 보장</t>
        </is>
      </c>
      <c r="B22" s="8" t="inlineStr">
        <is>
          <t>80회 영웅 / 200회 신화 확정</t>
        </is>
      </c>
      <c r="C22" s="8" t="inlineStr">
        <is>
          <t>장기 플레이로 획득 가능</t>
        </is>
      </c>
      <c r="D22" s="8" t="inlineStr"/>
      <c r="E22" s="8" t="inlineStr"/>
    </row>
    <row r="23">
      <c r="A23" s="9" t="inlineStr">
        <is>
          <t>배틀패스 무료</t>
        </is>
      </c>
      <c r="B23" s="9" t="inlineStr">
        <is>
          <t>Lv.35까지 무료 보상 (유료는 추가 보상)</t>
        </is>
      </c>
      <c r="C23" s="9" t="inlineStr"/>
      <c r="D23" s="9" t="inlineStr"/>
      <c r="E23" s="9" t="inlineStr">
        <is>
          <t>핵심 보상은 무��</t>
        </is>
      </c>
    </row>
    <row r="24">
      <c r="A24" s="8" t="inlineStr">
        <is>
          <t>PvP 밸런스</t>
        </is>
      </c>
      <c r="B24" s="8" t="inlineStr">
        <is>
          <t>아레나는 전투력 밴드 매칭 → 과금 격차 최소화</t>
        </is>
      </c>
      <c r="C24" s="8" t="inlineStr"/>
      <c r="D24" s="8" t="inlineStr"/>
      <c r="E24" s="8" t="inlineStr">
        <is>
          <t>공정 경쟁</t>
        </is>
      </c>
    </row>
  </sheetData>
  <mergeCells count="1">
    <mergeCell ref="A1:E1"/>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0" customWidth="1" min="1" max="1"/>
    <col width="10" customWidth="1" min="2" max="2"/>
    <col width="34" customWidth="1" min="3" max="3"/>
    <col width="16" customWidth="1" min="4" max="4"/>
    <col width="8" customWidth="1" min="5" max="5"/>
  </cols>
  <sheetData>
    <row r="1">
      <c r="A1" s="6" t="inlineStr">
        <is>
          <t>개발 로드맵 (4단계)</t>
        </is>
      </c>
    </row>
    <row r="3">
      <c r="A3" s="7" t="inlineStr">
        <is>
          <t>단계</t>
        </is>
      </c>
      <c r="B3" s="7" t="inlineStr">
        <is>
          <t>기간</t>
        </is>
      </c>
      <c r="C3" s="7" t="inlineStr">
        <is>
          <t>구현 내용</t>
        </is>
      </c>
      <c r="D3" s="7" t="inlineStr">
        <is>
          <t>목표</t>
        </is>
      </c>
      <c r="E3" s="7" t="inlineStr">
        <is>
          <t>우선순위</t>
        </is>
      </c>
    </row>
    <row r="4">
      <c r="A4" s="8" t="inlineStr">
        <is>
          <t>═══ Phase 1: 코어 ═══</t>
        </is>
      </c>
      <c r="B4" s="8" t="inlineStr">
        <is>
          <t>1~2개월</t>
        </is>
      </c>
      <c r="C4" s="8" t="inlineStr"/>
      <c r="D4" s="8" t="inlineStr">
        <is>
          <t>MVP — 핵심 루프 완성</t>
        </is>
      </c>
      <c r="E4" s="8" t="inlineStr"/>
    </row>
    <row r="5">
      <c r="A5" s="9" t="inlineStr">
        <is>
          <t>1-1</t>
        </is>
      </c>
      <c r="B5" s="9" t="inlineStr">
        <is>
          <t>2주</t>
        </is>
      </c>
      <c r="C5" s="9" t="inlineStr">
        <is>
          <t>IO 서바이벌 기본 (이동+오토배틀+웨이브+보스)</t>
        </is>
      </c>
      <c r="D5" s="9" t="inlineStr">
        <is>
          <t>게임의 심장</t>
        </is>
      </c>
      <c r="E5" s="9" t="inlineStr">
        <is>
          <t>최상</t>
        </is>
      </c>
    </row>
    <row r="6">
      <c r="A6" s="8" t="inlineStr">
        <is>
          <t>1-2</t>
        </is>
      </c>
      <c r="B6" s="8" t="inlineStr">
        <is>
          <t>2주</t>
        </is>
      </c>
      <c r="C6" s="8" t="inlineStr">
        <is>
          <t>무기 8종 + 패시브 8종 + 레벨업 시스템</t>
        </is>
      </c>
      <c r="D6" s="8" t="inlineStr">
        <is>
          <t>IO 재미 확보</t>
        </is>
      </c>
      <c r="E6" s="8" t="inlineStr">
        <is>
          <t>최상</t>
        </is>
      </c>
    </row>
    <row r="7">
      <c r="A7" s="9" t="inlineStr">
        <is>
          <t>1-3</t>
        </is>
      </c>
      <c r="B7" s="9" t="inlineStr">
        <is>
          <t>2주</t>
        </is>
      </c>
      <c r="C7" s="9" t="inlineStr">
        <is>
          <t>SLG 메인 화면 + 성(5레벨) + 시설(10종)</t>
        </is>
      </c>
      <c r="D7" s="9" t="inlineStr">
        <is>
          <t>SLG 프레임</t>
        </is>
      </c>
      <c r="E7" s="9" t="inlineStr">
        <is>
          <t>최상</t>
        </is>
      </c>
    </row>
    <row r="8">
      <c r="A8" s="8" t="inlineStr">
        <is>
          <t>1-4</t>
        </is>
      </c>
      <c r="B8" s="8" t="inlineStr">
        <is>
          <t>2주</t>
        </is>
      </c>
      <c r="C8" s="8" t="inlineStr">
        <is>
          <t>용병 13종(기본) + 소환 + 파티 편성 + IO 연동</t>
        </is>
      </c>
      <c r="D8" s="8" t="inlineStr">
        <is>
          <t>키우기 핵심</t>
        </is>
      </c>
      <c r="E8" s="8" t="inlineStr">
        <is>
          <t>최상</t>
        </is>
      </c>
    </row>
    <row r="9">
      <c r="A9" s="9" t="inlineStr"/>
      <c r="B9" s="9" t="inlineStr"/>
      <c r="C9" s="9" t="inlineStr"/>
      <c r="D9" s="9" t="inlineStr"/>
      <c r="E9" s="9" t="inlineStr"/>
    </row>
    <row r="10">
      <c r="A10" s="8" t="inlineStr">
        <is>
          <t>═══ Phase 2: 핵심 콘텐츠 ═══</t>
        </is>
      </c>
      <c r="B10" s="8" t="inlineStr">
        <is>
          <t>3~4개월</t>
        </is>
      </c>
      <c r="C10" s="8" t="inlineStr"/>
      <c r="D10" s="8" t="inlineStr">
        <is>
          <t>핵심 콘텐츠 루프</t>
        </is>
      </c>
      <c r="E10" s="8" t="inlineStr"/>
    </row>
    <row r="11">
      <c r="A11" s="9" t="inlineStr">
        <is>
          <t>2-1</t>
        </is>
      </c>
      <c r="B11" s="9" t="inlineStr">
        <is>
          <t>3주</t>
        </is>
      </c>
      <c r="C11" s="9" t="inlineStr">
        <is>
          <t>공성전 (배치+IO전투+보상)</t>
        </is>
      </c>
      <c r="D11" s="9" t="inlineStr">
        <is>
          <t>PvP 핵심</t>
        </is>
      </c>
      <c r="E11" s="9" t="inlineStr">
        <is>
          <t>상</t>
        </is>
      </c>
    </row>
    <row r="12">
      <c r="A12" s="8" t="inlineStr">
        <is>
          <t>2-2</t>
        </is>
      </c>
      <c r="B12" s="8" t="inlineStr">
        <is>
          <t>2주</t>
        </is>
      </c>
      <c r="C12" s="8" t="inlineStr">
        <is>
          <t>무역 시스템 (6루트+카라반)</t>
        </is>
      </c>
      <c r="D12" s="8" t="inlineStr">
        <is>
          <t>경제 시스템</t>
        </is>
      </c>
      <c r="E12" s="8" t="inlineStr">
        <is>
          <t>상</t>
        </is>
      </c>
    </row>
    <row r="13">
      <c r="A13" s="9" t="inlineStr">
        <is>
          <t>2-3</t>
        </is>
      </c>
      <c r="B13" s="9" t="inlineStr">
        <is>
          <t>2주</t>
        </is>
      </c>
      <c r="C13" s="9" t="inlineStr">
        <is>
          <t>PK + 카르마 + 현상금</t>
        </is>
      </c>
      <c r="D13" s="9" t="inlineStr">
        <is>
          <t>PvP 생태계</t>
        </is>
      </c>
      <c r="E13" s="9" t="inlineStr">
        <is>
          <t>상</t>
        </is>
      </c>
    </row>
    <row r="14">
      <c r="A14" s="8" t="inlineStr">
        <is>
          <t>2-4</t>
        </is>
      </c>
      <c r="B14" s="8" t="inlineStr">
        <is>
          <t>3주</t>
        </is>
      </c>
      <c r="C14" s="8" t="inlineStr">
        <is>
          <t>몬스터 포획 (10종+진화)</t>
        </is>
      </c>
      <c r="D14" s="8" t="inlineStr">
        <is>
          <t>포켓몬 재미</t>
        </is>
      </c>
      <c r="E14" s="8" t="inlineStr">
        <is>
          <t>상</t>
        </is>
      </c>
    </row>
    <row r="15">
      <c r="A15" s="9" t="inlineStr">
        <is>
          <t>2-5</t>
        </is>
      </c>
      <c r="B15" s="9" t="inlineStr">
        <is>
          <t>2주</t>
        </is>
      </c>
      <c r="C15" s="9" t="inlineStr">
        <is>
          <t>용병 진화/진급/각성</t>
        </is>
      </c>
      <c r="D15" s="9" t="inlineStr">
        <is>
          <t>성장 깊이</t>
        </is>
      </c>
      <c r="E15" s="9" t="inlineStr">
        <is>
          <t>상</t>
        </is>
      </c>
    </row>
    <row r="16">
      <c r="A16" s="8" t="inlineStr">
        <is>
          <t>2-6</t>
        </is>
      </c>
      <c r="B16" s="8" t="inlineStr">
        <is>
          <t>2주</t>
        </is>
      </c>
      <c r="C16" s="8" t="inlineStr">
        <is>
          <t>혈맹 + 혈맹 공성전</t>
        </is>
      </c>
      <c r="D16" s="8" t="inlineStr">
        <is>
          <t>소셜 핵심</t>
        </is>
      </c>
      <c r="E16" s="8" t="inlineStr">
        <is>
          <t>상</t>
        </is>
      </c>
    </row>
    <row r="17">
      <c r="A17" s="9" t="inlineStr"/>
      <c r="B17" s="9" t="inlineStr"/>
      <c r="C17" s="9" t="inlineStr"/>
      <c r="D17" s="9" t="inlineStr"/>
      <c r="E17" s="9" t="inlineStr"/>
    </row>
    <row r="18">
      <c r="A18" s="8" t="inlineStr">
        <is>
          <t>═══ Phase 3: 확장 ═══</t>
        </is>
      </c>
      <c r="B18" s="8" t="inlineStr">
        <is>
          <t>5~6개월</t>
        </is>
      </c>
      <c r="C18" s="8" t="inlineStr"/>
      <c r="D18" s="8" t="inlineStr">
        <is>
          <t>콘텐츠 폭발</t>
        </is>
      </c>
      <c r="E18" s="8" t="inlineStr"/>
    </row>
    <row r="19">
      <c r="A19" s="9" t="inlineStr">
        <is>
          <t>3-1</t>
        </is>
      </c>
      <c r="B19" s="9" t="inlineStr">
        <is>
          <t>3주</t>
        </is>
      </c>
      <c r="C19" s="9" t="inlineStr">
        <is>
          <t>월드맵 12지역 + 영토 시스템</t>
        </is>
      </c>
      <c r="D19" s="9" t="inlineStr">
        <is>
          <t>SLG 완성</t>
        </is>
      </c>
      <c r="E19" s="9" t="inlineStr">
        <is>
          <t>중상</t>
        </is>
      </c>
    </row>
    <row r="20">
      <c r="A20" s="8" t="inlineStr">
        <is>
          <t>3-2</t>
        </is>
      </c>
      <c r="B20" s="8" t="inlineStr">
        <is>
          <t>2주</t>
        </is>
      </c>
      <c r="C20" s="8" t="inlineStr">
        <is>
          <t>경매장 + 동적 경제</t>
        </is>
      </c>
      <c r="D20" s="8" t="inlineStr">
        <is>
          <t>거상 재미</t>
        </is>
      </c>
      <c r="E20" s="8" t="inlineStr">
        <is>
          <t>중상</t>
        </is>
      </c>
    </row>
    <row r="21">
      <c r="A21" s="9" t="inlineStr">
        <is>
          <t>3-3</t>
        </is>
      </c>
      <c r="B21" s="9" t="inlineStr">
        <is>
          <t>2주</t>
        </is>
      </c>
      <c r="C21" s="9" t="inlineStr">
        <is>
          <t>IO 무기 조합 + 환경 변수</t>
        </is>
      </c>
      <c r="D21" s="9" t="inlineStr">
        <is>
          <t>IO 깊이</t>
        </is>
      </c>
      <c r="E21" s="9" t="inlineStr">
        <is>
          <t>중상</t>
        </is>
      </c>
    </row>
    <row r="22">
      <c r="A22" s="8" t="inlineStr">
        <is>
          <t>3-4</t>
        </is>
      </c>
      <c r="B22" s="8" t="inlineStr">
        <is>
          <t>3주</t>
        </is>
      </c>
      <c r="C22" s="8" t="inlineStr">
        <is>
          <t>배틀패스 + 가챠 천장 + 스킨</t>
        </is>
      </c>
      <c r="D22" s="8" t="inlineStr">
        <is>
          <t>수익화</t>
        </is>
      </c>
      <c r="E22" s="8" t="inlineStr">
        <is>
          <t>중상</t>
        </is>
      </c>
    </row>
    <row r="23">
      <c r="A23" s="9" t="inlineStr">
        <is>
          <t>3-5</t>
        </is>
      </c>
      <c r="B23" s="9" t="inlineStr">
        <is>
          <t>2주</t>
        </is>
      </c>
      <c r="C23" s="9" t="inlineStr">
        <is>
          <t>외교/동맹 + 진영 전쟁</t>
        </is>
      </c>
      <c r="D23" s="9" t="inlineStr">
        <is>
          <t>정치 드라마</t>
        </is>
      </c>
      <c r="E23" s="9" t="inlineStr">
        <is>
          <t>중</t>
        </is>
      </c>
    </row>
    <row r="24">
      <c r="A24" s="8" t="inlineStr">
        <is>
          <t>3-6</t>
        </is>
      </c>
      <c r="B24" s="8" t="inlineStr">
        <is>
          <t>3주</t>
        </is>
      </c>
      <c r="C24" s="8" t="inlineStr">
        <is>
          <t>심연의 탑 + 차원 정복 + 레이드 보스</t>
        </is>
      </c>
      <c r="D24" s="8" t="inlineStr">
        <is>
          <t>엔드게임</t>
        </is>
      </c>
      <c r="E24" s="8" t="inlineStr">
        <is>
          <t>중</t>
        </is>
      </c>
    </row>
    <row r="25">
      <c r="A25" s="9" t="inlineStr"/>
      <c r="B25" s="9" t="inlineStr"/>
      <c r="C25" s="9" t="inlineStr"/>
      <c r="D25" s="9" t="inlineStr"/>
      <c r="E25" s="9" t="inlineStr"/>
    </row>
    <row r="26">
      <c r="A26" s="8" t="inlineStr">
        <is>
          <t>═══ Phase 4: 라이브 ═══</t>
        </is>
      </c>
      <c r="B26" s="8" t="inlineStr">
        <is>
          <t>7개월~</t>
        </is>
      </c>
      <c r="C26" s="8" t="inlineStr"/>
      <c r="D26" s="8" t="inlineStr">
        <is>
          <t>장기 운영</t>
        </is>
      </c>
      <c r="E26" s="8" t="inlineStr"/>
    </row>
    <row r="27">
      <c r="A27" s="9" t="inlineStr">
        <is>
          <t>4-1</t>
        </is>
      </c>
      <c r="B27" s="9" t="inlineStr">
        <is>
          <t>지속</t>
        </is>
      </c>
      <c r="C27" s="9" t="inlineStr">
        <is>
          <t>월드 이벤트 체인 / 시즌 콘텐츠</t>
        </is>
      </c>
      <c r="D27" s="9" t="inlineStr">
        <is>
          <t>라이브 서비스</t>
        </is>
      </c>
      <c r="E27" s="9" t="inlineStr">
        <is>
          <t>중</t>
        </is>
      </c>
    </row>
    <row r="28">
      <c r="A28" s="8" t="inlineStr">
        <is>
          <t>4-2</t>
        </is>
      </c>
      <c r="B28" s="8" t="inlineStr">
        <is>
          <t>지속</t>
        </is>
      </c>
      <c r="C28" s="8" t="inlineStr">
        <is>
          <t>서버 간 대전 / 공성전 토너먼트</t>
        </is>
      </c>
      <c r="D28" s="8" t="inlineStr">
        <is>
          <t>경쟁 콘텐츠</t>
        </is>
      </c>
      <c r="E28" s="8" t="inlineStr">
        <is>
          <t>중</t>
        </is>
      </c>
    </row>
    <row r="29">
      <c r="A29" s="9" t="inlineStr">
        <is>
          <t>4-3</t>
        </is>
      </c>
      <c r="B29" s="9" t="inlineStr">
        <is>
          <t>지속</t>
        </is>
      </c>
      <c r="C29" s="9" t="inlineStr">
        <is>
          <t>생활 콘텐츠 / NPC 호감도 / 하우징</t>
        </is>
      </c>
      <c r="D29" s="9" t="inlineStr">
        <is>
          <t>캐주얼 확장</t>
        </is>
      </c>
      <c r="E29" s="9" t="inlineStr">
        <is>
          <t>낮음</t>
        </is>
      </c>
    </row>
    <row r="30">
      <c r="A30" s="8" t="inlineStr">
        <is>
          <t>4-4</t>
        </is>
      </c>
      <c r="B30" s="8" t="inlineStr">
        <is>
          <t>지속</t>
        </is>
      </c>
      <c r="C30" s="8" t="inlineStr">
        <is>
          <t>세계관/스토리/비밀 지역 업데이트</t>
        </is>
      </c>
      <c r="D30" s="8" t="inlineStr">
        <is>
          <t>장기 몰입</t>
        </is>
      </c>
      <c r="E30" s="8" t="inlineStr">
        <is>
          <t>낮음</t>
        </is>
      </c>
    </row>
  </sheetData>
  <mergeCells count="1">
    <mergeCell ref="A1:E1"/>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4" customWidth="1" min="1" max="1"/>
    <col width="34" customWidth="1" min="2" max="2"/>
    <col width="22" customWidth="1" min="3" max="3"/>
    <col width="14" customWidth="1" min="4" max="4"/>
  </cols>
  <sheetData>
    <row r="1">
      <c r="A1" s="6" t="inlineStr">
        <is>
          <t>용병 토너먼트 상세 시스템</t>
        </is>
      </c>
    </row>
    <row r="3">
      <c r="A3" s="7" t="inlineStr">
        <is>
          <t>시스템</t>
        </is>
      </c>
      <c r="B3" s="7" t="inlineStr">
        <is>
          <t>상세</t>
        </is>
      </c>
      <c r="C3" s="7" t="inlineStr">
        <is>
          <t>보상</t>
        </is>
      </c>
      <c r="D3" s="7" t="inlineStr">
        <is>
          <t>재미 포인트</t>
        </is>
      </c>
    </row>
    <row r="4">
      <c r="A4" s="8" t="inlineStr">
        <is>
          <t>🏟️ 매치 방식</t>
        </is>
      </c>
      <c r="B4" s="8" t="inlineStr">
        <is>
          <t>내 용병 파티 6명 vs 상대 파티 6명 자동 대전</t>
        </is>
      </c>
      <c r="C4" s="8" t="inlineStr"/>
      <c r="D4" s="8" t="inlineStr">
        <is>
          <t>육성의 결과!</t>
        </is>
      </c>
    </row>
    <row r="5">
      <c r="A5" s="9" t="inlineStr">
        <is>
          <t>전투</t>
        </is>
      </c>
      <c r="B5" s="9" t="inlineStr">
        <is>
          <t>용병 AI 전술 설정대로 자동 전투, 관전만 가능</t>
        </is>
      </c>
      <c r="C5" s="9" t="inlineStr"/>
      <c r="D5" s="9" t="inlineStr">
        <is>
          <t>손에 땀!</t>
        </is>
      </c>
    </row>
    <row r="6">
      <c r="A6" s="8" t="inlineStr">
        <is>
          <t>시간 제한</t>
        </is>
      </c>
      <c r="B6" s="8" t="inlineStr">
        <is>
          <t>2분, 초과 시 남은 HP 합산 비교</t>
        </is>
      </c>
      <c r="C6" s="8" t="inlineStr"/>
      <c r="D6" s="8" t="inlineStr"/>
    </row>
    <row r="7">
      <c r="A7" s="9" t="inlineStr"/>
      <c r="B7" s="9" t="inlineStr"/>
      <c r="C7" s="9" t="inlineStr"/>
      <c r="D7" s="9" t="inlineStr"/>
    </row>
    <row r="8">
      <c r="A8" s="8" t="inlineStr">
        <is>
          <t>📋 토너먼트 형식</t>
        </is>
      </c>
      <c r="B8" s="8" t="inlineStr"/>
      <c r="C8" s="8" t="inlineStr"/>
      <c r="D8" s="8" t="inlineStr"/>
    </row>
    <row r="9">
      <c r="A9" s="9" t="inlineStr">
        <is>
          <t>일일 토너먼트</t>
        </is>
      </c>
      <c r="B9" s="9" t="inlineStr">
        <is>
          <t>32강 자동 매칭, 하루 5라운드 (30분)</t>
        </is>
      </c>
      <c r="C9" s="9" t="inlineStr">
        <is>
          <t>참가: 1,000G / 1위: 20,000G+100💎</t>
        </is>
      </c>
      <c r="D9" s="9" t="inlineStr">
        <is>
          <t>매일 도전!</t>
        </is>
      </c>
    </row>
    <row r="10">
      <c r="A10" s="8" t="inlineStr">
        <is>
          <t>주간 챔피언</t>
        </is>
      </c>
      <c r="B10" s="8" t="inlineStr">
        <is>
          <t>일일 1위 7명 + 와일드카드 1명 → 8강</t>
        </is>
      </c>
      <c r="C10" s="8" t="inlineStr">
        <is>
          <t>1위: 100,000G + 시즌 포인트 ×50</t>
        </is>
      </c>
      <c r="D10" s="8" t="inlineStr">
        <is>
          <t>주간 최강자</t>
        </is>
      </c>
    </row>
    <row r="11">
      <c r="A11" s="9" t="inlineStr">
        <is>
          <t>시즌 챔피언</t>
        </is>
      </c>
      <c r="B11" s="9" t="inlineStr">
        <is>
          <t>주간 챔피언 포인트 상위 16명 → 16강 토너먼트</t>
        </is>
      </c>
      <c r="C11" s="9" t="inlineStr">
        <is>
          <t>1위: 500,000G+300💎+"용병왕" 칭호</t>
        </is>
      </c>
      <c r="D11" s="9" t="inlineStr">
        <is>
          <t>시즌 최강!</t>
        </is>
      </c>
    </row>
    <row r="12">
      <c r="A12" s="8" t="inlineStr"/>
      <c r="B12" s="8" t="inlineStr"/>
      <c r="C12" s="8" t="inlineStr"/>
      <c r="D12" s="8" t="inlineStr"/>
    </row>
    <row r="13">
      <c r="A13" s="9" t="inlineStr">
        <is>
          <t>⚙️ 특수 규칙</t>
        </is>
      </c>
      <c r="B13" s="9" t="inlineStr"/>
      <c r="C13" s="9" t="inlineStr"/>
      <c r="D13" s="9" t="inlineStr"/>
    </row>
    <row r="14">
      <c r="A14" s="8" t="inlineStr">
        <is>
          <t>밴 &amp; 픽</t>
        </is>
      </c>
      <c r="B14" s="8" t="inlineStr">
        <is>
          <t>양측 교대로 1명씩 밴(금지) → 6명 편성</t>
        </is>
      </c>
      <c r="C14" s="8" t="inlineStr">
        <is>
          <t>상대 핵심 용병 차단!</t>
        </is>
      </c>
      <c r="D14" s="8" t="inlineStr">
        <is>
          <t>전략적 밴픽!</t>
        </is>
      </c>
    </row>
    <row r="15">
      <c r="A15" s="9" t="inlineStr">
        <is>
          <t>등급 제한전</t>
        </is>
      </c>
      <c r="B15" s="9" t="inlineStr">
        <is>
          <t>영웅 이하만 / 희귀 이하만 / 일반만</t>
        </is>
      </c>
      <c r="C15" s="9" t="inlineStr">
        <is>
          <t>숨겨진 강자 발견</t>
        </is>
      </c>
      <c r="D15" s="9" t="inlineStr">
        <is>
          <t>저등급의 가치!</t>
        </is>
      </c>
    </row>
    <row r="16">
      <c r="A16" s="8" t="inlineStr">
        <is>
          <t>역할 제한전</t>
        </is>
      </c>
      <c r="B16" s="8" t="inlineStr">
        <is>
          <t>전사 금지 / 마법만 / 치유 없음</t>
        </is>
      </c>
      <c r="C16" s="8" t="inlineStr">
        <is>
          <t>비주류 편성 강제</t>
        </is>
      </c>
      <c r="D16" s="8" t="inlineStr">
        <is>
          <t>새로운 전략!</t>
        </is>
      </c>
    </row>
    <row r="17">
      <c r="A17" s="9" t="inlineStr"/>
      <c r="B17" s="9" t="inlineStr"/>
      <c r="C17" s="9" t="inlineStr"/>
      <c r="D17" s="9" t="inlineStr"/>
    </row>
    <row r="18">
      <c r="A18" s="8" t="inlineStr">
        <is>
          <t>📊 전투 분석</t>
        </is>
      </c>
      <c r="B18" s="8" t="inlineStr"/>
      <c r="C18" s="8" t="inlineStr"/>
      <c r="D18" s="8" t="inlineStr"/>
    </row>
    <row r="19">
      <c r="A19" s="9" t="inlineStr">
        <is>
          <t>데미지 리포트</t>
        </is>
      </c>
      <c r="B19" s="9" t="inlineStr">
        <is>
          <t>전투 후 각 용병 딜량/힐량/피해량 그래프</t>
        </is>
      </c>
      <c r="C19" s="9" t="inlineStr">
        <is>
          <t>어떤 용병이 활약했나</t>
        </is>
      </c>
      <c r="D19" s="9" t="inlineStr">
        <is>
          <t>최적화 근거!</t>
        </is>
      </c>
    </row>
    <row r="20">
      <c r="A20" s="8" t="inlineStr">
        <is>
          <t>리플레이</t>
        </is>
      </c>
      <c r="B20" s="8" t="inlineStr">
        <is>
          <t>모든 토너먼트 경기 리플레이 저장</t>
        </is>
      </c>
      <c r="C20" s="8" t="inlineStr">
        <is>
          <t>다른 플레이어 전략 학습</t>
        </is>
      </c>
      <c r="D20" s="8" t="inlineStr">
        <is>
          <t>연구의 재미</t>
        </is>
      </c>
    </row>
    <row r="21">
      <c r="A21" s="9" t="inlineStr">
        <is>
          <t>추천 편성</t>
        </is>
      </c>
      <c r="B21" s="9" t="inlineStr">
        <is>
          <t>AI가 보유 용병 기반 추천 편성 제안</t>
        </is>
      </c>
      <c r="C21" s="9" t="inlineStr">
        <is>
          <t>초보자 가이드</t>
        </is>
      </c>
      <c r="D21" s="9" t="inlineStr">
        <is>
          <t>입문 지원</t>
        </is>
      </c>
    </row>
    <row r="22">
      <c r="A22" s="8" t="inlineStr"/>
      <c r="B22" s="8" t="inlineStr"/>
      <c r="C22" s="8" t="inlineStr"/>
      <c r="D22" s="8" t="inlineStr"/>
    </row>
    <row r="23">
      <c r="A23" s="9" t="inlineStr">
        <is>
          <t>관전 &amp; 베팅</t>
        </is>
      </c>
      <c r="B23" s="9" t="inlineStr"/>
      <c r="C23" s="9" t="inlineStr"/>
      <c r="D23" s="9" t="inlineStr"/>
    </row>
    <row r="24">
      <c r="A24" s="8" t="inlineStr">
        <is>
          <t>관전</t>
        </is>
      </c>
      <c r="B24" s="8" t="inlineStr">
        <is>
          <t>진행 중 토너먼트 실시간 관전 가능</t>
        </is>
      </c>
      <c r="C24" s="8" t="inlineStr"/>
      <c r="D24" s="8" t="inlineStr">
        <is>
          <t>구경의 재미</t>
        </is>
      </c>
    </row>
    <row r="25">
      <c r="A25" s="9" t="inlineStr">
        <is>
          <t>예측 베팅</t>
        </is>
      </c>
      <c r="B25" s="9" t="inlineStr">
        <is>
          <t>경기 전 승자 예측 → 맞추면 500G</t>
        </is>
      </c>
      <c r="C25" s="9" t="inlineStr">
        <is>
          <t>틀려도 손해 없음</t>
        </is>
      </c>
      <c r="D25" s="9" t="inlineStr">
        <is>
          <t>예측 게임!</t>
        </is>
      </c>
    </row>
  </sheetData>
  <mergeCells count="1">
    <mergeCell ref="A1:D1"/>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10" customWidth="1" min="1" max="1"/>
    <col width="18" customWidth="1" min="2" max="2"/>
    <col width="34" customWidth="1" min="3" max="3"/>
    <col width="26" customWidth="1" min="4" max="4"/>
  </cols>
  <sheetData>
    <row r="1">
      <c r="A1" s="6" t="inlineStr">
        <is>
          <t>전체 시스템 요약 — AutoBattle.io v3.5</t>
        </is>
      </c>
    </row>
    <row r="3">
      <c r="A3" s="7" t="inlineStr">
        <is>
          <t>카테고리</t>
        </is>
      </c>
      <c r="B3" s="7" t="inlineStr">
        <is>
          <t>시스템</t>
        </is>
      </c>
      <c r="C3" s="7" t="inlineStr">
        <is>
          <t>핵심 내용</t>
        </is>
      </c>
      <c r="D3" s="7" t="inlineStr">
        <is>
          <t>관련 시트</t>
        </is>
      </c>
    </row>
    <row r="4">
      <c r="A4" s="8" t="inlineStr">
        <is>
          <t>═══ IO 서바이벌 (1단계) ═══</t>
        </is>
      </c>
      <c r="B4" s="8" t="inlineStr"/>
      <c r="C4" s="8" t="inlineStr"/>
      <c r="D4" s="8" t="inlineStr"/>
    </row>
    <row r="5">
      <c r="A5" s="9" t="inlineStr">
        <is>
          <t>IO 코어</t>
        </is>
      </c>
      <c r="B5" s="9" t="inlineStr">
        <is>
          <t>오토배틀 서바이벌</t>
        </is>
      </c>
      <c r="C5" s="9" t="inlineStr">
        <is>
          <t>10분 매치, WASD+오토배틀, 웨이브 40, 보스 5종</t>
        </is>
      </c>
      <c r="D5" s="9" t="inlineStr">
        <is>
          <t>오토배틀 서바이벌 IO</t>
        </is>
      </c>
    </row>
    <row r="6">
      <c r="A6" s="8" t="inlineStr">
        <is>
          <t>IO 코어</t>
        </is>
      </c>
      <c r="B6" s="8" t="inlineStr">
        <is>
          <t>무기 시스템</t>
        </is>
      </c>
      <c r="C6" s="8" t="inlineStr">
        <is>
          <t>기본 8종 + 2조합 6종 + 3조합 3종 = 17종, 숨겨진 조합</t>
        </is>
      </c>
      <c r="D6" s="8" t="inlineStr">
        <is>
          <t>IO 무기 진화 조합</t>
        </is>
      </c>
    </row>
    <row r="7">
      <c r="A7" s="9" t="inlineStr">
        <is>
          <t>IO 코어</t>
        </is>
      </c>
      <c r="B7" s="9" t="inlineStr">
        <is>
          <t>보스 메카닉</t>
        </is>
      </c>
      <c r="C7" s="9" t="inlineStr">
        <is>
          <t>슬라임킹→골렘→드래곤→마왕→세계의적, 각 3페이즈</t>
        </is>
      </c>
      <c r="D7" s="9" t="inlineStr">
        <is>
          <t>IO 보스 패턴</t>
        </is>
      </c>
    </row>
    <row r="8">
      <c r="A8" s="8" t="inlineStr">
        <is>
          <t>IO 확장</t>
        </is>
      </c>
      <c r="B8" s="8" t="inlineStr">
        <is>
          <t>환경 변수</t>
        </is>
      </c>
      <c r="C8" s="8" t="inlineStr">
        <is>
          <t>맵 6종 × 날씨 6종 × 매치이벤트 5종</t>
        </is>
      </c>
      <c r="D8" s="8" t="inlineStr">
        <is>
          <t>IO 환경 변수</t>
        </is>
      </c>
    </row>
    <row r="9">
      <c r="A9" s="9" t="inlineStr">
        <is>
          <t>IO 확장</t>
        </is>
      </c>
      <c r="B9" s="9" t="inlineStr">
        <is>
          <t>특수 모드 6종</t>
        </is>
      </c>
      <c r="C9" s="9" t="inlineStr">
        <is>
          <t>보스러시/팀대전/약탈전/공성연습/무한/커스텀</t>
        </is>
      </c>
      <c r="D9" s="9" t="inlineStr">
        <is>
          <t>IO 특수 매치 모드 + 커스텀 IO</t>
        </is>
      </c>
    </row>
    <row r="10">
      <c r="A10" s="8" t="inlineStr">
        <is>
          <t>IO 확장</t>
        </is>
      </c>
      <c r="B10" s="8" t="inlineStr">
        <is>
          <t>변신 시스템</t>
        </is>
      </c>
      <c r="C10" s="8" t="inlineStr">
        <is>
          <t>포획 몬스터로 60초 변신 전투, 변신 vs 변신</t>
        </is>
      </c>
      <c r="D10" s="8" t="inlineStr">
        <is>
          <t>IO 변신 시스템</t>
        </is>
      </c>
    </row>
    <row r="11">
      <c r="A11" s="9" t="inlineStr"/>
      <c r="B11" s="9" t="inlineStr"/>
      <c r="C11" s="9" t="inlineStr"/>
      <c r="D11" s="9" t="inlineStr"/>
    </row>
    <row r="12">
      <c r="A12" s="8" t="inlineStr">
        <is>
          <t>═══ SLG 용병 육성 (2단계) ═══</t>
        </is>
      </c>
      <c r="B12" s="8" t="inlineStr"/>
      <c r="C12" s="8" t="inlineStr"/>
      <c r="D12" s="8" t="inlineStr"/>
    </row>
    <row r="13">
      <c r="A13" s="9" t="inlineStr">
        <is>
          <t>용병 핵심</t>
        </is>
      </c>
      <c r="B13" s="9" t="inlineStr">
        <is>
          <t>60종 + 6등급</t>
        </is>
      </c>
      <c r="C13" s="9" t="inlineStr">
        <is>
          <t>일반/고급/희귀/영웅/전설/신화 + 초신화</t>
        </is>
      </c>
      <c r="D13" s="9" t="inlineStr">
        <is>
          <t>전체 용병 목록 v3 + 신규 v3.1</t>
        </is>
      </c>
    </row>
    <row r="14">
      <c r="A14" s="8" t="inlineStr">
        <is>
          <t>용병 핵심</t>
        </is>
      </c>
      <c r="B14" s="8" t="inlineStr">
        <is>
          <t>진급 &amp; 진화</t>
        </is>
      </c>
      <c r="C14" s="8" t="inlineStr">
        <is>
          <t>Lv.10/25/50 진급 + 합성 진화 17경로+</t>
        </is>
      </c>
      <c r="D14" s="8" t="inlineStr">
        <is>
          <t>SLG 뷰 진급 진화 + 진화 트리</t>
        </is>
      </c>
    </row>
    <row r="15">
      <c r="A15" s="9" t="inlineStr">
        <is>
          <t>용병 핵심</t>
        </is>
      </c>
      <c r="B15" s="9" t="inlineStr">
        <is>
          <t>각성 &amp; 초월</t>
        </is>
      </c>
      <c r="C15" s="9" t="inlineStr">
        <is>
          <t>각성 2단계 + 초월(궁극기 해금)</t>
        </is>
      </c>
      <c r="D15" s="9" t="inlineStr">
        <is>
          <t>용병 각성 &amp; 초월</t>
        </is>
      </c>
    </row>
    <row r="16">
      <c r="A16" s="8" t="inlineStr">
        <is>
          <t>용병 핵심</t>
        </is>
      </c>
      <c r="B16" s="8" t="inlineStr">
        <is>
          <t>특��� 유전</t>
        </is>
      </c>
      <c r="C16" s="8" t="inlineStr">
        <is>
          <t>30종+전설5종, 합성 시 유전, 리롤</t>
        </is>
      </c>
      <c r="D16" s="8" t="inlineStr">
        <is>
          <t>용병 특성 유전</t>
        </is>
      </c>
    </row>
    <row r="17">
      <c r="A17" s="9" t="inlineStr">
        <is>
          <t>용병 전략</t>
        </is>
      </c>
      <c r="B17" s="9" t="inlineStr">
        <is>
          <t>시너지 13종</t>
        </is>
      </c>
      <c r="C17" s="9" t="inlineStr">
        <is>
          <t>팀 편성 보너스 (TFT 스타일)</t>
        </is>
      </c>
      <c r="D17" s="9" t="inlineStr">
        <is>
          <t>용병 시너지</t>
        </is>
      </c>
    </row>
    <row r="18">
      <c r="A18" s="8" t="inlineStr">
        <is>
          <t>용병 전략</t>
        </is>
      </c>
      <c r="B18" s="8" t="inlineStr">
        <is>
          <t>인연 14���</t>
        </is>
      </c>
      <c r="C18" s="8" t="inlineStr">
        <is>
          <t>특정 조합 보너스 + 스토리</t>
        </is>
      </c>
      <c r="D18" s="8" t="inlineStr">
        <is>
          <t>용병 인연 &amp; 스토리</t>
        </is>
      </c>
    </row>
    <row r="19">
      <c r="A19" s="9" t="inlineStr">
        <is>
          <t>용병 전략</t>
        </is>
      </c>
      <c r="B19" s="9" t="inlineStr">
        <is>
          <t>합체 궁극기 6종</t>
        </is>
      </c>
      <c r="C19" s="9" t="inlineStr">
        <is>
          <t>2인 합체 연출 + 초강력 스킬</t>
        </is>
      </c>
      <c r="D19" s="9" t="inlineStr">
        <is>
          <t>용병 합체 궁극기</t>
        </is>
      </c>
    </row>
    <row r="20">
      <c r="A20" s="8" t="inlineStr">
        <is>
          <t>용병 전략</t>
        </is>
      </c>
      <c r="B20" s="8" t="inlineStr">
        <is>
          <t>AI 전술 6모드</t>
        </is>
      </c>
      <c r="C20" s="8" t="inlineStr">
        <is>
          <t>돌격/수비/저격/지원/매복/보스킬러 + 커스텀</t>
        </is>
      </c>
      <c r="D20" s="8" t="inlineStr">
        <is>
          <t>용병 AI 전술</t>
        </is>
      </c>
    </row>
    <row r="21">
      <c r="A21" s="9" t="inlineStr">
        <is>
          <t>용병 부가</t>
        </is>
      </c>
      <c r="B21" s="9" t="inlineStr">
        <is>
          <t>전용 장비 18종</t>
        </is>
      </c>
      <c r="C21" s="9" t="inlineStr">
        <is>
          <t>5등급, 대장간 레벨 연동</t>
        </is>
      </c>
      <c r="D21" s="9" t="inlineStr">
        <is>
          <t>용병 전용 장비</t>
        </is>
      </c>
    </row>
    <row r="22">
      <c r="A22" s="8" t="inlineStr">
        <is>
          <t>용병 부가</t>
        </is>
      </c>
      <c r="B22" s="8" t="inlineStr">
        <is>
          <t>스토리 퀘스트</t>
        </is>
      </c>
      <c r="C22" s="8" t="inlineStr">
        <is>
          <t>용병별 4화 개인 서사</t>
        </is>
      </c>
      <c r="D22" s="8" t="inlineStr">
        <is>
          <t>용병 스토리 퀘스트</t>
        </is>
      </c>
    </row>
    <row r="23">
      <c r="A23" s="9" t="inlineStr">
        <is>
          <t>용병 부가</t>
        </is>
      </c>
      <c r="B23" s="9" t="inlineStr">
        <is>
          <t>스킨 15종+</t>
        </is>
      </c>
      <c r="C23" s="9" t="inlineStr">
        <is>
          <t>시즌/업적/프리미엄</t>
        </is>
      </c>
      <c r="D23" s="9" t="inlineStr">
        <is>
          <t>용병 스킨 &amp; 코스튬</t>
        </is>
      </c>
    </row>
    <row r="24">
      <c r="A24" s="8" t="inlineStr">
        <is>
          <t>용병 부가</t>
        </is>
      </c>
      <c r="B24" s="8" t="inlineStr">
        <is>
          <t>소환 가챠</t>
        </is>
      </c>
      <c r="C24" s="8" t="inlineStr">
        <is>
          <t>천장 80/200, 픽업, 포인트 교환</t>
        </is>
      </c>
      <c r="D24" s="8" t="inlineStr">
        <is>
          <t>용병 소환 가챠</t>
        </is>
      </c>
    </row>
    <row r="25">
      <c r="A25" s="9" t="inlineStr">
        <is>
          <t>용병 부가</t>
        </is>
      </c>
      <c r="B25" s="9" t="inlineStr">
        <is>
          <t>대사 시스템</t>
        </is>
      </c>
      <c r="C25" s="9" t="inlineStr">
        <is>
          <t>상황별 16종 고유 대사</t>
        </is>
      </c>
      <c r="D25" s="9" t="inlineStr">
        <is>
          <t>용병 대사 시스템</t>
        </is>
      </c>
    </row>
    <row r="26">
      <c r="A26" s="8" t="inlineStr"/>
      <c r="B26" s="8" t="inlineStr"/>
      <c r="C26" s="8" t="inlineStr"/>
      <c r="D26" s="8" t="inlineStr"/>
    </row>
    <row r="27">
      <c r="A27" s="9" t="inlineStr">
        <is>
          <t>═══ 공성전 (3단계) ═══</t>
        </is>
      </c>
      <c r="B27" s="9" t="inlineStr"/>
      <c r="C27" s="9" t="inlineStr"/>
      <c r="D27" s="9" t="inlineStr"/>
    </row>
    <row r="28">
      <c r="A28" s="8" t="inlineStr">
        <is>
          <t>공성 핵심</t>
        </is>
      </c>
      <c r="B28" s="8" t="inlineStr">
        <is>
          <t>성 5레벨</t>
        </is>
      </c>
      <c r="C28" s="8" t="inlineStr">
        <is>
          <t>캠프→목책→석조→왕의성→제국요새</t>
        </is>
      </c>
      <c r="D28" s="8" t="inlineStr">
        <is>
          <t>성(Castle) 시스템 + 성 시설</t>
        </is>
      </c>
    </row>
    <row r="29">
      <c r="A29" s="9" t="inlineStr">
        <is>
          <t>공성 핵심</t>
        </is>
      </c>
      <c r="B29" s="9" t="inlineStr">
        <is>
          <t>IO 공성 전투</t>
        </is>
      </c>
      <c r="C29" s="9" t="inlineStr">
        <is>
          <t>공격자 IO + 방어자 배치 (함정+용병)</t>
        </is>
      </c>
      <c r="D29" s="9" t="inlineStr">
        <is>
          <t>공성전 IO 전투 + 배치 상세</t>
        </is>
      </c>
    </row>
    <row r="30">
      <c r="A30" s="8" t="inlineStr">
        <is>
          <t>공성 핵심</t>
        </is>
      </c>
      <c r="B30" s="8" t="inlineStr">
        <is>
          <t>고급 전략</t>
        </is>
      </c>
      <c r="C30" s="8" t="inlineStr">
        <is>
          <t>공성무기 4종 + 날씨 + 사기 + 성주 액티브</t>
        </is>
      </c>
      <c r="D30" s="8" t="inlineStr">
        <is>
          <t>공성전 고급 전략</t>
        </is>
      </c>
    </row>
    <row r="31">
      <c r="A31" s="9" t="inlineStr">
        <is>
          <t>공성 확장</t>
        </is>
      </c>
      <c r="B31" s="9" t="inlineStr">
        <is>
          <t>맵 에디터</t>
        </is>
      </c>
      <c r="C31" s="9" t="inlineStr">
        <is>
          <t>자유 배치, 4테마, 프리셋, 커뮤니티</t>
        </is>
      </c>
      <c r="D31" s="9" t="inlineStr">
        <is>
          <t>공성전 맵 에디터</t>
        </is>
      </c>
    </row>
    <row r="32">
      <c r="A32" s="8" t="inlineStr">
        <is>
          <t>공성 확장</t>
        </is>
      </c>
      <c r="B32" s="8" t="inlineStr">
        <is>
          <t>토너먼트</t>
        </is>
      </c>
      <c r="C32" s="8" t="inlineStr">
        <is>
          <t>16강 브래킷, 관전, NPC 중계</t>
        </is>
      </c>
      <c r="D32" s="8" t="inlineStr">
        <is>
          <t>공성전 토너먼트</t>
        </is>
      </c>
    </row>
    <row r="33">
      <c r="A33" s="9" t="inlineStr">
        <is>
          <t>공성 확장</t>
        </is>
      </c>
      <c r="B33" s="9" t="inlineStr">
        <is>
          <t>하우징</t>
        </is>
      </c>
      <c r="C33" s="9" t="inlineStr">
        <is>
          <t>5개 방 꾸미기, 장식 점수→버프</t>
        </is>
      </c>
      <c r="D33" s="9" t="inlineStr">
        <is>
          <t>하우징 인테리어</t>
        </is>
      </c>
    </row>
    <row r="34">
      <c r="A34" s="8" t="inlineStr"/>
      <c r="B34" s="8" t="inlineStr"/>
      <c r="C34" s="8" t="inlineStr"/>
      <c r="D34" s="8" t="inlineStr"/>
    </row>
    <row r="35">
      <c r="A35" s="9" t="inlineStr">
        <is>
          <t>═══ 무역 &amp; 경제 ═══</t>
        </is>
      </c>
      <c r="B35" s="9" t="inlineStr"/>
      <c r="C35" s="9" t="inlineStr"/>
      <c r="D35" s="9" t="inlineStr"/>
    </row>
    <row r="36">
      <c r="A36" s="8" t="inlineStr">
        <is>
          <t>무역</t>
        </is>
      </c>
      <c r="B36" s="8" t="inlineStr">
        <is>
          <t>10개 루트 + 동적 경제</t>
        </is>
      </c>
      <c r="C36" s="8" t="inlineStr">
        <is>
          <t>수요/공급 변동, 투기, 매점매석</t>
        </is>
      </c>
      <c r="D36" s="8" t="inlineStr">
        <is>
          <t>전체 무역 루트 + 무역 동적 경제</t>
        </is>
      </c>
    </row>
    <row r="37">
      <c r="A37" s="9" t="inlineStr">
        <is>
          <t>무역</t>
        </is>
      </c>
      <c r="B37" s="9" t="inlineStr">
        <is>
          <t>카라반 실시간</t>
        </is>
      </c>
      <c r="C37" s="9" t="inlineStr">
        <is>
          <t>월드맵 이동, PvP 약탈/호위, 이벤트</t>
        </is>
      </c>
      <c r="D37" s="9" t="inlineStr">
        <is>
          <t>무역 카라반 실시간 + 습격 &amp; 호위</t>
        </is>
      </c>
    </row>
    <row r="38">
      <c r="A38" s="8" t="inlineStr">
        <is>
          <t>경제</t>
        </is>
      </c>
      <c r="B38" s="8" t="inlineStr">
        <is>
          <t>경매장</t>
        </is>
      </c>
      <c r="C38" s="8" t="inlineStr">
        <is>
          <t>플레이어 거래, 시세, 상인 길드, 담합</t>
        </is>
      </c>
      <c r="D38" s="8" t="inlineStr">
        <is>
          <t>경매장 &amp; 경제</t>
        </is>
      </c>
    </row>
    <row r="39">
      <c r="A39" s="9" t="inlineStr"/>
      <c r="B39" s="9" t="inlineStr"/>
      <c r="C39" s="9" t="inlineStr"/>
      <c r="D39" s="9" t="inlineStr"/>
    </row>
    <row r="40">
      <c r="A40" s="8" t="inlineStr">
        <is>
          <t>═══ PvP &amp; 사회 ═══</t>
        </is>
      </c>
      <c r="B40" s="8" t="inlineStr"/>
      <c r="C40" s="8" t="inlineStr"/>
      <c r="D40" s="8" t="inlineStr"/>
    </row>
    <row r="41">
      <c r="A41" s="9" t="inlineStr">
        <is>
          <t>PvP</t>
        </is>
      </c>
      <c r="B41" s="9" t="inlineStr">
        <is>
          <t>PK + 카르마 + 현상금</t>
        </is>
      </c>
      <c r="C41" s="9" t="inlineStr">
        <is>
          <t>리니지 스타일, 사냥꾼 직업</t>
        </is>
      </c>
      <c r="D41" s="9" t="inlineStr">
        <is>
          <t>PK 시스템 + 현상금 사냥꾼</t>
        </is>
      </c>
    </row>
    <row r="42">
      <c r="A42" s="8" t="inlineStr">
        <is>
          <t>PvP</t>
        </is>
      </c>
      <c r="B42" s="8" t="inlineStr">
        <is>
          <t>아레나 시즌</t>
        </is>
      </c>
      <c r="C42" s="8" t="inlineStr">
        <is>
          <t>6랭크 (브론즈→전설), 밴픽, 관전</t>
        </is>
      </c>
      <c r="D42" s="8" t="inlineStr">
        <is>
          <t>PvP 아레나 시즌</t>
        </is>
      </c>
    </row>
    <row r="43">
      <c r="A43" s="9" t="inlineStr">
        <is>
          <t>혈맹</t>
        </is>
      </c>
      <c r="B43" s="9" t="inlineStr">
        <is>
          <t>대전 + 레이드</t>
        </is>
      </c>
      <c r="C43" s="9" t="inlineStr">
        <is>
          <t>10v10 공성 + 보스 4종 + 영토</t>
        </is>
      </c>
      <c r="D43" s="9" t="inlineStr">
        <is>
          <t>혈맹 대전 + 혈맹 레이드 보스</t>
        </is>
      </c>
    </row>
    <row r="44">
      <c r="A44" s="8" t="inlineStr">
        <is>
          <t>정치</t>
        </is>
      </c>
      <c r="B44" s="8" t="inlineStr">
        <is>
          <t>외교 + 동맹</t>
        </is>
      </c>
      <c r="C44" s="8" t="inlineStr">
        <is>
          <t>동맹/밀약/배신/영주/민심</t>
        </is>
      </c>
      <c r="D44" s="8" t="inlineStr">
        <is>
          <t>외교 &amp; 동맹</t>
        </is>
      </c>
    </row>
    <row r="45">
      <c r="A45" s="9" t="inlineStr">
        <is>
          <t>대규모</t>
        </is>
      </c>
      <c r="B45" s="9" t="inlineStr">
        <is>
          <t>진영 + 서버전</t>
        </is>
      </c>
      <c r="C45" s="9" t="inlineStr">
        <is>
          <t>5진영 + 월 1회 서버간 대전</t>
        </is>
      </c>
      <c r="D45" s="9" t="inlineStr">
        <is>
          <t>진영 전쟁 + 서버 간 대전</t>
        </is>
      </c>
    </row>
    <row r="46">
      <c r="A46" s="8" t="inlineStr"/>
      <c r="B46" s="8" t="inlineStr"/>
      <c r="C46" s="8" t="inlineStr"/>
      <c r="D46" s="8" t="inlineStr"/>
    </row>
    <row r="47">
      <c r="A47" s="9" t="inlineStr">
        <is>
          <t>═══ 포획 &amp; 엔드게임 ═══</t>
        </is>
      </c>
      <c r="B47" s="9" t="inlineStr"/>
      <c r="C47" s="9" t="inlineStr"/>
      <c r="D47" s="9" t="inlineStr"/>
    </row>
    <row r="48">
      <c r="A48" s="8" t="inlineStr">
        <is>
          <t>포획</t>
        </is>
      </c>
      <c r="B48" s="8" t="inlineStr">
        <is>
          <t>15종 몬스터</t>
        </is>
      </c>
      <c r="C48" s="8" t="inlineStr">
        <is>
          <t>3단 진화 + 교배 5종 + 성격 + 유대도</t>
        </is>
      </c>
      <c r="D48" s="8" t="inlineStr">
        <is>
          <t>몬스터 포획 확장 + 진화 트리</t>
        </is>
      </c>
    </row>
    <row r="49">
      <c r="A49" s="9" t="inlineStr">
        <is>
          <t>엔드게임</t>
        </is>
      </c>
      <c r="B49" s="9" t="inlineStr">
        <is>
          <t>심연의 탑 100층</t>
        </is>
      </c>
      <c r="C49" s="9" t="inlineStr">
        <is>
          <t>주간 리셋, 랭킹, 용병 체력 유지</t>
        </is>
      </c>
      <c r="D49" s="9" t="inlineStr">
        <is>
          <t>심연의 탑</t>
        </is>
      </c>
    </row>
    <row r="50">
      <c r="A50" s="8" t="inlineStr">
        <is>
          <t>엔드게임</t>
        </is>
      </c>
      <c r="B50" s="8" t="inlineStr">
        <is>
          <t>차원 정복 6차원</t>
        </is>
      </c>
      <c r="C50" s="8" t="inlineStr">
        <is>
          <t>최종 보스, 서버 TOP 10 협동</t>
        </is>
      </c>
      <c r="D50" s="8" t="inlineStr">
        <is>
          <t>차원 정복</t>
        </is>
      </c>
    </row>
    <row r="51">
      <c r="A51" s="9" t="inlineStr"/>
      <c r="B51" s="9" t="inlineStr"/>
      <c r="C51" s="9" t="inlineStr"/>
      <c r="D51" s="9" t="inlineStr"/>
    </row>
    <row r="52">
      <c r="A52" s="8" t="inlineStr">
        <is>
          <t>═══ 세계관 &amp; 생활 ═══</t>
        </is>
      </c>
      <c r="B52" s="8" t="inlineStr"/>
      <c r="C52" s="8" t="inlineStr"/>
      <c r="D52" s="8" t="inlineStr"/>
    </row>
    <row r="53">
      <c r="A53" s="9" t="inlineStr">
        <is>
          <t>세계관</t>
        </is>
      </c>
      <c r="B53" s="9" t="inlineStr">
        <is>
          <t>4시대 역사</t>
        </is>
      </c>
      <c r="C53" s="9" t="inlineStr">
        <is>
          <t>태초→신전쟁→용시대→마왕→현재</t>
        </is>
      </c>
      <c r="D53" s="9" t="inlineStr">
        <is>
          <t>세계관 &amp; 로어</t>
        </is>
      </c>
    </row>
    <row r="54">
      <c r="A54" s="8" t="inlineStr">
        <is>
          <t>세계관</t>
        </is>
      </c>
      <c r="B54" s="8" t="inlineStr">
        <is>
          <t>비밀 5곳 + 히든 3종</t>
        </is>
      </c>
      <c r="C54" s="8" t="inlineStr">
        <is>
          <t>최초 발견자 서버 공지</t>
        </is>
      </c>
      <c r="D54" s="8" t="inlineStr">
        <is>
          <t>비밀 지역 &amp; 히든</t>
        </is>
      </c>
    </row>
    <row r="55">
      <c r="A55" s="9" t="inlineStr">
        <is>
          <t>세계관</t>
        </is>
      </c>
      <c r="B55" s="9" t="inlineStr">
        <is>
          <t>이벤트 체인 3종</t>
        </is>
      </c>
      <c r="C55" s="9" t="inlineStr">
        <is>
          <t>드래곤/마왕/상인 — 서��� 운명 분기</t>
        </is>
      </c>
      <c r="D55" s="9" t="inlineStr">
        <is>
          <t>월드 이벤트 체인</t>
        </is>
      </c>
    </row>
    <row r="56">
      <c r="A56" s="8" t="inlineStr">
        <is>
          <t>생활</t>
        </is>
      </c>
      <c r="B56" s="8" t="inlineStr">
        <is>
          <t>4종 콘텐츠</t>
        </is>
      </c>
      <c r="C56" s="8" t="inlineStr">
        <is>
          <t>낚시/요리/정원/펫</t>
        </is>
      </c>
      <c r="D56" s="8" t="inlineStr">
        <is>
          <t>SLG 생활 콘텐츠</t>
        </is>
      </c>
    </row>
    <row r="57">
      <c r="A57" s="9" t="inlineStr">
        <is>
          <t>생활</t>
        </is>
      </c>
      <c r="B57" s="9" t="inlineStr">
        <is>
          <t>NPC 7명</t>
        </is>
      </c>
      <c r="C57" s="9" t="inlineStr">
        <is>
          <t>5단계 호감도, IO 동행</t>
        </is>
      </c>
      <c r="D57" s="9" t="inlineStr">
        <is>
          <t>NPC 호감도</t>
        </is>
      </c>
    </row>
    <row r="58">
      <c r="A58" s="8" t="inlineStr"/>
      <c r="B58" s="8" t="inlineStr"/>
      <c r="C58" s="8" t="inlineStr"/>
      <c r="D58" s="8" t="inlineStr"/>
    </row>
    <row r="59">
      <c r="A59" s="9" t="inlineStr">
        <is>
          <t>═══ 운영 ═══</t>
        </is>
      </c>
      <c r="B59" s="9" t="inlineStr"/>
      <c r="C59" s="9" t="inlineStr"/>
      <c r="D59" s="9" t="inlineStr"/>
    </row>
    <row r="60">
      <c r="A60" s="8" t="inlineStr">
        <is>
          <t>UX</t>
        </is>
      </c>
      <c r="B60" s="8" t="inlineStr">
        <is>
          <t>UI + 루틴 + 시간표 + 튜토리얼</t>
        </is>
      </c>
      <c r="C60" s="8" t="inlineStr">
        <is>
          <t>신규 안착 + 일일 가이드</t>
        </is>
      </c>
      <c r="D60" s="8" t="inlineStr">
        <is>
          <t>SLG 메인화면 + 루틴 + 시간표 + 튜토리얼</t>
        </is>
      </c>
    </row>
    <row r="61">
      <c r="A61" s="9" t="inlineStr">
        <is>
          <t>수익</t>
        </is>
      </c>
      <c r="B61" s="9" t="inlineStr">
        <is>
          <t>배틀패스 + 가챠 + 스킨</t>
        </is>
      </c>
      <c r="C61" s="9" t="inlineStr">
        <is>
          <t>P2W 없는 건강한 BM</t>
        </is>
      </c>
      <c r="D61" s="9" t="inlineStr">
        <is>
          <t>수익화 모델 + 배틀패스</t>
        </is>
      </c>
    </row>
    <row r="62">
      <c r="A62" s="8" t="inlineStr">
        <is>
          <t>밸런스</t>
        </is>
      </c>
      <c r="B62" s="8" t="inlineStr">
        <is>
          <t>수치 + 연구 126Lv</t>
        </is>
      </c>
      <c r="C62" s="8" t="inlineStr">
        <is>
          <t>전투/경제 공식, 장기 성장축</t>
        </is>
      </c>
      <c r="D62" s="8" t="inlineStr">
        <is>
          <t>밸런스 수치표 + 마법 연구 트리</t>
        </is>
      </c>
    </row>
    <row r="63">
      <c r="A63" s="9" t="inlineStr">
        <is>
          <t>개발</t>
        </is>
      </c>
      <c r="B63" s="9" t="inlineStr">
        <is>
          <t>4단계 로드맵</t>
        </is>
      </c>
      <c r="C63" s="9" t="inlineStr">
        <is>
          <t>Phase1(코어)→2(핵심)→3(확장)→4(라이브)</t>
        </is>
      </c>
      <c r="D63" s="9" t="inlineStr">
        <is>
          <t>개발 로드맵</t>
        </is>
      </c>
    </row>
    <row r="64">
      <c r="A64" s="8" t="inlineStr"/>
      <c r="B64" s="8" t="inlineStr"/>
      <c r="C64" s="8" t="inlineStr"/>
      <c r="D64" s="8" t="inlineStr"/>
    </row>
    <row r="65">
      <c r="A65" s="9" t="inlineStr">
        <is>
          <t>═══ 총계 ═══</t>
        </is>
      </c>
      <c r="B65" s="9" t="inlineStr"/>
      <c r="C65" s="9" t="inlineStr"/>
      <c r="D65" s="9" t="inlineStr"/>
    </row>
    <row r="66">
      <c r="A66" s="8" t="inlineStr"/>
      <c r="B66" s="8" t="inlineStr">
        <is>
          <t>용병 60종 + 합체6 + 특성35 + 스킨15</t>
        </is>
      </c>
      <c r="C66" s="8" t="inlineStr"/>
      <c r="D66" s="8" t="inlineStr"/>
    </row>
    <row r="67">
      <c r="A67" s="9" t="inlineStr"/>
      <c r="B67" s="9" t="inlineStr">
        <is>
          <t>IO 무기 17종, 보스 5종, 맵 6종, 날씨 6종, 모드 6종+커스텀</t>
        </is>
      </c>
      <c r="C67" s="9" t="inlineStr"/>
      <c r="D67" s="9" t="inlineStr"/>
    </row>
    <row r="68">
      <c r="A68" s="8" t="inlineStr"/>
      <c r="B68" s="8" t="inlineStr">
        <is>
          <t>포획 15종(변신가능) + 업적 600+ + 도감 205 + NPC 7명</t>
        </is>
      </c>
      <c r="C68" s="8" t="inlineStr"/>
      <c r="D68" s="8" t="inlineStr"/>
    </row>
    <row r="69">
      <c r="A69" s="9" t="inlineStr"/>
      <c r="B69" s="9" t="inlineStr">
        <is>
          <t>공성(함정10+무기4+에디터) + 무역(10루트+동적경제+카라반)</t>
        </is>
      </c>
      <c r="C69" s="9" t="inlineStr"/>
      <c r="D69" s="9" t="inlineStr"/>
    </row>
    <row r="70">
      <c r="A70" s="8" t="inlineStr"/>
      <c r="B70" s="8" t="inlineStr">
        <is>
          <t>PvP(아레나+진영+서버전) + 엔드게임(심연100+차원6) + 세계관(4시대+비밀5)</t>
        </is>
      </c>
      <c r="C70" s="8" t="inlineStr"/>
      <c r="D70" s="8" t="inlineStr"/>
    </row>
  </sheetData>
  <mergeCells count="1">
    <mergeCell ref="A1:D1"/>
  </mergeCell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12" customWidth="1" min="1" max="1"/>
    <col width="5" customWidth="1" min="2" max="2"/>
    <col width="5" customWidth="1" min="3" max="3"/>
    <col width="4" customWidth="1" min="4" max="4"/>
    <col width="4" customWidth="1" min="5" max="5"/>
    <col width="4" customWidth="1" min="6" max="6"/>
    <col width="28" customWidth="1" min="7" max="7"/>
    <col width="22" customWidth="1" min="8" max="8"/>
    <col width="18" customWidth="1" min="9" max="9"/>
    <col width="28" customWidth="1" min="10" max="10"/>
    <col width="16" customWidth="1" min="11" max="11"/>
    <col width="12" customWidth="1" min="12" max="12"/>
  </cols>
  <sheetData>
    <row r="1">
      <c r="A1" s="6" t="inlineStr">
        <is>
          <t>용병 상세 — 일반 &amp; 고급 (20종)</t>
        </is>
      </c>
    </row>
    <row r="3">
      <c r="A3" s="7" t="inlineStr">
        <is>
          <t>이름</t>
        </is>
      </c>
      <c r="B3" s="7" t="inlineStr">
        <is>
          <t>등급</t>
        </is>
      </c>
      <c r="C3" s="7" t="inlineStr">
        <is>
          <t>역할</t>
        </is>
      </c>
      <c r="D3" s="7" t="inlineStr">
        <is>
          <t>ATK</t>
        </is>
      </c>
      <c r="E3" s="7" t="inlineStr">
        <is>
          <t>DEF</t>
        </is>
      </c>
      <c r="F3" s="7" t="inlineStr">
        <is>
          <t>HP</t>
        </is>
      </c>
      <c r="G3" s="7" t="inlineStr">
        <is>
          <t>스킬 상세</t>
        </is>
      </c>
      <c r="H3" s="7" t="inlineStr">
        <is>
          <t>진급 경로</t>
        </is>
      </c>
      <c r="I3" s="7" t="inlineStr">
        <is>
          <t>각성 외형</t>
        </is>
      </c>
      <c r="J3" s="7" t="inlineStr">
        <is>
          <t>스토리 한줄</t>
        </is>
      </c>
      <c r="K3" s="7" t="inlineStr">
        <is>
          <t>추천 전술</t>
        </is>
      </c>
      <c r="L3" s="7" t="inlineStr">
        <is>
          <t>획득</t>
        </is>
      </c>
    </row>
    <row r="4">
      <c r="A4" s="8" t="inlineStr">
        <is>
          <t>보병 🗡️</t>
        </is>
      </c>
      <c r="B4" s="8" t="inlineStr">
        <is>
          <t>일반</t>
        </is>
      </c>
      <c r="C4" s="8" t="inlineStr">
        <is>
          <t>전사</t>
        </is>
      </c>
      <c r="D4" s="8" t="n">
        <v>12</v>
      </c>
      <c r="E4" s="8" t="n">
        <v>10</v>
      </c>
      <c r="F4" s="8" t="n">
        <v>120</v>
      </c>
      <c r="G4" s="8" t="inlineStr">
        <is>
          <t>강타 — 1.5배 단일, CD 3초. Lv5: 1.8배, Lv10: 범위화</t>
        </is>
      </c>
      <c r="H4" s="8" t="inlineStr">
        <is>
          <t>보병→베테랑(Lv10)→챔피언(Lv25)→전쟁군주(Lv50)</t>
        </is>
      </c>
      <c r="I4" s="8" t="inlineStr">
        <is>
          <t>각성1: 은빛 갑옷 / 각성2: 황금 전쟁군주</t>
        </is>
      </c>
      <c r="J4" s="8" t="inlineStr">
        <is>
          <t>왕국 남쪽 마을 출신의 평범한 농부의 아들. 전쟁에 징집되어 전사가 되었다.</t>
        </is>
      </c>
      <c r="K4" s="8" t="inlineStr">
        <is>
          <t>돌격형 — 선봉 미끼 or 숫자 전략</t>
        </is>
      </c>
      <c r="L4" s="8" t="inlineStr">
        <is>
          <t>소환(일반), IO 드롭</t>
        </is>
      </c>
    </row>
    <row r="5">
      <c r="A5" s="9" t="inlineStr">
        <is>
          <t>궁수 🏹</t>
        </is>
      </c>
      <c r="B5" s="9" t="inlineStr">
        <is>
          <t>일반</t>
        </is>
      </c>
      <c r="C5" s="9" t="inlineStr">
        <is>
          <t>사수</t>
        </is>
      </c>
      <c r="D5" s="9" t="n">
        <v>14</v>
      </c>
      <c r="E5" s="9" t="n">
        <v>5</v>
      </c>
      <c r="F5" s="9" t="n">
        <v>80</v>
      </c>
      <c r="G5" s="9" t="inlineStr">
        <is>
          <t>연사 — 3연발 각 0.8배, CD 4초. Lv5: 4연발, Lv10: 관통 추가</t>
        </is>
      </c>
      <c r="H5" s="9" t="inlineStr">
        <is>
          <t>궁수→저격수(Lv10)→명사수(Lv25)→매의 눈(Lv50)</t>
        </is>
      </c>
      <c r="I5" s="9" t="inlineStr">
        <is>
          <t>각성1: 초록 망토 / 각성2: 은빛 매</t>
        </is>
      </c>
      <c r="J5" s="9" t="inlineStr">
        <is>
          <t>숲 속에서 자란 사냥꾼. 바람의 방향을 읽는 천부적 재능.</t>
        </is>
      </c>
      <c r="K5" s="9" t="inlineStr">
        <is>
          <t>저격형 — 후방 원거리</t>
        </is>
      </c>
      <c r="L5" s="9" t="inlineStr">
        <is>
          <t>소환(일반), IO 드롭</t>
        </is>
      </c>
    </row>
    <row r="6">
      <c r="A6" s="8" t="inlineStr">
        <is>
          <t>수습 사제 📿</t>
        </is>
      </c>
      <c r="B6" s="8" t="inlineStr">
        <is>
          <t>일반</t>
        </is>
      </c>
      <c r="C6" s="8" t="inlineStr">
        <is>
          <t>치유</t>
        </is>
      </c>
      <c r="D6" s="8" t="n">
        <v>6</v>
      </c>
      <c r="E6" s="8" t="n">
        <v>6</v>
      </c>
      <c r="F6" s="8" t="n">
        <v>90</v>
      </c>
      <c r="G6" s="8" t="inlineStr">
        <is>
          <t>치유 — HP 30 단일 힐, CD 5초. Lv5: 40, Lv10: 범위 힐</t>
        </is>
      </c>
      <c r="H6" s="8" t="inlineStr">
        <is>
          <t>수습→사제(진화) 또는 성기사 합성 재료</t>
        </is>
      </c>
      <c r="I6" s="8" t="inlineStr">
        <is>
          <t>각성1: 은빛 법의 / 각성2: 빛나는 지팡이</t>
        </is>
      </c>
      <c r="J6" s="8" t="inlineStr">
        <is>
          <t>신전에서 수행 중인 어린 사제. 아직 미숙하지만 신념만은 누구보다 강하다.</t>
        </is>
      </c>
      <c r="K6" s="8" t="inlineStr">
        <is>
          <t>지원형 — 핵심 힐러</t>
        </is>
      </c>
      <c r="L6" s="8" t="inlineStr">
        <is>
          <t>소환(일반)</t>
        </is>
      </c>
    </row>
    <row r="7">
      <c r="A7" s="9" t="inlineStr">
        <is>
          <t>창병 🔱</t>
        </is>
      </c>
      <c r="B7" s="9" t="inlineStr">
        <is>
          <t>일반</t>
        </is>
      </c>
      <c r="C7" s="9" t="inlineStr">
        <is>
          <t>전사</t>
        </is>
      </c>
      <c r="D7" s="9" t="n">
        <v>11</v>
      </c>
      <c r="E7" s="9" t="n">
        <v>12</v>
      </c>
      <c r="F7" s="9" t="n">
        <v>130</v>
      </c>
      <c r="G7" s="9" t="inlineStr">
        <is>
          <t>찌르기 — 1.8배 관통(2체), CD 3.5초. Lv5: 3체, Lv10: 2.5배</t>
        </is>
      </c>
      <c r="H7" s="9" t="inlineStr">
        <is>
          <t>없음 (진화 합성 재료)</t>
        </is>
      </c>
      <c r="I7" s="9" t="inlineStr">
        <is>
          <t>각성1: 붉은 갑옷 / 각성2: 황금 창</t>
        </is>
      </c>
      <c r="J7" s="9" t="inlineStr">
        <is>
          <t>왕국 정규군 소속. 창 하나로 적을 꿰뚫는 기술의 달인.</t>
        </is>
      </c>
      <c r="K7" s="9" t="inlineStr">
        <is>
          <t>수비형 — 통로 방어 특화</t>
        </is>
      </c>
      <c r="L7" s="9" t="inlineStr">
        <is>
          <t>소환(일반)</t>
        </is>
      </c>
    </row>
    <row r="8">
      <c r="A8" s="8" t="inlineStr">
        <is>
          <t>수도승 🙏</t>
        </is>
      </c>
      <c r="B8" s="8" t="inlineStr">
        <is>
          <t>일반</t>
        </is>
      </c>
      <c r="C8" s="8" t="inlineStr">
        <is>
          <t>전사</t>
        </is>
      </c>
      <c r="D8" s="8" t="n">
        <v>13</v>
      </c>
      <c r="E8" s="8" t="n">
        <v>8</v>
      </c>
      <c r="F8" s="8" t="n">
        <v>110</v>
      </c>
      <c r="G8" s="8" t="inlineStr">
        <is>
          <t>연타 — 4연타 각 0.5배, CD 2초. Lv5: 5연타, Lv10: 마지막타 2배</t>
        </is>
      </c>
      <c r="H8" s="8" t="inlineStr">
        <is>
          <t>없음 (합성 재료)</t>
        </is>
      </c>
      <c r="I8" s="8" t="inlineStr">
        <is>
          <t>각성1: 금빛 가사 / 각성2: 투명한 오라</t>
        </is>
      </c>
      <c r="J8" s="8" t="inlineStr">
        <is>
          <t>깊은 산 사찰에서 수행한 무승. 주먹 하나로 바위를 깨뜨린다.</t>
        </is>
      </c>
      <c r="K8" s="8" t="inlineStr">
        <is>
          <t>돌격형 — 빠른 DPS</t>
        </is>
      </c>
      <c r="L8" s="8" t="inlineStr">
        <is>
          <t>소환(일반)</t>
        </is>
      </c>
    </row>
    <row r="9">
      <c r="A9" s="9" t="inlineStr">
        <is>
          <t>도둑 💰</t>
        </is>
      </c>
      <c r="B9" s="9" t="inlineStr">
        <is>
          <t>일반</t>
        </is>
      </c>
      <c r="C9" s="9" t="inlineStr">
        <is>
          <t>암살</t>
        </is>
      </c>
      <c r="D9" s="9" t="n">
        <v>10</v>
      </c>
      <c r="E9" s="9" t="n">
        <v>3</v>
      </c>
      <c r="F9" s="9" t="n">
        <v>65</v>
      </c>
      <c r="G9" s="9" t="inlineStr">
        <is>
          <t>골드 훔침 — 킬 시 추가 50G, CD 없음(패시브). Lv5: 80G, Lv10: 장비 드롭+5%</t>
        </is>
      </c>
      <c r="H9" s="9" t="inlineStr">
        <is>
          <t>도둑+레인저 → 닌자 (진화)</t>
        </is>
      </c>
      <c r="I9" s="9" t="inlineStr">
        <is>
          <t>각성1: 검은 후드 / 각성2: 그림자 의상</t>
        </is>
      </c>
      <c r="J9" s="9" t="inlineStr">
        <is>
          <t>시장 뒷골목에서 살아남은 거리의 아이. 빠른 손과 더 빠른 발.</t>
        </is>
      </c>
      <c r="K9" s="9" t="inlineStr">
        <is>
          <t>매복형 — 골드 파밍 특화</t>
        </is>
      </c>
      <c r="L9" s="9" t="inlineStr">
        <is>
          <t>소환(일반)</t>
        </is>
      </c>
    </row>
    <row r="10">
      <c r="A10" s="8" t="inlineStr">
        <is>
          <t>농부 전사 🌾</t>
        </is>
      </c>
      <c r="B10" s="8" t="inlineStr">
        <is>
          <t>일반</t>
        </is>
      </c>
      <c r="C10" s="8" t="inlineStr">
        <is>
          <t>전사</t>
        </is>
      </c>
      <c r="D10" s="8" t="n">
        <v>9</v>
      </c>
      <c r="E10" s="8" t="n">
        <v>11</v>
      </c>
      <c r="F10" s="8" t="n">
        <v>140</v>
      </c>
      <c r="G10" s="8" t="inlineStr">
        <is>
          <t>광역 1.6배 — 낫 휘두르기, CD 4초. Lv5: 2배, Lv10: 출혈 추가</t>
        </is>
      </c>
      <c r="H10" s="8" t="inlineStr">
        <is>
          <t>없음 (합성 재료)</t>
        </is>
      </c>
      <c r="I10" s="8" t="inlineStr">
        <is>
          <t>각성1: 강철 낫 / 각성2: 수확의 전사</t>
        </is>
      </c>
      <c r="J10" s="8" t="inlineStr">
        <is>
          <t>전쟁으로 농장을 잃고 낫을 무기로 든 농부. 의외로 넓은 범위 공격.</t>
        </is>
      </c>
      <c r="K10" s="8" t="inlineStr">
        <is>
          <t>돌격형 — 저비용 광역</t>
        </is>
      </c>
      <c r="L10" s="8" t="inlineStr">
        <is>
          <t>소환(일반), IO 드롭</t>
        </is>
      </c>
    </row>
    <row r="11">
      <c r="A11" s="9" t="inlineStr"/>
      <c r="B11" s="9" t="inlineStr"/>
      <c r="C11" s="9" t="inlineStr"/>
      <c r="D11" s="9" t="inlineStr"/>
      <c r="E11" s="9" t="inlineStr"/>
      <c r="F11" s="9" t="inlineStr"/>
      <c r="G11" s="9" t="inlineStr"/>
      <c r="H11" s="9" t="inlineStr"/>
      <c r="I11" s="9" t="inlineStr"/>
      <c r="J11" s="9" t="inlineStr"/>
      <c r="K11" s="9" t="inlineStr"/>
      <c r="L11" s="9" t="inlineStr"/>
    </row>
    <row r="12">
      <c r="A12" s="8" t="inlineStr">
        <is>
          <t>기사 ⚔️</t>
        </is>
      </c>
      <c r="B12" s="8" t="inlineStr">
        <is>
          <t>고급</t>
        </is>
      </c>
      <c r="C12" s="8" t="inlineStr">
        <is>
          <t>전사</t>
        </is>
      </c>
      <c r="D12" s="8" t="n">
        <v>18</v>
      </c>
      <c r="E12" s="8" t="n">
        <v>16</v>
      </c>
      <c r="F12" s="8" t="n">
        <v>180</v>
      </c>
      <c r="G12" s="8" t="inlineStr">
        <is>
          <t>돌진 — 2배+스턴1초, CD 5초. Lv5: 2.5배+스턴2초, Lv10: 방어 무시</t>
        </is>
      </c>
      <c r="H12" s="8" t="inlineStr">
        <is>
          <t>보병×3 합성 or Lv25 진급</t>
        </is>
      </c>
      <c r="I12" s="8" t="inlineStr">
        <is>
          <t>각성1: 푸른 갑옷 / 각성2: 왕실 문장 갑옷</t>
        </is>
      </c>
      <c r="J12" s="8" t="inlineStr">
        <is>
          <t>왕국 기사단 소속. 명예를 무엇보다 중시하는 정의로운 전사.</t>
        </is>
      </c>
      <c r="K12" s="8" t="inlineStr">
        <is>
          <t>돌격형 — 스턴 CC 핵심</t>
        </is>
      </c>
      <c r="L12" s="8" t="inlineStr">
        <is>
          <t>소환(고급), 합성</t>
        </is>
      </c>
    </row>
    <row r="13">
      <c r="A13" s="9" t="inlineStr">
        <is>
          <t>레인저 🌿</t>
        </is>
      </c>
      <c r="B13" s="9" t="inlineStr">
        <is>
          <t>고급</t>
        </is>
      </c>
      <c r="C13" s="9" t="inlineStr">
        <is>
          <t>사수</t>
        </is>
      </c>
      <c r="D13" s="9" t="n">
        <v>20</v>
      </c>
      <c r="E13" s="9" t="n">
        <v>8</v>
      </c>
      <c r="F13" s="9" t="n">
        <v>100</v>
      </c>
      <c r="G13" s="9" t="inlineStr">
        <is>
          <t>독화살 — 1.2배+독(5/초×3초), CD 4초. Lv5: 독 8/초, Lv10: 감속 추가</t>
        </is>
      </c>
      <c r="H13" s="9" t="inlineStr">
        <is>
          <t>도둑+레인저 → 닌자</t>
        </is>
      </c>
      <c r="I13" s="9" t="inlineStr">
        <is>
          <t>각성1: 짙은 녹색 망토 / 각성2: 숲의 정령 문양</t>
        </is>
      </c>
      <c r="J13" s="9" t="inlineStr">
        <is>
          <t>숲의 수호자. 자연과 교감하며 독초로 화살을 만든다.</t>
        </is>
      </c>
      <c r="K13" s="9" t="inlineStr">
        <is>
          <t>저격형 — 지속 데미지</t>
        </is>
      </c>
      <c r="L13" s="9" t="inlineStr">
        <is>
          <t>소환(고급)</t>
        </is>
      </c>
    </row>
    <row r="14">
      <c r="A14" s="8" t="inlineStr">
        <is>
          <t>마법사 🔮</t>
        </is>
      </c>
      <c r="B14" s="8" t="inlineStr">
        <is>
          <t>고급</t>
        </is>
      </c>
      <c r="C14" s="8" t="inlineStr">
        <is>
          <t>마법</t>
        </is>
      </c>
      <c r="D14" s="8" t="n">
        <v>22</v>
      </c>
      <c r="E14" s="8" t="n">
        <v>4</v>
      </c>
      <c r="F14" s="8" t="n">
        <v>70</v>
      </c>
      <c r="G14" s="8" t="inlineStr">
        <is>
          <t>파이어볼 — 2.5배 범위, CD 5초. Lv5: 3배, Lv10: 화상 추가</t>
        </is>
      </c>
      <c r="H14" s="8" t="inlineStr">
        <is>
          <t>마법사→주술사(Lv10)→대마도사(Lv25)→현자(Lv50)</t>
        </is>
      </c>
      <c r="I14" s="8" t="inlineStr">
        <is>
          <t>각성1: 붉은 로브 / 각성2: 별이 빛나는 로브</t>
        </is>
      </c>
      <c r="J14" s="8" t="inlineStr">
        <is>
          <t>마법학원 수석 졸업생. 화염에 천부적 재능이 있다.</t>
        </is>
      </c>
      <c r="K14" s="8" t="inlineStr">
        <is>
          <t>저격형 — 후방 광역 딜</t>
        </is>
      </c>
      <c r="L14" s="8" t="inlineStr">
        <is>
          <t>소환(고급)</t>
        </is>
      </c>
    </row>
    <row r="15">
      <c r="A15" s="9" t="inlineStr">
        <is>
          <t>광전사 😤</t>
        </is>
      </c>
      <c r="B15" s="9" t="inlineStr">
        <is>
          <t>고급</t>
        </is>
      </c>
      <c r="C15" s="9" t="inlineStr">
        <is>
          <t>전사</t>
        </is>
      </c>
      <c r="D15" s="9" t="n">
        <v>24</v>
      </c>
      <c r="E15" s="9" t="n">
        <v>4</v>
      </c>
      <c r="F15" s="9" t="n">
        <v>130</v>
      </c>
      <c r="G15" s="9" t="inlineStr">
        <is>
          <t>분노 — 3배(자해 HP-20%), CD 6초. Lv5: 3.5배, Lv10: HP 낮을수록 추가DMG</t>
        </is>
      </c>
      <c r="H15" s="9" t="inlineStr">
        <is>
          <t>없음 (합성 재료)</t>
        </is>
      </c>
      <c r="I15" s="9" t="inlineStr">
        <is>
          <t>각성1: 핏빛 문신 / 각성2: 광기의 오라</t>
        </is>
      </c>
      <c r="J15" s="9" t="inlineStr">
        <is>
          <t>전장에서 이성을 잃은 전사. 자신의 피마저 무기로 쓴다.</t>
        </is>
      </c>
      <c r="K15" s="9" t="inlineStr">
        <is>
          <t>돌격형 — 하이리스크 딜러</t>
        </is>
      </c>
      <c r="L15" s="9" t="inlineStr">
        <is>
          <t>소환(고급)</t>
        </is>
      </c>
    </row>
    <row r="16">
      <c r="A16" s="8" t="inlineStr">
        <is>
          <t>음유시인 🎵</t>
        </is>
      </c>
      <c r="B16" s="8" t="inlineStr">
        <is>
          <t>고급</t>
        </is>
      </c>
      <c r="C16" s="8" t="inlineStr">
        <is>
          <t>치유</t>
        </is>
      </c>
      <c r="D16" s="8" t="n">
        <v>8</v>
      </c>
      <c r="E16" s="8" t="n">
        <v>7</v>
      </c>
      <c r="F16" s="8" t="n">
        <v>95</v>
      </c>
      <c r="G16" s="8" t="inlineStr">
        <is>
          <t>전투가 — 아군 전체 ATK+15%, 15초, CD 20초. Lv5: +20%, Lv10: +DEF 10%추가</t>
        </is>
      </c>
      <c r="H16" s="8" t="inlineStr">
        <is>
          <t>없음</t>
        </is>
      </c>
      <c r="I16" s="8" t="inlineStr">
        <is>
          <t>각성1: 황금 류트 / 각성2: 빛나는 악보 오라</t>
        </is>
      </c>
      <c r="J16" s="8" t="inlineStr">
        <is>
          <t>떠돌이 음유시인. 노래 한 곡으로 전우들의 사기를 끌어올린다.</t>
        </is>
      </c>
      <c r="K16" s="8" t="inlineStr">
        <is>
          <t>지원형 — 버프 특화</t>
        </is>
      </c>
      <c r="L16" s="8" t="inlineStr">
        <is>
          <t>소환(고급)</t>
        </is>
      </c>
    </row>
    <row r="17">
      <c r="A17" s="9" t="inlineStr">
        <is>
          <t>기마병 🐴</t>
        </is>
      </c>
      <c r="B17" s="9" t="inlineStr">
        <is>
          <t>고급</t>
        </is>
      </c>
      <c r="C17" s="9" t="inlineStr">
        <is>
          <t>전사</t>
        </is>
      </c>
      <c r="D17" s="9" t="n">
        <v>20</v>
      </c>
      <c r="E17" s="9" t="n">
        <v>10</v>
      </c>
      <c r="F17" s="9" t="n">
        <v>160</v>
      </c>
      <c r="G17" s="9" t="inlineStr">
        <is>
          <t>돌격 — 2.5배+넉백, CD 6초. Lv5: 3배, Lv10: 돌격 거리 2배</t>
        </is>
      </c>
      <c r="H17" s="9" t="inlineStr">
        <is>
          <t>없음 (합성 재료)</t>
        </is>
      </c>
      <c r="I17" s="9" t="inlineStr">
        <is>
          <t>각성1: 중무장 기마 / 각성2: 왕실 근위 기병</t>
        </is>
      </c>
      <c r="J17" s="9" t="inlineStr">
        <is>
          <t>기병대 소속 전사. 말 위에서의 돌격은 보병의 3배 위력.</t>
        </is>
      </c>
      <c r="K17" s="9" t="inlineStr">
        <is>
          <t>돌격형 — 넉백으로 배치 방해</t>
        </is>
      </c>
      <c r="L17" s="9" t="inlineStr">
        <is>
          <t>소환(고급)</t>
        </is>
      </c>
    </row>
    <row r="18">
      <c r="A18" s="8" t="inlineStr">
        <is>
          <t>석궁병 🏹</t>
        </is>
      </c>
      <c r="B18" s="8" t="inlineStr">
        <is>
          <t>고급</t>
        </is>
      </c>
      <c r="C18" s="8" t="inlineStr">
        <is>
          <t>사수</t>
        </is>
      </c>
      <c r="D18" s="8" t="n">
        <v>22</v>
      </c>
      <c r="E18" s="8" t="n">
        <v>6</v>
      </c>
      <c r="F18" s="8" t="n">
        <v>85</v>
      </c>
      <c r="G18" s="8" t="inlineStr">
        <is>
          <t>관통 — 3배 일직선 관통, CD 5초. Lv5: 3.5배, Lv10: 방어 무시 50%</t>
        </is>
      </c>
      <c r="H18" s="8" t="inlineStr">
        <is>
          <t>없음</t>
        </is>
      </c>
      <c r="I18" s="8" t="inlineStr">
        <is>
          <t>각성1: 강철 석궁 / 각성2: 기계식 연노</t>
        </is>
      </c>
      <c r="J18" s="8" t="inlineStr">
        <is>
          <t>공성전 전문 석궁사. 성벽 위에서 쏘는 볼트는 갑옷을 뚫는다.</t>
        </is>
      </c>
      <c r="K18" s="8" t="inlineStr">
        <is>
          <t>저격형 — 공성전 방어 최적</t>
        </is>
      </c>
      <c r="L18" s="8" t="inlineStr">
        <is>
          <t>소환(고급)</t>
        </is>
      </c>
    </row>
    <row r="19">
      <c r="A19" s="9" t="inlineStr">
        <is>
          <t>주술사 🪬</t>
        </is>
      </c>
      <c r="B19" s="9" t="inlineStr">
        <is>
          <t>고급</t>
        </is>
      </c>
      <c r="C19" s="9" t="inlineStr">
        <is>
          <t>마법</t>
        </is>
      </c>
      <c r="D19" s="9" t="n">
        <v>18</v>
      </c>
      <c r="E19" s="9" t="n">
        <v>5</v>
      </c>
      <c r="F19" s="9" t="n">
        <v>80</v>
      </c>
      <c r="G19" s="9" t="inlineStr">
        <is>
          <t>저주 — 적 DEF-30%, 8초, CD 12초. Lv5: -40%, Lv10: ATK도 -15%</t>
        </is>
      </c>
      <c r="H19" s="9" t="inlineStr">
        <is>
          <t>없음</t>
        </is>
      </c>
      <c r="I19" s="9" t="inlineStr">
        <is>
          <t>각성1: 보라 연기 / 각성2: 해골 지팡이</t>
        </is>
      </c>
      <c r="J19" s="9" t="inlineStr">
        <is>
          <t>늪지대의 주술사. 저주로 적의 힘을 빼앗는 음험한 마법사.</t>
        </is>
      </c>
      <c r="K19" s="9" t="inlineStr">
        <is>
          <t>지원형 — 디버프 특화</t>
        </is>
      </c>
      <c r="L19" s="9" t="inlineStr">
        <is>
          <t>소환(고급)</t>
        </is>
      </c>
    </row>
    <row r="20">
      <c r="A20" s="8" t="inlineStr">
        <is>
          <t>무희 💃</t>
        </is>
      </c>
      <c r="B20" s="8" t="inlineStr">
        <is>
          <t>고급</t>
        </is>
      </c>
      <c r="C20" s="8" t="inlineStr">
        <is>
          <t>치유</t>
        </is>
      </c>
      <c r="D20" s="8" t="n">
        <v>8</v>
      </c>
      <c r="E20" s="8" t="n">
        <v>6</v>
      </c>
      <c r="F20" s="8" t="n">
        <v>90</v>
      </c>
      <c r="G20" s="8" t="inlineStr">
        <is>
          <t>춤 — 아군 전체 SPD+20%, 15초, CD 20초. Lv5: +25%, Lv10: 회피+10%추가</t>
        </is>
      </c>
      <c r="H20" s="8" t="inlineStr">
        <is>
          <t>없음</t>
        </is>
      </c>
      <c r="I20" s="8" t="inlineStr">
        <is>
          <t>각성1: 황금 의상 / 각성2: 바람의 춤사위</t>
        </is>
      </c>
      <c r="J20" s="8" t="inlineStr">
        <is>
          <t>사막 출신의 춤꾼. 그녀의 춤은 아군의 발을 가볍게 만든다.</t>
        </is>
      </c>
      <c r="K20" s="8" t="inlineStr">
        <is>
          <t>지원형 — 속도 버프</t>
        </is>
      </c>
      <c r="L20" s="8" t="inlineStr">
        <is>
          <t>소환(고급)</t>
        </is>
      </c>
    </row>
    <row r="21">
      <c r="A21" s="9" t="inlineStr">
        <is>
          <t>해적 🏴‍☠️</t>
        </is>
      </c>
      <c r="B21" s="9" t="inlineStr">
        <is>
          <t>고급</t>
        </is>
      </c>
      <c r="C21" s="9" t="inlineStr">
        <is>
          <t>암살</t>
        </is>
      </c>
      <c r="D21" s="9" t="n">
        <v>19</v>
      </c>
      <c r="E21" s="9" t="n">
        <v>7</v>
      </c>
      <c r="F21" s="9" t="n">
        <v>110</v>
      </c>
      <c r="G21" s="9" t="inlineStr">
        <is>
          <t>약탈 — 2배+킬 시 골드30, CD 4초. Lv5: 2.5배+50G, Lv10: 장비드롭+3%</t>
        </is>
      </c>
      <c r="H21" s="9" t="inlineStr">
        <is>
          <t>없음</t>
        </is>
      </c>
      <c r="I21" s="9" t="inlineStr">
        <is>
          <t>각성1: 붉은 두건 / 각성2: 해적왕 코트</t>
        </is>
      </c>
      <c r="J21" s="9" t="inlineStr">
        <is>
          <t>동쪽 항구 출신의 해적. 약탈의 본능이 전투에서도 발휘된다.</t>
        </is>
      </c>
      <c r="K21" s="9" t="inlineStr">
        <is>
          <t>매복형 — 골드 + 전투 겸용</t>
        </is>
      </c>
      <c r="L21" s="9" t="inlineStr">
        <is>
          <t>소환(고급), 해상 무역</t>
        </is>
      </c>
    </row>
    <row r="22">
      <c r="A22" s="8" t="inlineStr">
        <is>
          <t>성전사 ⛪</t>
        </is>
      </c>
      <c r="B22" s="8" t="inlineStr">
        <is>
          <t>고급</t>
        </is>
      </c>
      <c r="C22" s="8" t="inlineStr">
        <is>
          <t>전사</t>
        </is>
      </c>
      <c r="D22" s="8" t="n">
        <v>16</v>
      </c>
      <c r="E22" s="8" t="n">
        <v>15</v>
      </c>
      <c r="F22" s="8" t="n">
        <v>170</v>
      </c>
      <c r="G22" s="8" t="inlineStr">
        <is>
          <t>성스러운 일격 — 2.2배+자힐 20, CD 5초. Lv5: 2.5배+자힐 35, Lv10: 언데드 3배</t>
        </is>
      </c>
      <c r="H22" s="8" t="inlineStr">
        <is>
          <t>없음 (성기사 합성 재료)</t>
        </is>
      </c>
      <c r="I22" s="8" t="inlineStr">
        <is>
          <t>각성1: 은빛 갑옷 / 각성2: 빛의 방패</t>
        </is>
      </c>
      <c r="J22" s="8" t="inlineStr">
        <is>
          <t>신전 수호 기사단. 치유와 전투를 동시에 수행하는 만능 전사.</t>
        </is>
      </c>
      <c r="K22" s="8" t="inlineStr">
        <is>
          <t>수비형 — 자힐 탱커</t>
        </is>
      </c>
      <c r="L22" s="8" t="inlineStr">
        <is>
          <t>소환(고급)</t>
        </is>
      </c>
    </row>
  </sheetData>
  <mergeCells count="1">
    <mergeCell ref="A1:L1"/>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2" customWidth="1" min="1" max="1"/>
    <col width="4" customWidth="1" min="2" max="2"/>
    <col width="4" customWidth="1" min="3" max="3"/>
    <col width="4" customWidth="1" min="4" max="4"/>
    <col width="28" customWidth="1" min="5" max="5"/>
    <col width="22" customWidth="1" min="6" max="6"/>
    <col width="20" customWidth="1" min="7" max="7"/>
    <col width="30" customWidth="1" min="8" max="8"/>
    <col width="16" customWidth="1" min="9" max="9"/>
    <col width="14" customWidth="1" min="10" max="10"/>
  </cols>
  <sheetData>
    <row r="1">
      <c r="A1" s="6" t="inlineStr">
        <is>
          <t>용병 상세 — 희귀 (14종)</t>
        </is>
      </c>
    </row>
    <row r="3">
      <c r="A3" s="7" t="inlineStr">
        <is>
          <t>이름</t>
        </is>
      </c>
      <c r="B3" s="7" t="inlineStr">
        <is>
          <t>ATK</t>
        </is>
      </c>
      <c r="C3" s="7" t="inlineStr">
        <is>
          <t>DEF</t>
        </is>
      </c>
      <c r="D3" s="7" t="inlineStr">
        <is>
          <t>HP</t>
        </is>
      </c>
      <c r="E3" s="7" t="inlineStr">
        <is>
          <t>스킬 상세</t>
        </is>
      </c>
      <c r="F3" s="7" t="inlineStr">
        <is>
          <t>진화 경로</t>
        </is>
      </c>
      <c r="G3" s="7" t="inlineStr">
        <is>
          <t>각성 외형</t>
        </is>
      </c>
      <c r="H3" s="7" t="inlineStr">
        <is>
          <t>스토리</t>
        </is>
      </c>
      <c r="I3" s="7" t="inlineStr">
        <is>
          <t>추천 전술</t>
        </is>
      </c>
      <c r="J3" s="7" t="inlineStr">
        <is>
          <t>획득</t>
        </is>
      </c>
    </row>
    <row r="4">
      <c r="A4" s="8" t="inlineStr">
        <is>
          <t>성기사 ✝️</t>
        </is>
      </c>
      <c r="B4" s="8" t="n">
        <v>25</v>
      </c>
      <c r="C4" s="8" t="n">
        <v>22</v>
      </c>
      <c r="D4" s="8" t="n">
        <v>250</v>
      </c>
      <c r="E4" s="8" t="inlineStr">
        <is>
          <t>성스러운 참격 — 3배+자힐50, CD 6초. Lv5: 3.5배+자힐80, Lv10: 광역화</t>
        </is>
      </c>
      <c r="F4" s="8" t="inlineStr">
        <is>
          <t>기사+사제 합성 → 성기사. 성기사+불사조깃털 → 불사조기사</t>
        </is>
      </c>
      <c r="G4" s="8" t="inlineStr">
        <is>
          <t>각성1: 황금 십자 갑옷 / 각성2: 천사 날개 갑옷 / 초월: 빛의 수호자</t>
        </is>
      </c>
      <c r="H4" s="8" t="inlineStr">
        <is>
          <t>왕국 최고의 기사이자 사제. 빛의 축복으로 적을 베는 동시에 아군을 치유한다. 한때 죽음의 기사와 같은 기사단 소속.</t>
        </is>
      </c>
      <c r="I4" s="8" t="inlineStr">
        <is>
          <t>수비형 — 왕좌 수호 최적</t>
        </is>
      </c>
      <c r="J4" s="8" t="inlineStr">
        <is>
          <t>합성(기사+사제)</t>
        </is>
      </c>
    </row>
    <row r="5">
      <c r="A5" s="9" t="inlineStr">
        <is>
          <t>암살자 🌙</t>
        </is>
      </c>
      <c r="B5" s="9" t="n">
        <v>30</v>
      </c>
      <c r="C5" s="9" t="n">
        <v>6</v>
      </c>
      <c r="D5" s="9" t="n">
        <v>90</v>
      </c>
      <c r="E5" s="9" t="inlineStr">
        <is>
          <t>확정크리 — 4배 확정 크리티컬, CD 8초. Lv5: 4.5배, Lv10: 은신 3초 추가</t>
        </is>
      </c>
      <c r="F5" s="9" t="inlineStr">
        <is>
          <t>없음 (그림자 군주 진화 재료)</t>
        </is>
      </c>
      <c r="G5" s="9" t="inlineStr">
        <is>
          <t>각성1: 검은 망토 / 각성2: 달빛 단검 이펙트</t>
        </is>
      </c>
      <c r="H5" s="9" t="inlineStr">
        <is>
          <t>밤에만 움직이는 그림자 암살자. 성기사의 라이벌 — 빛과 어둠의 숙명.</t>
        </is>
      </c>
      <c r="I5" s="9" t="inlineStr">
        <is>
          <t>매복형 — 원샷 킬 특화</t>
        </is>
      </c>
      <c r="J5" s="9" t="inlineStr">
        <is>
          <t>소환(희귀), IO 드롭</t>
        </is>
      </c>
    </row>
    <row r="6">
      <c r="A6" s="8" t="inlineStr">
        <is>
          <t>사제 💚</t>
        </is>
      </c>
      <c r="B6" s="8" t="n">
        <v>10</v>
      </c>
      <c r="C6" s="8" t="n">
        <v>12</v>
      </c>
      <c r="D6" s="8" t="n">
        <v>140</v>
      </c>
      <c r="E6" s="8" t="inlineStr">
        <is>
          <t>전체 치유 — 40 전체힐, CD 10초. Lv5: 60, Lv10: 재생(5/초×5초) 추가</t>
        </is>
      </c>
      <c r="F6" s="8" t="inlineStr">
        <is>
          <t>수습 사제 진화. 사제+기사 → 성기사 재료</t>
        </is>
      </c>
      <c r="G6" s="8" t="inlineStr">
        <is>
          <t>각성1: 흰 법의 / 각성2: 빛나는 후광</t>
        </is>
      </c>
      <c r="H6" s="8" t="inlineStr">
        <is>
          <t>수습 사제의 스승. 수십 년간 상처 입은 자들을 치유해 온 자비로운 치유사.</t>
        </is>
      </c>
      <c r="I6" s="8" t="inlineStr">
        <is>
          <t>지원형 — 핵심 힐러</t>
        </is>
      </c>
      <c r="J6" s="8" t="inlineStr">
        <is>
          <t>합성(수습 사제 진화)</t>
        </is>
      </c>
    </row>
    <row r="7">
      <c r="A7" s="9" t="inlineStr">
        <is>
          <t>흑마법사 ☠️</t>
        </is>
      </c>
      <c r="B7" s="9" t="n">
        <v>28</v>
      </c>
      <c r="C7" s="9" t="n">
        <v>5</v>
      </c>
      <c r="D7" s="9" t="n">
        <v>85</v>
      </c>
      <c r="E7" s="9" t="inlineStr">
        <is>
          <t>저주의 화살 — 2배+적ATK-20% 8초, CD 7초. Lv5: 2.5배+-30%, Lv10: 전체 디버프</t>
        </is>
      </c>
      <c r="F7" s="9" t="inlineStr">
        <is>
          <t>마법사×2 합성. 흑마+그림자→죽음의 기사</t>
        </is>
      </c>
      <c r="G7" s="9" t="inlineStr">
        <is>
          <t>각성1: 보라 로브 / 각성2: 해골 지팡이+검은 오라</t>
        </is>
      </c>
      <c r="H7" s="9" t="inlineStr">
        <is>
          <t>금지된 마법에 손을 댄 천재 마법사. 마법학원에서 추방당한 뒤 어둠의 힘에 눈떴다.</t>
        </is>
      </c>
      <c r="I7" s="9" t="inlineStr">
        <is>
          <t>저격형 — 디버프 딜러</t>
        </is>
      </c>
      <c r="J7" s="9" t="inlineStr">
        <is>
          <t>합성(마법사×2)</t>
        </is>
      </c>
    </row>
    <row r="8">
      <c r="A8" s="8" t="inlineStr">
        <is>
          <t>닌자 🥷</t>
        </is>
      </c>
      <c r="B8" s="8" t="n">
        <v>32</v>
      </c>
      <c r="C8" s="8" t="n">
        <v>5</v>
      </c>
      <c r="D8" s="8" t="n">
        <v>85</v>
      </c>
      <c r="E8" s="8" t="inlineStr">
        <is>
          <t>분신술 — 분신 2체(본체 50%스탯), CD 15초. Lv5: 3체, Lv10: 분신도 스킬 사용</t>
        </is>
      </c>
      <c r="F8" s="8" t="inlineStr">
        <is>
          <t>도둑+레인저 합성</t>
        </is>
      </c>
      <c r="G8" s="8" t="inlineStr">
        <is>
          <t>각성1: 붉은 스카프 / 각성2: 그림자 잔상 이펙트</t>
        </is>
      </c>
      <c r="H8" s="8" t="inlineStr">
        <is>
          <t>동방에서 온 그림자 전사. 분신술로 적을 교란하는 암살의 달인.</t>
        </is>
      </c>
      <c r="I8" s="8" t="inlineStr">
        <is>
          <t>매복형 — 분신 교란</t>
        </is>
      </c>
      <c r="J8" s="8" t="inlineStr">
        <is>
          <t>합성(도둑+레인저)</t>
        </is>
      </c>
    </row>
    <row r="9">
      <c r="A9" s="9" t="inlineStr">
        <is>
          <t>강령술사 💀</t>
        </is>
      </c>
      <c r="B9" s="9" t="n">
        <v>26</v>
      </c>
      <c r="C9" s="9" t="n">
        <v>7</v>
      </c>
      <c r="D9" s="9" t="n">
        <v>100</v>
      </c>
      <c r="E9" s="9" t="inlineStr">
        <is>
          <t>해골 소환 — 해골 4체(ATK 10), CD 20초. Lv5: 6체, Lv10: 해골 강화(ATK 18)</t>
        </is>
      </c>
      <c r="F9" s="9" t="inlineStr">
        <is>
          <t>없음 (죽음의 기사 합성 재료)</t>
        </is>
      </c>
      <c r="G9" s="9" t="inlineStr">
        <is>
          <t>각성1: 해골 왕관 / 각성2: 유령 군단 오라</t>
        </is>
      </c>
      <c r="H9" s="9" t="inlineStr">
        <is>
          <t>죽음에 매료된 마법사. 망자의 뼈로 군대를 만들어 전장을 뒤덮는다.</t>
        </is>
      </c>
      <c r="I9" s="9" t="inlineStr">
        <is>
          <t>돌격형 — 소환수 물량전</t>
        </is>
      </c>
      <c r="J9" s="9" t="inlineStr">
        <is>
          <t>소환(희귀)</t>
        </is>
      </c>
    </row>
    <row r="10">
      <c r="A10" s="8" t="inlineStr">
        <is>
          <t>발키리 🦢</t>
        </is>
      </c>
      <c r="B10" s="8" t="n">
        <v>28</v>
      </c>
      <c r="C10" s="8" t="n">
        <v>16</v>
      </c>
      <c r="D10" s="8" t="n">
        <v>180</v>
      </c>
      <c r="E10" s="8" t="inlineStr">
        <is>
          <t>관통 참격 — 3.5배 2체 관통, CD 6초. Lv5: 4배 3체, Lv10: 적 처치 시 ATK+10% 누적</t>
        </is>
      </c>
      <c r="F10" s="8" t="inlineStr">
        <is>
          <t>기사+사제+궁수 합성</t>
        </is>
      </c>
      <c r="G10" s="8" t="inlineStr">
        <is>
          <t>각성1: 은빛 날개 투구 / 각성2: 빛나는 창+백조 날개</t>
        </is>
      </c>
      <c r="H10" s="8" t="inlineStr">
        <is>
          <t>북방 전사 부족의 여전사. 창 하나로 적진을 가르는 전쟁의 발키리.</t>
        </is>
      </c>
      <c r="I10" s="8" t="inlineStr">
        <is>
          <t>돌격형 — 관통 라인 클리어</t>
        </is>
      </c>
      <c r="J10" s="8" t="inlineStr">
        <is>
          <t>합성(기사+사제+궁수)</t>
        </is>
      </c>
    </row>
    <row r="11">
      <c r="A11" s="9" t="inlineStr">
        <is>
          <t>사무라이 ⚔️</t>
        </is>
      </c>
      <c r="B11" s="9" t="n">
        <v>30</v>
      </c>
      <c r="C11" s="9" t="n">
        <v>14</v>
      </c>
      <c r="D11" s="9" t="n">
        <v>190</v>
      </c>
      <c r="E11" s="9" t="inlineStr">
        <is>
          <t>일섬 — 확정크리 4.5배, CD 9초. Lv5: 5배, Lv10: 킬 시 CD 리셋</t>
        </is>
      </c>
      <c r="F11" s="9" t="inlineStr">
        <is>
          <t>없음</t>
        </is>
      </c>
      <c r="G11" s="9" t="inlineStr">
        <is>
          <t>각성1: 검은 카타나 / 각성2: 벚꽃 이펙트</t>
        </is>
      </c>
      <c r="H11" s="9" t="inlineStr">
        <is>
          <t>동방 검객. 단 한 번의 베기에 모든 것을 건다. 일섬에 이기면 CD가 초기화되는 쾌감!</t>
        </is>
      </c>
      <c r="I11" s="9" t="inlineStr">
        <is>
          <t>매복형 — 원킬 리셋 특화</t>
        </is>
      </c>
      <c r="J11" s="9" t="inlineStr">
        <is>
          <t>소환(희귀)</t>
        </is>
      </c>
    </row>
    <row r="12">
      <c r="A12" s="8" t="inlineStr">
        <is>
          <t>저격수 🎯</t>
        </is>
      </c>
      <c r="B12" s="8" t="n">
        <v>35</v>
      </c>
      <c r="C12" s="8" t="n">
        <v>3</v>
      </c>
      <c r="D12" s="8" t="n">
        <v>70</v>
      </c>
      <c r="E12" s="8" t="inlineStr">
        <is>
          <t>헤드샷 — 6배! 단일, CD 12초. Lv5: 7배, Lv10: HP50%↓ 적에게 10배</t>
        </is>
      </c>
      <c r="F12" s="8" t="inlineStr">
        <is>
          <t>궁수 진급 경로 또는 소환</t>
        </is>
      </c>
      <c r="G12" s="8" t="inlineStr">
        <is>
          <t>각성1: 스코프 달린 석궁 / 각성2: 매의 눈 이펙트</t>
        </is>
      </c>
      <c r="H12" s="8" t="inlineStr">
        <is>
          <t>전설의 명사수. 1km 밖의 동전을 맞추는 정확도. 약한 적을 즉사시키는 10배 스킬!</t>
        </is>
      </c>
      <c r="I12" s="8" t="inlineStr">
        <is>
          <t>저격형 — 핵심 적 제거</t>
        </is>
      </c>
      <c r="J12" s="8" t="inlineStr">
        <is>
          <t>소환(희귀), 진급</t>
        </is>
      </c>
    </row>
    <row r="13">
      <c r="A13" s="9" t="inlineStr">
        <is>
          <t>드루이드 🌿</t>
        </is>
      </c>
      <c r="B13" s="9" t="n">
        <v>14</v>
      </c>
      <c r="C13" s="9" t="n">
        <v>10</v>
      </c>
      <c r="D13" s="9" t="n">
        <v>150</v>
      </c>
      <c r="E13" s="9" t="inlineStr">
        <is>
          <t>자연의 축복 — 전체 50힐+재생(3/초×10초), CD 12초. Lv5: 70+4/초, Lv10: 해독 추가</t>
        </is>
      </c>
      <c r="F13" s="9" t="inlineStr">
        <is>
          <t>없음 (세계수 정령 합성 재료)</t>
        </is>
      </c>
      <c r="G13" s="9" t="inlineStr">
        <is>
          <t>각성1: 녹색 오라 / 각성2: 꽃과 나비 이펙트</t>
        </is>
      </c>
      <c r="H13" s="9" t="inlineStr">
        <is>
          <t>세계수의 가르침을 받은 자연 마법사. 치유뿐 아니라 독과 저주도 해제한다.</t>
        </is>
      </c>
      <c r="I13" s="9" t="inlineStr">
        <is>
          <t>지원형 — 지속 힐+해독</t>
        </is>
      </c>
      <c r="J13" s="9" t="inlineStr">
        <is>
          <t>소환(희귀)</t>
        </is>
      </c>
    </row>
    <row r="14">
      <c r="A14" s="8" t="inlineStr">
        <is>
          <t>화염술사 🔥</t>
        </is>
      </c>
      <c r="B14" s="8" t="n">
        <v>32</v>
      </c>
      <c r="C14" s="8" t="n">
        <v>4</v>
      </c>
      <c r="D14" s="8" t="n">
        <v>75</v>
      </c>
      <c r="E14" s="8" t="inlineStr">
        <is>
          <t>화염 폭풍 — 광역 3.5배+화상(6/초×4초), CD 8초. Lv5: 4배+8/초, Lv10: 범위 2배</t>
        </is>
      </c>
      <c r="F14" s="8" t="inlineStr">
        <is>
          <t>없음 (불사조 기사 합성 재료)</t>
        </is>
      </c>
      <c r="G14" s="8" t="inlineStr">
        <is>
          <t>각성1: 화염 문신 / 각성2: 용암 갑옷</t>
        </is>
      </c>
      <c r="H14" s="8" t="inlineStr">
        <is>
          <t>화산 마을 출신의 화염 마법사. 분노를 불꽃으로 바꾸는 파괴의 화신.</t>
        </is>
      </c>
      <c r="I14" s="8" t="inlineStr">
        <is>
          <t>저격형 — 광역 DoT</t>
        </is>
      </c>
      <c r="J14" s="8" t="inlineStr">
        <is>
          <t>소환(희귀)</t>
        </is>
      </c>
    </row>
    <row r="15">
      <c r="A15" s="9" t="inlineStr">
        <is>
          <t>연금술사 ⚗️</t>
        </is>
      </c>
      <c r="B15" s="9" t="n">
        <v>16</v>
      </c>
      <c r="C15" s="9" t="n">
        <v>8</v>
      </c>
      <c r="D15" s="9" t="n">
        <v>110</v>
      </c>
      <c r="E15" s="9" t="inlineStr">
        <is>
          <t>연금술 — 전체힐 30+아군ATK+10% 10초, CD 15초. Lv5: 40+15%, Lv10: DEF+10%추가</t>
        </is>
      </c>
      <c r="F15" s="9" t="inlineStr">
        <is>
          <t>없음</t>
        </is>
      </c>
      <c r="G15" s="9" t="inlineStr">
        <is>
          <t>각성1: 빛나는 약병 / 각성2: 금빛 증기 오라</t>
        </is>
      </c>
      <c r="H15" s="9" t="inlineStr">
        <is>
          <t>만능 연금술사. 치유와 강화를 동시에! 아군 전체 버프가 매력적.</t>
        </is>
      </c>
      <c r="I15" s="9" t="inlineStr">
        <is>
          <t>지원형 — 힐+버프 동시</t>
        </is>
      </c>
      <c r="J15" s="9" t="inlineStr">
        <is>
          <t>소환(희귀)</t>
        </is>
      </c>
    </row>
    <row r="16">
      <c r="A16" s="8" t="inlineStr">
        <is>
          <t>맹수 조련사 🦁</t>
        </is>
      </c>
      <c r="B16" s="8" t="n">
        <v>27</v>
      </c>
      <c r="C16" s="8" t="n">
        <v>10</v>
      </c>
      <c r="D16" s="8" t="n">
        <v>160</v>
      </c>
      <c r="E16" s="8" t="inlineStr">
        <is>
          <t>야수 소환 — 맹수 3체(ATK 12)+1.5배 공격, CD 18초. Lv5: 4체, Lv10: 맹수 진화(사자)</t>
        </is>
      </c>
      <c r="F16" s="8" t="inlineStr">
        <is>
          <t>없음 (늑대왕 교배 재료)</t>
        </is>
      </c>
      <c r="G16" s="8" t="inlineStr">
        <is>
          <t>각성1: 사자 갈기 투구 / 각성2: 호랑이 동행</t>
        </is>
      </c>
      <c r="H16" s="8" t="inlineStr">
        <is>
          <t>밀림에서 맹수와 함께 자란 야생아. 소환된 맹수가 점점 강해지는 성장형 스킬.</t>
        </is>
      </c>
      <c r="I16" s="8" t="inlineStr">
        <is>
          <t>돌격형 — 소환수+본체</t>
        </is>
      </c>
      <c r="J16" s="8" t="inlineStr">
        <is>
          <t>소환(희귀), 포획 이벤트</t>
        </is>
      </c>
    </row>
  </sheetData>
  <mergeCells count="1">
    <mergeCell ref="A1:J1"/>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12" customWidth="1" min="1" max="1"/>
    <col width="4" customWidth="1" min="2" max="2"/>
    <col width="4" customWidth="1" min="3" max="3"/>
    <col width="4" customWidth="1" min="4" max="4"/>
    <col width="28" customWidth="1" min="5" max="5"/>
    <col width="20" customWidth="1" min="6" max="6"/>
    <col width="24" customWidth="1" min="7" max="7"/>
    <col width="32" customWidth="1" min="8" max="8"/>
    <col width="20" customWidth="1" min="9" max="9"/>
    <col width="12" customWidth="1" min="10" max="10"/>
  </cols>
  <sheetData>
    <row r="1">
      <c r="A1" s="6" t="inlineStr">
        <is>
          <t>용병 상세 — 영웅 (12종)</t>
        </is>
      </c>
    </row>
    <row r="3">
      <c r="A3" s="7" t="inlineStr">
        <is>
          <t>이름</t>
        </is>
      </c>
      <c r="B3" s="7" t="inlineStr">
        <is>
          <t>ATK</t>
        </is>
      </c>
      <c r="C3" s="7" t="inlineStr">
        <is>
          <t>DEF</t>
        </is>
      </c>
      <c r="D3" s="7" t="inlineStr">
        <is>
          <t>HP</t>
        </is>
      </c>
      <c r="E3" s="7" t="inlineStr">
        <is>
          <t>스킬 상세</t>
        </is>
      </c>
      <c r="F3" s="7" t="inlineStr">
        <is>
          <t>진화/합성</t>
        </is>
      </c>
      <c r="G3" s="7" t="inlineStr">
        <is>
          <t>초월 궁극기</t>
        </is>
      </c>
      <c r="H3" s="7" t="inlineStr">
        <is>
          <t>스토리</t>
        </is>
      </c>
      <c r="I3" s="7" t="inlineStr">
        <is>
          <t>시너지</t>
        </is>
      </c>
      <c r="J3" s="7" t="inlineStr">
        <is>
          <t>획득</t>
        </is>
      </c>
    </row>
    <row r="4">
      <c r="A4" s="8" t="inlineStr">
        <is>
          <t>드래곤나이트 🐲</t>
        </is>
      </c>
      <c r="B4" s="8" t="n">
        <v>40</v>
      </c>
      <c r="C4" s="8" t="n">
        <v>30</v>
      </c>
      <c r="D4" s="8" t="n">
        <v>400</v>
      </c>
      <c r="E4" s="8" t="inlineStr">
        <is>
          <t>드래곤 브레스 — 광역 5배, CD 10초. Lv5: 6배, Lv10: 화상+넉백</t>
        </is>
      </c>
      <c r="F4" s="8" t="inlineStr">
        <is>
          <t>기사+성기사+용알 합성</t>
        </is>
      </c>
      <c r="G4" s="8" t="inlineStr">
        <is>
          <t>천상의 불꽃 — 전체 20배+5초 화상 (HP30%↓ 시)</t>
        </is>
      </c>
      <c r="H4" s="8" t="inlineStr">
        <is>
          <t>용알에서 태어난 아기 드래곤과 함께 자란 고아 소년. 용과 영혼이 연결되어 브레스를 쓸 수 있게 되었다. 세라핌과는 서로를 존중하는 전우.</t>
        </is>
      </c>
      <c r="I4" s="8" t="inlineStr">
        <is>
          <t>용의 기사단(+기사+성기사): HP+20%</t>
        </is>
      </c>
      <c r="J4" s="8" t="inlineStr">
        <is>
          <t>합성(핵심 경로)</t>
        </is>
      </c>
    </row>
    <row r="5">
      <c r="A5" s="9" t="inlineStr">
        <is>
          <t>대마법사 🌟</t>
        </is>
      </c>
      <c r="B5" s="9" t="n">
        <v>45</v>
      </c>
      <c r="C5" s="9" t="n">
        <v>8</v>
      </c>
      <c r="D5" s="9" t="n">
        <v>150</v>
      </c>
      <c r="E5" s="9" t="inlineStr">
        <is>
          <t>메테오 — 6배 대범위, CD 12초. Lv5: 7배, Lv10: 착탄 시 2초 스턴</t>
        </is>
      </c>
      <c r="F5" s="9" t="inlineStr">
        <is>
          <t>마법사 Lv50 진급 또는 합성</t>
        </is>
      </c>
      <c r="G5" s="9" t="inlineStr">
        <is>
          <t>시공 대붕괴(시간마법사와 합체) — 12초 정지+매초 5배</t>
        </is>
      </c>
      <c r="H5" s="9" t="inlineStr">
        <is>
          <t>마법학원 역대 최강 졸업생. 하늘에서 별을 떨어뜨리는 궁극의 마법사. 시간 마법사와는 마법의 근원을 놓고 논쟁하는 학술 라이벌.</t>
        </is>
      </c>
      <c r="I5" s="9" t="inlineStr">
        <is>
          <t>마법 공명(마법 2/4명): 스킬DMG+25/CD-40%</t>
        </is>
      </c>
      <c r="J5" s="9" t="inlineStr">
        <is>
          <t>진급(마법사Lv50) or 합성</t>
        </is>
      </c>
    </row>
    <row r="6">
      <c r="A6" s="8" t="inlineStr">
        <is>
          <t>그림자 군주 🌑</t>
        </is>
      </c>
      <c r="B6" s="8" t="n">
        <v>42</v>
      </c>
      <c r="C6" s="8" t="n">
        <v>15</v>
      </c>
      <c r="D6" s="8" t="n">
        <v>200</v>
      </c>
      <c r="E6" s="8" t="inlineStr">
        <is>
          <t>그림자 분신 — 분신 2체(본체 70%), CD 15초. Lv5: 3체, Lv10: 분신 폭발(사망시 2배)</t>
        </is>
      </c>
      <c r="F6" s="8" t="inlineStr">
        <is>
          <t>흑마+닌자 합성 or 닌자 각성</t>
        </is>
      </c>
      <c r="G6" s="8" t="inlineStr">
        <is>
          <t>만검의 그림자(검성과 합체) — 전체 10연참×2배</t>
        </is>
      </c>
      <c r="H6" s="8" t="inlineStr">
        <is>
          <t>어둠 속에서 태어난 그림자 그 자체. 닌자의 분신술을 극한까지 진화시킨 어둠의 지배자. 분신이 죽을 때 폭발하는 점이 핵심.</t>
        </is>
      </c>
      <c r="I6" s="8" t="inlineStr">
        <is>
          <t>그림자 결사(암살 2/4명): 첫타2배, 킬시은신</t>
        </is>
      </c>
      <c r="J6" s="8" t="inlineStr">
        <is>
          <t>합성(흑마+닌자)</t>
        </is>
      </c>
    </row>
    <row r="7">
      <c r="A7" s="9" t="inlineStr">
        <is>
          <t>불사조 기사 🔥</t>
        </is>
      </c>
      <c r="B7" s="9" t="n">
        <v>38</v>
      </c>
      <c r="C7" s="9" t="n">
        <v>20</v>
      </c>
      <c r="D7" s="9" t="n">
        <v>350</v>
      </c>
      <c r="E7" s="9" t="inlineStr">
        <is>
          <t>불사조의 날개 — 사망 시 HP 50% 부활(1회), 패시브. 스킬: 화염 돌진 3배</t>
        </is>
      </c>
      <c r="F7" s="9" t="inlineStr">
        <is>
          <t>성기사+불사조 깃털 합성</t>
        </is>
      </c>
      <c r="G7" s="9" t="inlineStr">
        <is>
          <t>절대영도vs불꽃(서리여왕 합체) — 전체15배+빙결+화상</t>
        </is>
      </c>
      <c r="H7" s="9" t="inlineStr">
        <is>
          <t>한 번 죽고 다시 태어난 기사. 불사조의 피를 이어받아 죽음을 초월했다. 서리 여왕과는 원소 대립 관계지만 서로를 인정하는 사이.</t>
        </is>
      </c>
      <c r="I7" s="9" t="inlineStr">
        <is>
          <t>불꽃 삼형제(화염술사+광전사): 화염DMG+50%</t>
        </is>
      </c>
      <c r="J7" s="9" t="inlineStr">
        <is>
          <t>합성(성기사+불사조깃털)</t>
        </is>
      </c>
    </row>
    <row r="8">
      <c r="A8" s="8" t="inlineStr">
        <is>
          <t>서리 여왕 ❄️</t>
        </is>
      </c>
      <c r="B8" s="8" t="n">
        <v>44</v>
      </c>
      <c r="C8" s="8" t="n">
        <v>12</v>
      </c>
      <c r="D8" s="8" t="n">
        <v>180</v>
      </c>
      <c r="E8" s="8" t="inlineStr">
        <is>
          <t>절대 영도 — 전체 빙결+5.5배, CD 15초. Lv5: 6배+4초빙결, Lv10: 빙결 중 추가 2배</t>
        </is>
      </c>
      <c r="F8" s="8" t="inlineStr">
        <is>
          <t>마법사×2+흑마 합성</t>
        </is>
      </c>
      <c r="G8" s="8" t="inlineStr">
        <is>
          <t>절대영도vs불꽃(불사조기사 합체) — 전체15배+빙결+화상</t>
        </is>
      </c>
      <c r="H8" s="8" t="inlineStr">
        <is>
          <t>북방 빙하의 여왕. 감정을 잃은 대가로 절대 영도의 힘을 얻었다. 불사조 기사와의 조합이 최강의 원소 융합을 만들어낸다.</t>
        </is>
      </c>
      <c r="I8" s="8" t="inlineStr">
        <is>
          <t>원소 대립(불사조): 둘 다 스킬DMG+25%</t>
        </is>
      </c>
      <c r="J8" s="8" t="inlineStr">
        <is>
          <t>합성(마법사×2+흑마)</t>
        </is>
      </c>
    </row>
    <row r="9">
      <c r="A9" s="9" t="inlineStr">
        <is>
          <t>마왕 👿</t>
        </is>
      </c>
      <c r="B9" s="9" t="n">
        <v>48</v>
      </c>
      <c r="C9" s="9" t="n">
        <v>18</v>
      </c>
      <c r="D9" s="9" t="n">
        <v>280</v>
      </c>
      <c r="E9" s="9" t="inlineStr">
        <is>
          <t>암흑 폭발 — 광역 6배+암흑(시야-50%) 5초, CD 12초. Lv5: 7배, Lv10: 공포(도주확률)</t>
        </is>
      </c>
      <c r="F9" s="9" t="inlineStr">
        <is>
          <t>소환 전용 (영웅 가챠)</t>
        </is>
      </c>
      <c r="G9" s="9" t="inlineStr">
        <is>
          <t>종말의 용(바하무트 합체) — 전체 20배+매초 3배</t>
        </is>
      </c>
      <c r="H9" s="9" t="inlineStr">
        <is>
          <t>3시대에 세계를 위협한 마왕의 잔영. 소환 카드에 봉인된 마왕의 힘을 빌려 쓴다. 실제 마왕은 심연의 탑 최하층에 잠들어 있다.</t>
        </is>
      </c>
      <c r="I9" s="9" t="inlineStr">
        <is>
          <t>어둠의 맹약(흑마+강령+죽기): 소환수+100%</t>
        </is>
      </c>
      <c r="J9" s="9" t="inlineStr">
        <is>
          <t>가챠 영웅 확정</t>
        </is>
      </c>
    </row>
    <row r="10">
      <c r="A10" s="8" t="inlineStr">
        <is>
          <t>수호천사 😇</t>
        </is>
      </c>
      <c r="B10" s="8" t="n">
        <v>20</v>
      </c>
      <c r="C10" s="8" t="n">
        <v>25</v>
      </c>
      <c r="D10" s="8" t="n">
        <v>320</v>
      </c>
      <c r="E10" s="8" t="inlineStr">
        <is>
          <t>천사의 가호 — 전체 80힐+보호막(HP20%), CD 15초. Lv5: 100+25%, Lv10: 디버프 해제</t>
        </is>
      </c>
      <c r="F10" s="8" t="inlineStr">
        <is>
          <t>소환 전용</t>
        </is>
      </c>
      <c r="G10" s="8" t="inlineStr">
        <is>
          <t>생사의 균형(죽기+세라핌 합체 지원)</t>
        </is>
      </c>
      <c r="H10" s="8" t="inlineStr">
        <is>
          <t>세라핌의 제자. 아직 날개가 온전하지 않지만 아군을 지키는 마음만은 스승을 능가한다.</t>
        </is>
      </c>
      <c r="I10" s="8" t="inlineStr">
        <is>
          <t>천상의 빛(세라핌+천기): 전원 부활 2회</t>
        </is>
      </c>
      <c r="J10" s="8" t="inlineStr">
        <is>
          <t>가챠 영웅</t>
        </is>
      </c>
    </row>
    <row r="11">
      <c r="A11" s="9" t="inlineStr">
        <is>
          <t>검성 🗡️</t>
        </is>
      </c>
      <c r="B11" s="9" t="n">
        <v>46</v>
      </c>
      <c r="C11" s="9" t="n">
        <v>16</v>
      </c>
      <c r="D11" s="9" t="n">
        <v>260</v>
      </c>
      <c r="E11" s="9" t="inlineStr">
        <is>
          <t>5연참 — 3배×5회 각각 독립 크리판정, CD 10초. Lv5: 3.5배×5, Lv10: 7연참</t>
        </is>
      </c>
      <c r="F11" s="9" t="inlineStr">
        <is>
          <t>소환 전용</t>
        </is>
      </c>
      <c r="G11" s="9" t="inlineStr">
        <is>
          <t>만검의 그림자(그림자 군주 합체) — 10연참×2배</t>
        </is>
      </c>
      <c r="H11" s="9" t="inlineStr">
        <is>
          <t>검 하나로 세계를 평정하겠다는 검객. 5연참의 각각이 크리티컬 판정이라 운에 따라 엄청난 폭발 딜이 가능.</t>
        </is>
      </c>
      <c r="I11" s="9" t="inlineStr">
        <is>
          <t>시공의 문(시간마법사): 스킬CD-25%</t>
        </is>
      </c>
      <c r="J11" s="9" t="inlineStr">
        <is>
          <t>가챠 영웅</t>
        </is>
      </c>
    </row>
    <row r="12">
      <c r="A12" s="8" t="inlineStr">
        <is>
          <t>구미호 🦊</t>
        </is>
      </c>
      <c r="B12" s="8" t="n">
        <v>43</v>
      </c>
      <c r="C12" s="8" t="n">
        <v>12</v>
      </c>
      <c r="D12" s="8" t="n">
        <v>190</v>
      </c>
      <c r="E12" s="8" t="inlineStr">
        <is>
          <t>매혹 — 적 1체 3초 아군화+4배, CD 12초. Lv5: 5초+5배, Lv10: 2체 동시</t>
        </is>
      </c>
      <c r="F12" s="8" t="inlineStr">
        <is>
          <t>포획 몬스터 진화 (여우→구미호)</t>
        </is>
      </c>
      <c r="G12" s="8" t="inlineStr">
        <is>
          <t>(초월 미지원)</t>
        </is>
      </c>
      <c r="H12" s="8" t="inlineStr">
        <is>
          <t>천년 묵은 여우 요괴. 적을 매혹시켜 아군으로 만드는 위험한 매력의 소유자.</t>
        </is>
      </c>
      <c r="I12" s="8" t="inlineStr">
        <is>
          <t>숨겨진 인연: 검성과 편성 시 "요녀와 검객" 보너스</t>
        </is>
      </c>
      <c r="J12" s="8" t="inlineStr">
        <is>
          <t>포획 진화</t>
        </is>
      </c>
    </row>
    <row r="13">
      <c r="A13" s="9" t="inlineStr">
        <is>
          <t>해신 🌊</t>
        </is>
      </c>
      <c r="B13" s="9" t="n">
        <v>46</v>
      </c>
      <c r="C13" s="9" t="n">
        <v>15</v>
      </c>
      <c r="D13" s="9" t="n">
        <v>220</v>
      </c>
      <c r="E13" s="9" t="inlineStr">
        <is>
          <t>해일 — 광역 5배+3초 감속50%, CD 10초. Lv5: 6배, Lv10: 익사(수중맵 시 8배)</t>
        </is>
      </c>
      <c r="F13" s="9" t="inlineStr">
        <is>
          <t>해상 무역 이벤트 전용 획득</t>
        </is>
      </c>
      <c r="G13" s="9" t="inlineStr">
        <is>
          <t>(초월 미지원)</t>
        </is>
      </c>
      <c r="H13" s="9" t="inlineStr">
        <is>
          <t>바다를 지배하는 신의 하수인. 해상 무역 이벤트에서만 만날 수 있는 희귀한 용병.</t>
        </is>
      </c>
      <c r="I13" s="9" t="inlineStr">
        <is>
          <t>해신+해적: "해상 패권" ATK+15%</t>
        </is>
      </c>
      <c r="J13" s="9" t="inlineStr">
        <is>
          <t>해상 이벤트 한정</t>
        </is>
      </c>
    </row>
    <row r="14">
      <c r="A14" s="8" t="inlineStr">
        <is>
          <t>엘프 궁수 🏹</t>
        </is>
      </c>
      <c r="B14" s="8" t="n">
        <v>44</v>
      </c>
      <c r="C14" s="8" t="n">
        <v>10</v>
      </c>
      <c r="D14" s="8" t="n">
        <v>160</v>
      </c>
      <c r="E14" s="8" t="inlineStr">
        <is>
          <t>정밀 사격 — 5배 확정크리+관통 3체, CD 10초. Lv5: 6배+4체, Lv10: 사거리 무한</t>
        </is>
      </c>
      <c r="F14" s="8" t="inlineStr">
        <is>
          <t>비밀 합성(궁수×3+바람의 결정)</t>
        </is>
      </c>
      <c r="G14" s="8" t="inlineStr">
        <is>
          <t>(초월 미지원)</t>
        </is>
      </c>
      <c r="H14" s="8" t="inlineStr">
        <is>
          <t>세계수 숲에서 온 엘프. 인간의 눈에는 보이지 않는 바람길을 읽어 화살을 날린다.</t>
        </is>
      </c>
      <c r="I14" s="8" t="inlineStr">
        <is>
          <t>명사수 연합(사수 2/4명): 크리+20/40%</t>
        </is>
      </c>
      <c r="J14" s="8" t="inlineStr">
        <is>
          <t>비밀 합성</t>
        </is>
      </c>
    </row>
    <row r="15">
      <c r="A15" s="9" t="inlineStr">
        <is>
          <t>시간 마법사 ⏳</t>
        </is>
      </c>
      <c r="B15" s="9" t="n">
        <v>42</v>
      </c>
      <c r="C15" s="9" t="n">
        <v>10</v>
      </c>
      <c r="D15" s="9" t="n">
        <v>170</v>
      </c>
      <c r="E15" s="9" t="inlineStr">
        <is>
          <t>시간 정지 — 전체 4초 정지!, CD 20초. Lv5: 5초, Lv10: 정지 중 아군 ATK 2배</t>
        </is>
      </c>
      <c r="F15" s="9" t="inlineStr">
        <is>
          <t>소환 전용</t>
        </is>
      </c>
      <c r="G15" s="9" t="inlineStr">
        <is>
          <t>시공 대붕괴(대마법사 합체) — 12초 정지+매초 5배</t>
        </is>
      </c>
      <c r="H15" s="9" t="inlineStr">
        <is>
          <t>시간의 틈에서 돌아온 마법사. 4~5초간 전체 적을 정지시키는 최강의 CC기. 대마법사와 합체하면 12초 정지!</t>
        </is>
      </c>
      <c r="I15" s="9" t="inlineStr">
        <is>
          <t>시공의 문(대마법사): 스킬CD-25%</t>
        </is>
      </c>
      <c r="J15" s="9" t="inlineStr">
        <is>
          <t>가챠 영웅</t>
        </is>
      </c>
    </row>
  </sheetData>
  <mergeCells count="1">
    <mergeCell ref="A1:J1"/>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12" customWidth="1" min="1" max="1"/>
    <col width="6" customWidth="1" min="2" max="2"/>
    <col width="4" customWidth="1" min="3" max="3"/>
    <col width="4" customWidth="1" min="4" max="4"/>
    <col width="5" customWidth="1" min="5" max="5"/>
    <col width="28" customWidth="1" min="6" max="6"/>
    <col width="20" customWidth="1" min="7" max="7"/>
    <col width="26" customWidth="1" min="8" max="8"/>
    <col width="32" customWidth="1" min="9" max="9"/>
    <col width="22" customWidth="1" min="10" max="10"/>
  </cols>
  <sheetData>
    <row r="1">
      <c r="A1" s="6" t="inlineStr">
        <is>
          <t>용병 상세 — 전설 &amp; 신화 &amp; 초신화 (14종)</t>
        </is>
      </c>
    </row>
    <row r="3">
      <c r="A3" s="7" t="inlineStr">
        <is>
          <t>이름</t>
        </is>
      </c>
      <c r="B3" s="7" t="inlineStr">
        <is>
          <t>등급</t>
        </is>
      </c>
      <c r="C3" s="7" t="inlineStr">
        <is>
          <t>ATK</t>
        </is>
      </c>
      <c r="D3" s="7" t="inlineStr">
        <is>
          <t>DEF</t>
        </is>
      </c>
      <c r="E3" s="7" t="inlineStr">
        <is>
          <t>HP</t>
        </is>
      </c>
      <c r="F3" s="7" t="inlineStr">
        <is>
          <t>스킬 상세</t>
        </is>
      </c>
      <c r="G3" s="7" t="inlineStr">
        <is>
          <t>합성/획득</t>
        </is>
      </c>
      <c r="H3" s="7" t="inlineStr">
        <is>
          <t>초월 궁극기</t>
        </is>
      </c>
      <c r="I3" s="7" t="inlineStr">
        <is>
          <t>스토리</t>
        </is>
      </c>
      <c r="J3" s="7" t="inlineStr">
        <is>
          <t>특별 사항</t>
        </is>
      </c>
    </row>
    <row r="4">
      <c r="A4" s="8" t="inlineStr">
        <is>
          <t>죽음의 기사 💀</t>
        </is>
      </c>
      <c r="B4" s="8" t="inlineStr">
        <is>
          <t>전설</t>
        </is>
      </c>
      <c r="C4" s="8" t="n">
        <v>55</v>
      </c>
      <c r="D4" s="8" t="n">
        <v>35</v>
      </c>
      <c r="E4" s="8" t="n">
        <v>500</v>
      </c>
      <c r="F4" s="8" t="inlineStr">
        <is>
          <t>해골 군단 — 해골5체(ATK20)+3배 참격, CD 12초. Lv5: 7체+4배, Lv10: 해골 폭발</t>
        </is>
      </c>
      <c r="G4" s="8" t="inlineStr">
        <is>
          <t>흑마+그림자 군주 합성</t>
        </is>
      </c>
      <c r="H4" s="8" t="inlineStr">
        <is>
          <t>영혼 수확 — 적 전체 현HP50%+해골10체 (킬5회 시)</t>
        </is>
      </c>
      <c r="I4" s="8" t="inlineStr">
        <is>
          <t>3시대 마왕의 선봉장이었으나, 세라핌에 의해 저주의 진실을 깨달아 배신했다. 불멸의 저주로 영원히 죽지 못하는 비극의 기사. 세라핌과는 적이면서 유일한 이해자.</t>
        </is>
      </c>
      <c r="J4" s="8" t="inlineStr">
        <is>
          <t>세라핌과 인연: 사망시50%HP부활(무한)</t>
        </is>
      </c>
    </row>
    <row r="5">
      <c r="A5" s="9" t="inlineStr">
        <is>
          <t>세라핌 👼</t>
        </is>
      </c>
      <c r="B5" s="9" t="inlineStr">
        <is>
          <t>전설</t>
        </is>
      </c>
      <c r="C5" s="9" t="n">
        <v>35</v>
      </c>
      <c r="D5" s="9" t="n">
        <v>25</v>
      </c>
      <c r="E5" s="9" t="n">
        <v>400</v>
      </c>
      <c r="F5" s="9" t="inlineStr">
        <is>
          <t>신성 부활 — 아군 1체 HP100% 부활, CD 30초. Lv5: CD25초, Lv10: 2체 동시 부활</t>
        </is>
      </c>
      <c r="G5" s="9" t="inlineStr">
        <is>
          <t>가챠 전설 or 특수 퀘스트</t>
        </is>
      </c>
      <c r="H5" s="9" t="inlineStr">
        <is>
          <t>신의 축복 — 전원 부활+HP100%+무적3초 (아군2명 사망 시)</t>
        </is>
      </c>
      <c r="I5" s="9" t="inlineStr">
        <is>
          <t>1시대에 천상에서 강림한 대천사. 마왕을 봉인한 대가로 날개를 잃었다. 인간 세계에 남아 상처 입은 영혼들을 치유한다. 죽음의 기사에 대해 복잡한 감정을 품고 있다.</t>
        </is>
      </c>
      <c r="J5" s="9" t="inlineStr">
        <is>
          <t>드래곤나이트와 합체: 천상의 용기사</t>
        </is>
      </c>
    </row>
    <row r="6">
      <c r="A6" s="8" t="inlineStr">
        <is>
          <t>천상의 기사 ✨</t>
        </is>
      </c>
      <c r="B6" s="8" t="inlineStr">
        <is>
          <t>전설</t>
        </is>
      </c>
      <c r="C6" s="8" t="n">
        <v>60</v>
      </c>
      <c r="D6" s="8" t="n">
        <v>40</v>
      </c>
      <c r="E6" s="8" t="n">
        <v>550</v>
      </c>
      <c r="F6" s="8" t="inlineStr">
        <is>
          <t>천상 참격 — 7배+아군 전체 HP 30 힐, CD 10초. Lv5: 8배+50힐, Lv10: 처치 시 아군 ATK+5%</t>
        </is>
      </c>
      <c r="G6" s="8" t="inlineStr">
        <is>
          <t>드래곤나이트+세라핌 합성</t>
        </is>
      </c>
      <c r="H6" s="8" t="inlineStr">
        <is>
          <t>(초월: 빛의 심판 — 전체 12배+아군 완전 회복)</t>
        </is>
      </c>
      <c r="I6" s="8" t="inlineStr">
        <is>
          <t>드래곤의 힘과 천사의 축복을 동시에 받은 유일한 존재. 합성의 끝에서 탄생하는 최강 전사. 공격하면서 아군을 치유하는 만능형.</t>
        </is>
      </c>
      <c r="J6" s="8" t="inlineStr">
        <is>
          <t>바하무트 최종 합성 재료</t>
        </is>
      </c>
    </row>
    <row r="7">
      <c r="A7" s="9" t="inlineStr">
        <is>
          <t>세계수 정령 🌳</t>
        </is>
      </c>
      <c r="B7" s="9" t="inlineStr">
        <is>
          <t>전설</t>
        </is>
      </c>
      <c r="C7" s="9" t="n">
        <v>25</v>
      </c>
      <c r="D7" s="9" t="n">
        <v>30</v>
      </c>
      <c r="E7" s="9" t="n">
        <v>600</v>
      </c>
      <c r="F7" s="9" t="inlineStr">
        <is>
          <t>세계수의 축복 — 전체 150힐+사망 아군 1체 부활, CD 25초. Lv5: 200+2체, Lv10: 재생 추가</t>
        </is>
      </c>
      <c r="G7" s="9" t="inlineStr">
        <is>
          <t>드루이드+맹수조련사+세계수잎 비밀 합성</t>
        </is>
      </c>
      <c r="H7" s="9" t="inlineStr">
        <is>
          <t>(초월 미지원)</t>
        </is>
      </c>
      <c r="I7" s="9" t="inlineStr">
        <is>
          <t>세계수의 의지가 깃든 정령. 최강의 힐러 — 전체 150 힐+부활을 한 스킬로! 장기전의 왕.</t>
        </is>
      </c>
      <c r="J7" s="9" t="inlineStr">
        <is>
          <t>세계수 숲 영토 보유 시 힐+30% 추가</t>
        </is>
      </c>
    </row>
    <row r="8">
      <c r="A8" s="8" t="inlineStr">
        <is>
          <t>공허의 왕 🌀</t>
        </is>
      </c>
      <c r="B8" s="8" t="inlineStr">
        <is>
          <t>전설</t>
        </is>
      </c>
      <c r="C8" s="8" t="n">
        <v>65</v>
      </c>
      <c r="D8" s="8" t="n">
        <v>20</v>
      </c>
      <c r="E8" s="8" t="n">
        <v>400</v>
      </c>
      <c r="F8" s="8" t="inlineStr">
        <is>
          <t>공허의 폭풍 — 전체 8배+적 전체 스탯-15% 5초, CD 15초. Lv5: 9배+-20%, Lv10: 스탯흡수</t>
        </is>
      </c>
      <c r="G8" s="8" t="inlineStr">
        <is>
          <t>가챠 전설</t>
        </is>
      </c>
      <c r="H8" s="8" t="inlineStr">
        <is>
          <t>(초월: 차원 붕괴 — 전체 12배+5초 공간격리)</t>
        </is>
      </c>
      <c r="I8" s="8" t="inlineStr">
        <is>
          <t>차원의 틈에서 온 존재. 공허의 힘으로 적의 존재 자체를 약화시킨다. 스탯 감소 디버프가 핵심.</t>
        </is>
      </c>
      <c r="J8" s="8" t="inlineStr">
        <is>
          <t>혼돈과 질서 시너지: 빛+어둠 +25%</t>
        </is>
      </c>
    </row>
    <row r="9">
      <c r="A9" s="9" t="inlineStr">
        <is>
          <t>검황 🗡️</t>
        </is>
      </c>
      <c r="B9" s="9" t="inlineStr">
        <is>
          <t>전설</t>
        </is>
      </c>
      <c r="C9" s="9" t="n">
        <v>58</v>
      </c>
      <c r="D9" s="9" t="n">
        <v>28</v>
      </c>
      <c r="E9" s="9" t="n">
        <v>480</v>
      </c>
      <c r="F9" s="9" t="inlineStr">
        <is>
          <t>만검귀환 — 8연참 각 크리판정+자힐10/타, CD 12초. Lv5: 10연참, Lv10: 마지막참 5배</t>
        </is>
      </c>
      <c r="G9" s="9" t="inlineStr">
        <is>
          <t>공성전 100승 달성 보상</t>
        </is>
      </c>
      <c r="H9" s="9" t="inlineStr">
        <is>
          <t>(초월 미지원)</t>
        </is>
      </c>
      <c r="I9" s="9" t="inlineStr">
        <is>
          <t>검성의 전설적 스승. 은퇴 후 공성전에서만 나타난다는 전설의 검객. 8~10연참이 각각 크리 판정이라 최대 딜 폭발!</t>
        </is>
      </c>
      <c r="J9" s="9" t="inlineStr">
        <is>
          <t>공성전 100승 달성 필요 — 진정한 전사의 증명</t>
        </is>
      </c>
    </row>
    <row r="10">
      <c r="A10" s="8" t="inlineStr">
        <is>
          <t>태초의 마녀 🧙</t>
        </is>
      </c>
      <c r="B10" s="8" t="inlineStr">
        <is>
          <t>전설</t>
        </is>
      </c>
      <c r="C10" s="8" t="n">
        <v>60</v>
      </c>
      <c r="D10" s="8" t="n">
        <v>18</v>
      </c>
      <c r="E10" s="8" t="n">
        <v>380</v>
      </c>
      <c r="F10" s="8" t="inlineStr">
        <is>
          <t>시간 역행 — 아군 전원 10초 전 상태 복원, CD 30초. Lv5: CD25초, Lv10: 적에게도 역행(HP복원)</t>
        </is>
      </c>
      <c r="G10" s="8" t="inlineStr">
        <is>
          <t>시간마법사 초월 후 특수 합성</t>
        </is>
      </c>
      <c r="H10" s="8" t="inlineStr">
        <is>
          <t>(초월 미지원)</t>
        </is>
      </c>
      <c r="I10" s="8" t="inlineStr">
        <is>
          <t>시간의 틈을 방황하다 돌아온 마녀. 10초 전으로 되돌리는 스킬은 팀 전멸 직전에 사용하면 완전 역전!</t>
        </is>
      </c>
      <c r="J10" s="8" t="inlineStr">
        <is>
          <t>유일한 "되감기" 효과 — 전략적 타이밍 핵심</t>
        </is>
      </c>
    </row>
    <row r="11">
      <c r="A11" s="9" t="inlineStr">
        <is>
          <t>혼돈의 군주 🌀</t>
        </is>
      </c>
      <c r="B11" s="9" t="inlineStr">
        <is>
          <t>전설</t>
        </is>
      </c>
      <c r="C11" s="9" t="n">
        <v>62</v>
      </c>
      <c r="D11" s="9" t="n">
        <v>22</v>
      </c>
      <c r="E11" s="9" t="n">
        <v>420</v>
      </c>
      <c r="F11" s="9" t="inlineStr">
        <is>
          <t>혼돈의 손길 — 7.5배+적 전체 스탯-20% 8초, CD 14초. Lv5: 8.5배, Lv10: 혼란(적끼리 공격)</t>
        </is>
      </c>
      <c r="G11" s="9" t="inlineStr">
        <is>
          <t>가챠 전설</t>
        </is>
      </c>
      <c r="H11" s="9" t="inlineStr">
        <is>
          <t>(초월: 혼돈의 심연 — 전체 10배+적 전원 혼란 5초)</t>
        </is>
      </c>
      <c r="I11" s="9" t="inlineStr">
        <is>
          <t>혼돈 그 자체의 화신. 적을 미치게 만들어 서로 싸우게 하는 Lv10 "혼란" 효과가 최강 CC.</t>
        </is>
      </c>
      <c r="J11" s="9" t="inlineStr">
        <is>
          <t>혼돈과 질서 시너지(공허의왕과)</t>
        </is>
      </c>
    </row>
    <row r="12">
      <c r="A12" s="8" t="inlineStr">
        <is>
          <t>늑대왕 🐺</t>
        </is>
      </c>
      <c r="B12" s="8" t="inlineStr">
        <is>
          <t>전설</t>
        </is>
      </c>
      <c r="C12" s="8" t="n">
        <v>52</v>
      </c>
      <c r="D12" s="8" t="n">
        <v>32</v>
      </c>
      <c r="E12" s="8" t="n">
        <v>520</v>
      </c>
      <c r="F12" s="8" t="inlineStr">
        <is>
          <t>늑대 무리 — 늑대 8체 소환+자신 ATK+50%, CD 20초. Lv5: 12체, Lv10: 늑대 진화(디어울프)</t>
        </is>
      </c>
      <c r="G12" s="8" t="inlineStr">
        <is>
          <t>포획 몬스터 교배 (펜리르 계열)</t>
        </is>
      </c>
      <c r="H12" s="8" t="inlineStr">
        <is>
          <t>(초월 미지원)</t>
        </is>
      </c>
      <c r="I12" s="8" t="inlineStr">
        <is>
          <t>펜리르의 피를 이은 늑대 왕. 8~12마리 늑대 소환으로 전장을 뒤덮는 물량전의 제왕.</t>
        </is>
      </c>
      <c r="J12" s="8" t="inlineStr">
        <is>
          <t>포획 교배로만 획득 — 희소성 최고</t>
        </is>
      </c>
    </row>
    <row r="13">
      <c r="A13" s="9" t="inlineStr"/>
      <c r="B13" s="9" t="inlineStr"/>
      <c r="C13" s="9" t="inlineStr"/>
      <c r="D13" s="9" t="inlineStr"/>
      <c r="E13" s="9" t="inlineStr"/>
      <c r="F13" s="9" t="inlineStr"/>
      <c r="G13" s="9" t="inlineStr"/>
      <c r="H13" s="9" t="inlineStr"/>
      <c r="I13" s="9" t="inlineStr"/>
      <c r="J13" s="9" t="inlineStr"/>
    </row>
    <row r="14">
      <c r="A14" s="8" t="inlineStr">
        <is>
          <t>용왕 바하무트 🐲</t>
        </is>
      </c>
      <c r="B14" s="8" t="inlineStr">
        <is>
          <t>신화</t>
        </is>
      </c>
      <c r="C14" s="8" t="n">
        <v>100</v>
      </c>
      <c r="D14" s="8" t="n">
        <v>60</v>
      </c>
      <c r="E14" s="8" t="n">
        <v>1000</v>
      </c>
      <c r="F14" s="8" t="inlineStr">
        <is>
          <t>용왕의 브레스 — 전체 10배!, CD 15초. Lv5: 12배, Lv10: 2연속 브레스</t>
        </is>
      </c>
      <c r="G14" s="8" t="inlineStr">
        <is>
          <t>드래곤나이트×2+천상 합성 (최종)</t>
        </is>
      </c>
      <c r="H14" s="8" t="inlineStr">
        <is>
          <t>천상의 불꽃 — 전체 20배+5초 화상+아군 ATK+30%</t>
        </is>
      </c>
      <c r="I14" s="8" t="inlineStr">
        <is>
          <t>1시대에 세계를 창조한 용의 왕. 2시대에 잠들었으며, 소환 카드에 그 잔영이 남아있다. 게임 내 최강 전투력. 초월 시 20배 광역은 모든 것을 태워버린다.</t>
        </is>
      </c>
      <c r="J14" s="8" t="inlineStr">
        <is>
          <t>합성 최종 경로의 끝. 서버당 보유자 제한 없음</t>
        </is>
      </c>
    </row>
    <row r="15">
      <c r="A15" s="9" t="inlineStr">
        <is>
          <t>전쟁의 신 ⚡</t>
        </is>
      </c>
      <c r="B15" s="9" t="inlineStr">
        <is>
          <t>신화</t>
        </is>
      </c>
      <c r="C15" s="9" t="n">
        <v>90</v>
      </c>
      <c r="D15" s="9" t="n">
        <v>50</v>
      </c>
      <c r="E15" s="9" t="n">
        <v>800</v>
      </c>
      <c r="F15" s="9" t="inlineStr">
        <is>
          <t>신벌 — 전체 8배+스턴 3초, CD 12초. Lv5: 10배+4초, Lv10: 스턴 중 추가 3배</t>
        </is>
      </c>
      <c r="G15" s="9" t="inlineStr">
        <is>
          <t>가챠 신화 (200회 천장)</t>
        </is>
      </c>
      <c r="H15" s="9" t="inlineStr">
        <is>
          <t>(초월: 라그나로크 — 전체 15배+전원 5초 스턴+자신 무적)</t>
        </is>
      </c>
      <c r="I15" s="9" t="inlineStr">
        <is>
          <t>1시대 신들의 전쟁에서 패한 전쟁의 신. 인간계에 봉인되어 있다가 소환 카드로 불려나왔다. 스턴+딜의 조합이 최강.</t>
        </is>
      </c>
      <c r="J15" s="9" t="inlineStr">
        <is>
          <t>가챠 200회 천장 확정 — 장기 투자 보상</t>
        </is>
      </c>
    </row>
    <row r="16">
      <c r="A16" s="8" t="inlineStr">
        <is>
          <t>세계의 끝 💀</t>
        </is>
      </c>
      <c r="B16" s="8" t="inlineStr">
        <is>
          <t>신화</t>
        </is>
      </c>
      <c r="C16" s="8" t="n">
        <v>95</v>
      </c>
      <c r="D16" s="8" t="n">
        <v>55</v>
      </c>
      <c r="E16" s="8" t="n">
        <v>900</v>
      </c>
      <c r="F16" s="8" t="inlineStr">
        <is>
          <t>종말 — 전체 12배!!!, CD 18초. Lv5: 14배, Lv10: 적 HP 비례 추가 DMG</t>
        </is>
      </c>
      <c r="G16" s="8" t="inlineStr">
        <is>
          <t>가챠 신화 or 마왕+혼돈 비밀 합성</t>
        </is>
      </c>
      <c r="H16" s="8" t="inlineStr">
        <is>
          <t>(초월: 세계 멸망 — 전체 18배+적 전원 현HP 30% 삭제)</t>
        </is>
      </c>
      <c r="I16" s="8" t="inlineStr">
        <is>
          <t>세계가 끝날 때 나타난다는 종말의 존재. 순수 딜 최강 — 12~18배 전체 공격은 숫자의 폭력.</t>
        </is>
      </c>
      <c r="J16" s="8" t="inlineStr">
        <is>
          <t>비밀 합성 경로도 존재 (마왕+혼돈의 군주)</t>
        </is>
      </c>
    </row>
    <row r="17">
      <c r="A17" s="9" t="inlineStr">
        <is>
          <t>원소의 왕 🌈</t>
        </is>
      </c>
      <c r="B17" s="9" t="inlineStr">
        <is>
          <t>신화</t>
        </is>
      </c>
      <c r="C17" s="9" t="n">
        <v>85</v>
      </c>
      <c r="D17" s="9" t="n">
        <v>45</v>
      </c>
      <c r="E17" s="9" t="n">
        <v>750</v>
      </c>
      <c r="F17" s="9" t="inlineStr">
        <is>
          <t>원소 폭풍 — 4원소 동시 8배+랜덤 CC(빙결/화상/감속/스턴), CD 14초. Lv5: 10배, Lv10: CC 전부 적용</t>
        </is>
      </c>
      <c r="G17" s="9" t="inlineStr">
        <is>
          <t>비밀 합성 (4원소 마법사+왕관)</t>
        </is>
      </c>
      <c r="H17" s="9" t="inlineStr">
        <is>
          <t>(초월: 원소 대재앙 — 전체 15배+4CC 동시+3초)</t>
        </is>
      </c>
      <c r="I17" s="9" t="inlineStr">
        <is>
          <t>4가지 원소를 동시에 다루는 유일한 존재. 공격할 때마다 다른 CC가 걸리는 재미!</t>
        </is>
      </c>
      <c r="J17" s="9" t="inlineStr">
        <is>
          <t>비밀 합성 전용 — 4원소 던전 클리어 필요</t>
        </is>
      </c>
    </row>
    <row r="18">
      <c r="A18" s="8" t="inlineStr">
        <is>
          <t>태초의 존재 🌌</t>
        </is>
      </c>
      <c r="B18" s="8" t="inlineStr">
        <is>
          <t>초신화</t>
        </is>
      </c>
      <c r="C18" s="8" t="n">
        <v>120</v>
      </c>
      <c r="D18" s="8" t="n">
        <v>70</v>
      </c>
      <c r="E18" s="8" t="n">
        <v>1200</v>
      </c>
      <c r="F18" s="8" t="inlineStr">
        <is>
          <t>창세의 빛 — 전체 15배+아군 전원 완전 회복+5초 무적, CD 25초. Lv5: 18배, Lv10: 무적 8초</t>
        </is>
      </c>
      <c r="G18" s="8" t="inlineStr">
        <is>
          <t>비밀 합성 (바하무트+세계의끝+창세조각)</t>
        </is>
      </c>
      <c r="H18" s="8" t="inlineStr">
        <is>
          <t>(태초의 의지 — 전체 25배+아군 완전 회복+10초 무적+전원 부활)</t>
        </is>
      </c>
      <c r="I18" s="8" t="inlineStr">
        <is>
          <t>세계를 만든 존재. 게임 내 최고 등급 "초신화". 서버당 최대 3명만 보유 가능. 공성전 사용 시 상대에게 사전 경고. 압도적 존재감.</t>
        </is>
      </c>
      <c r="J18" s="8" t="inlineStr">
        <is>
          <t>서버당 3명 제한, 전투력 3배 가중치</t>
        </is>
      </c>
    </row>
  </sheetData>
  <mergeCells count="1">
    <mergeCell ref="A1:J1"/>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8" customWidth="1" min="1" max="1"/>
    <col width="18" customWidth="1" min="2" max="2"/>
    <col width="4" customWidth="1" min="3" max="3"/>
    <col width="6" customWidth="1" min="4" max="4"/>
    <col width="6" customWidth="1" min="5" max="5"/>
    <col width="30" customWidth="1" min="6" max="6"/>
    <col width="10" customWidth="1" min="7" max="7"/>
    <col width="18" customWidth="1" min="8" max="8"/>
  </cols>
  <sheetData>
    <row r="1">
      <c r="A1" s="6" t="inlineStr">
        <is>
          <t>IO 웨이브 40종 상세</t>
        </is>
      </c>
    </row>
    <row r="3">
      <c r="A3" s="7" t="inlineStr">
        <is>
          <t>웨이브</t>
        </is>
      </c>
      <c r="B3" s="7" t="inlineStr">
        <is>
          <t>몬스터 구성</t>
        </is>
      </c>
      <c r="C3" s="7" t="inlineStr">
        <is>
          <t>수</t>
        </is>
      </c>
      <c r="D3" s="7" t="inlineStr">
        <is>
          <t>HP</t>
        </is>
      </c>
      <c r="E3" s="7" t="inlineStr">
        <is>
          <t>ATK</t>
        </is>
      </c>
      <c r="F3" s="7" t="inlineStr">
        <is>
          <t>특수</t>
        </is>
      </c>
      <c r="G3" s="7" t="inlineStr">
        <is>
          <t>보스</t>
        </is>
      </c>
      <c r="H3" s="7" t="inlineStr">
        <is>
          <t>드롭 보너스</t>
        </is>
      </c>
    </row>
    <row r="4">
      <c r="A4" s="8" t="n">
        <v>1</v>
      </c>
      <c r="B4" s="8" t="inlineStr">
        <is>
          <t>슬라임</t>
        </is>
      </c>
      <c r="C4" s="8" t="n">
        <v>5</v>
      </c>
      <c r="D4" s="8" t="n">
        <v>30</v>
      </c>
      <c r="E4" s="8" t="n">
        <v>5</v>
      </c>
      <c r="F4" s="8" t="inlineStr">
        <is>
          <t>없음</t>
        </is>
      </c>
      <c r="G4" s="8" t="inlineStr"/>
      <c r="H4" s="8" t="inlineStr">
        <is>
          <t>골드 +5%</t>
        </is>
      </c>
    </row>
    <row r="5">
      <c r="A5" s="9" t="n">
        <v>2</v>
      </c>
      <c r="B5" s="9" t="inlineStr">
        <is>
          <t>슬라임</t>
        </is>
      </c>
      <c r="C5" s="9" t="n">
        <v>7</v>
      </c>
      <c r="D5" s="9" t="n">
        <v>40</v>
      </c>
      <c r="E5" s="9" t="n">
        <v>6</v>
      </c>
      <c r="F5" s="9" t="inlineStr">
        <is>
          <t>없음</t>
        </is>
      </c>
      <c r="G5" s="9" t="inlineStr"/>
      <c r="H5" s="9" t="inlineStr">
        <is>
          <t>골드 +5%</t>
        </is>
      </c>
    </row>
    <row r="6">
      <c r="A6" s="8" t="n">
        <v>3</v>
      </c>
      <c r="B6" s="8" t="inlineStr">
        <is>
          <t>슬라임 + 독슬라임</t>
        </is>
      </c>
      <c r="C6" s="8" t="n">
        <v>8</v>
      </c>
      <c r="D6" s="8" t="n">
        <v>50</v>
      </c>
      <c r="E6" s="8" t="n">
        <v>7</v>
      </c>
      <c r="F6" s="8" t="inlineStr">
        <is>
          <t>독슬라임: 독 2초</t>
        </is>
      </c>
      <c r="G6" s="8" t="inlineStr"/>
      <c r="H6" s="8" t="inlineStr">
        <is>
          <t>포션 드롭</t>
        </is>
      </c>
    </row>
    <row r="7">
      <c r="A7" s="9" t="n">
        <v>4</v>
      </c>
      <c r="B7" s="9" t="inlineStr">
        <is>
          <t>슬라임 + 대형슬라임</t>
        </is>
      </c>
      <c r="C7" s="9" t="n">
        <v>6</v>
      </c>
      <c r="D7" s="9" t="n">
        <v>60</v>
      </c>
      <c r="E7" s="9" t="n">
        <v>8</v>
      </c>
      <c r="F7" s="9" t="inlineStr">
        <is>
          <t>대형슬라임: 넉백</t>
        </is>
      </c>
      <c r="G7" s="9" t="inlineStr"/>
      <c r="H7" s="9" t="inlineStr">
        <is>
          <t>골드 +10%</t>
        </is>
      </c>
    </row>
    <row r="8">
      <c r="A8" s="8" t="n">
        <v>5</v>
      </c>
      <c r="B8" s="8" t="inlineStr">
        <is>
          <t>슬라임킹 (보스)</t>
        </is>
      </c>
      <c r="C8" s="8" t="n">
        <v>1</v>
      </c>
      <c r="D8" s="8" t="n">
        <v>500</v>
      </c>
      <c r="E8" s="8" t="n">
        <v>15</v>
      </c>
      <c r="F8" s="8" t="inlineStr">
        <is>
          <t>분열 — 처치 시 슬라임 4마리 소환</t>
        </is>
      </c>
      <c r="G8" s="8" t="inlineStr">
        <is>
          <t>슬라임킹</t>
        </is>
      </c>
      <c r="H8" s="8" t="inlineStr">
        <is>
          <t>슬라임킹 카드 (5%)</t>
        </is>
      </c>
    </row>
    <row r="9">
      <c r="A9" s="9" t="n">
        <v>6</v>
      </c>
      <c r="B9" s="9" t="inlineStr">
        <is>
          <t>슬라임 + 늑대</t>
        </is>
      </c>
      <c r="C9" s="9" t="n">
        <v>8</v>
      </c>
      <c r="D9" s="9" t="n">
        <v>50</v>
      </c>
      <c r="E9" s="9" t="n">
        <v>8</v>
      </c>
      <c r="F9" s="9" t="inlineStr">
        <is>
          <t>늑대: 돌진</t>
        </is>
      </c>
      <c r="G9" s="9" t="inlineStr"/>
      <c r="H9" s="9" t="inlineStr">
        <is>
          <t>골드 +8%</t>
        </is>
      </c>
    </row>
    <row r="10">
      <c r="A10" s="8" t="n">
        <v>7</v>
      </c>
      <c r="B10" s="8" t="inlineStr">
        <is>
          <t>늑대 무리</t>
        </is>
      </c>
      <c r="C10" s="8" t="n">
        <v>10</v>
      </c>
      <c r="D10" s="8" t="n">
        <v>70</v>
      </c>
      <c r="E10" s="8" t="n">
        <v>10</v>
      </c>
      <c r="F10" s="8" t="inlineStr">
        <is>
          <t>우두머리 늑대: 하울링 (ATK+20% 버프)</t>
        </is>
      </c>
      <c r="G10" s="8" t="inlineStr"/>
      <c r="H10" s="8" t="inlineStr">
        <is>
          <t>늑대 가죽</t>
        </is>
      </c>
    </row>
    <row r="11">
      <c r="A11" s="9" t="n">
        <v>8</v>
      </c>
      <c r="B11" s="9" t="inlineStr">
        <is>
          <t>독슬라임 + 늑대</t>
        </is>
      </c>
      <c r="C11" s="9" t="n">
        <v>9</v>
      </c>
      <c r="D11" s="9" t="n">
        <v>90</v>
      </c>
      <c r="E11" s="9" t="n">
        <v>12</v>
      </c>
      <c r="F11" s="9" t="inlineStr">
        <is>
          <t>독 + 돌진 복합</t>
        </is>
      </c>
      <c r="G11" s="9" t="inlineStr"/>
      <c r="H11" s="9" t="inlineStr">
        <is>
          <t>해독제 드롭</t>
        </is>
      </c>
    </row>
    <row r="12">
      <c r="A12" s="8" t="n">
        <v>9</v>
      </c>
      <c r="B12" s="8" t="inlineStr">
        <is>
          <t>강화 늑대 + 슬라임</t>
        </is>
      </c>
      <c r="C12" s="8" t="n">
        <v>10</v>
      </c>
      <c r="D12" s="8" t="n">
        <v>120</v>
      </c>
      <c r="E12" s="8" t="n">
        <v>14</v>
      </c>
      <c r="F12" s="8" t="inlineStr">
        <is>
          <t>강화 늑대: 2연속 돌진</t>
        </is>
      </c>
      <c r="G12" s="8" t="inlineStr"/>
      <c r="H12" s="8" t="inlineStr">
        <is>
          <t>골드 +12%</t>
        </is>
      </c>
    </row>
    <row r="13">
      <c r="A13" s="9" t="n">
        <v>10</v>
      </c>
      <c r="B13" s="9" t="inlineStr">
        <is>
          <t>골렘 (보스)</t>
        </is>
      </c>
      <c r="C13" s="9" t="n">
        <v>1</v>
      </c>
      <c r="D13" s="9" t="n">
        <v>1200</v>
      </c>
      <c r="E13" s="9" t="n">
        <v>25</v>
      </c>
      <c r="F13" s="9" t="inlineStr">
        <is>
          <t>바위 던지기 — 범위 공격, 광역 스턴 1초</t>
        </is>
      </c>
      <c r="G13" s="9" t="inlineStr">
        <is>
          <t>골렘</t>
        </is>
      </c>
      <c r="H13" s="9" t="inlineStr">
        <is>
          <t>골렘 코어 (5%)</t>
        </is>
      </c>
    </row>
    <row r="14">
      <c r="A14" s="8" t="n">
        <v>11</v>
      </c>
      <c r="B14" s="8" t="inlineStr">
        <is>
          <t>박쥐 떼 + 거미</t>
        </is>
      </c>
      <c r="C14" s="8" t="n">
        <v>12</v>
      </c>
      <c r="D14" s="8" t="n">
        <v>100</v>
      </c>
      <c r="E14" s="8" t="n">
        <v>12</v>
      </c>
      <c r="F14" s="8" t="inlineStr">
        <is>
          <t>박쥐: 흡혈 (피해의 20% 회복)</t>
        </is>
      </c>
      <c r="G14" s="8" t="inlineStr"/>
      <c r="H14" s="8" t="inlineStr">
        <is>
          <t>박쥐 날개</t>
        </is>
      </c>
    </row>
    <row r="15">
      <c r="A15" s="9" t="n">
        <v>12</v>
      </c>
      <c r="B15" s="9" t="inlineStr">
        <is>
          <t>거미 + 늑대</t>
        </is>
      </c>
      <c r="C15" s="9" t="n">
        <v>10</v>
      </c>
      <c r="D15" s="9" t="n">
        <v>130</v>
      </c>
      <c r="E15" s="9" t="n">
        <v>15</v>
      </c>
      <c r="F15" s="9" t="inlineStr">
        <is>
          <t>거미: 거미줄 (감속 30%, 3초)</t>
        </is>
      </c>
      <c r="G15" s="9" t="inlineStr"/>
      <c r="H15" s="9" t="inlineStr">
        <is>
          <t>거미줄 재료</t>
        </is>
      </c>
    </row>
    <row r="16">
      <c r="A16" s="8" t="n">
        <v>13</v>
      </c>
      <c r="B16" s="8" t="inlineStr">
        <is>
          <t>독거미 + 박쥐</t>
        </is>
      </c>
      <c r="C16" s="8" t="n">
        <v>11</v>
      </c>
      <c r="D16" s="8" t="n">
        <v>160</v>
      </c>
      <c r="E16" s="8" t="n">
        <v>17</v>
      </c>
      <c r="F16" s="8" t="inlineStr">
        <is>
          <t>독거미: 맹독 (4초), 박쥐: 흡혈</t>
        </is>
      </c>
      <c r="G16" s="8" t="inlineStr"/>
      <c r="H16" s="8" t="inlineStr">
        <is>
          <t>독 주머니</t>
        </is>
      </c>
    </row>
    <row r="17">
      <c r="A17" s="9" t="n">
        <v>14</v>
      </c>
      <c r="B17" s="9" t="inlineStr">
        <is>
          <t>강화 거미 + 박쥐 무리</t>
        </is>
      </c>
      <c r="C17" s="9" t="n">
        <v>13</v>
      </c>
      <c r="D17" s="9" t="n">
        <v>200</v>
      </c>
      <c r="E17" s="9" t="n">
        <v>18</v>
      </c>
      <c r="F17" s="9" t="inlineStr">
        <is>
          <t>거미 여왕: 알 소환 (2초마다 거미 1마리)</t>
        </is>
      </c>
      <c r="G17" s="9" t="inlineStr"/>
      <c r="H17" s="9" t="inlineStr">
        <is>
          <t>골드 +15%</t>
        </is>
      </c>
    </row>
    <row r="18">
      <c r="A18" s="8" t="n">
        <v>15</v>
      </c>
      <c r="B18" s="8" t="inlineStr">
        <is>
          <t>거미 여왕 (보스)</t>
        </is>
      </c>
      <c r="C18" s="8" t="n">
        <v>1</v>
      </c>
      <c r="D18" s="8" t="n">
        <v>2000</v>
      </c>
      <c r="E18" s="8" t="n">
        <v>30</v>
      </c>
      <c r="F18" s="8" t="inlineStr">
        <is>
          <t>알 소환 + 독 분사 + 거미줄 속박</t>
        </is>
      </c>
      <c r="G18" s="8" t="inlineStr">
        <is>
          <t>거미 여왕</t>
        </is>
      </c>
      <c r="H18" s="8" t="inlineStr">
        <is>
          <t>거미 여왕 독낭 (5%)</t>
        </is>
      </c>
    </row>
    <row r="19">
      <c r="A19" s="9" t="n">
        <v>16</v>
      </c>
      <c r="B19" s="9" t="inlineStr">
        <is>
          <t>엘리트 기사</t>
        </is>
      </c>
      <c r="C19" s="9" t="n">
        <v>6</v>
      </c>
      <c r="D19" s="9" t="n">
        <v>200</v>
      </c>
      <c r="E19" s="9" t="n">
        <v>18</v>
      </c>
      <c r="F19" s="9" t="inlineStr">
        <is>
          <t>방패 올리기 — 3초간 피해 50% 감소</t>
        </is>
      </c>
      <c r="G19" s="9" t="inlineStr"/>
      <c r="H19" s="9" t="inlineStr">
        <is>
          <t>기사 훈장</t>
        </is>
      </c>
    </row>
    <row r="20">
      <c r="A20" s="8" t="n">
        <v>17</v>
      </c>
      <c r="B20" s="8" t="inlineStr">
        <is>
          <t>엘리트 궁수 + 기사</t>
        </is>
      </c>
      <c r="C20" s="8" t="n">
        <v>8</v>
      </c>
      <c r="D20" s="8" t="n">
        <v>250</v>
      </c>
      <c r="E20" s="8" t="n">
        <v>22</v>
      </c>
      <c r="F20" s="8" t="inlineStr">
        <is>
          <t>궁수: 3연발, 기사: 돌격</t>
        </is>
      </c>
      <c r="G20" s="8" t="inlineStr"/>
      <c r="H20" s="8" t="inlineStr">
        <is>
          <t>골드 +18%</t>
        </is>
      </c>
    </row>
    <row r="21">
      <c r="A21" s="9" t="n">
        <v>18</v>
      </c>
      <c r="B21" s="9" t="inlineStr">
        <is>
          <t>엘리트 마법사 + 기사</t>
        </is>
      </c>
      <c r="C21" s="9" t="n">
        <v>7</v>
      </c>
      <c r="D21" s="9" t="n">
        <v>300</v>
      </c>
      <c r="E21" s="9" t="n">
        <v>25</v>
      </c>
      <c r="F21" s="9" t="inlineStr">
        <is>
          <t>마법사: 파이어볼 (범위), 빙결 (2초)</t>
        </is>
      </c>
      <c r="G21" s="9" t="inlineStr"/>
      <c r="H21" s="9" t="inlineStr">
        <is>
          <t>마법 결정</t>
        </is>
      </c>
    </row>
    <row r="22">
      <c r="A22" s="8" t="n">
        <v>19</v>
      </c>
      <c r="B22" s="8" t="inlineStr">
        <is>
          <t>엘리트 혼합 부대</t>
        </is>
      </c>
      <c r="C22" s="8" t="n">
        <v>10</v>
      </c>
      <c r="D22" s="8" t="n">
        <v>400</v>
      </c>
      <c r="E22" s="8" t="n">
        <v>28</v>
      </c>
      <c r="F22" s="8" t="inlineStr">
        <is>
          <t>지휘관: 전체 ATK+30% 버프, 방패벽 진형</t>
        </is>
      </c>
      <c r="G22" s="8" t="inlineStr"/>
      <c r="H22" s="8" t="inlineStr">
        <is>
          <t>엘리트 장비 조각</t>
        </is>
      </c>
    </row>
    <row r="23">
      <c r="A23" s="9" t="n">
        <v>20</v>
      </c>
      <c r="B23" s="9" t="inlineStr">
        <is>
          <t>흑기사 (보스)</t>
        </is>
      </c>
      <c r="C23" s="9" t="n">
        <v>1</v>
      </c>
      <c r="D23" s="9" t="n">
        <v>3500</v>
      </c>
      <c r="E23" s="9" t="n">
        <v>40</v>
      </c>
      <c r="F23" s="9" t="inlineStr">
        <is>
          <t>암흑 참격 + 생명력 흡수 + 분신 소환</t>
        </is>
      </c>
      <c r="G23" s="9" t="inlineStr">
        <is>
          <t>흑기사</t>
        </is>
      </c>
      <c r="H23" s="9" t="inlineStr">
        <is>
          <t>흑기사 검 (3%)</t>
        </is>
      </c>
    </row>
    <row r="24">
      <c r="A24" s="8" t="n">
        <v>21</v>
      </c>
      <c r="B24" s="8" t="inlineStr">
        <is>
          <t>스켈레톤 무리</t>
        </is>
      </c>
      <c r="C24" s="8" t="n">
        <v>12</v>
      </c>
      <c r="D24" s="8" t="n">
        <v>400</v>
      </c>
      <c r="E24" s="8" t="n">
        <v>25</v>
      </c>
      <c r="F24" s="8" t="inlineStr">
        <is>
          <t>부활 — 처치 후 5초 뒤 50% HP로 부활 (1회)</t>
        </is>
      </c>
      <c r="G24" s="8" t="inlineStr"/>
      <c r="H24" s="8" t="inlineStr">
        <is>
          <t>뼛조각</t>
        </is>
      </c>
    </row>
    <row r="25">
      <c r="A25" s="9" t="n">
        <v>22</v>
      </c>
      <c r="B25" s="9" t="inlineStr">
        <is>
          <t>좀비 + 스켈레톤</t>
        </is>
      </c>
      <c r="C25" s="9" t="n">
        <v>10</v>
      </c>
      <c r="D25" s="9" t="n">
        <v>500</v>
      </c>
      <c r="E25" s="9" t="n">
        <v>28</v>
      </c>
      <c r="F25" s="9" t="inlineStr">
        <is>
          <t>좀비: 감염 (피격 시 감속+독)</t>
        </is>
      </c>
      <c r="G25" s="9" t="inlineStr"/>
      <c r="H25" s="9" t="inlineStr">
        <is>
          <t>언데드 정수</t>
        </is>
      </c>
    </row>
    <row r="26">
      <c r="A26" s="8" t="n">
        <v>23</v>
      </c>
      <c r="B26" s="8" t="inlineStr">
        <is>
          <t>와이번 + 스켈레톤</t>
        </is>
      </c>
      <c r="C26" s="8" t="n">
        <v>8</v>
      </c>
      <c r="D26" s="8" t="n">
        <v>600</v>
      </c>
      <c r="E26" s="8" t="n">
        <v>32</v>
      </c>
      <c r="F26" s="8" t="inlineStr">
        <is>
          <t>와이번: 비행 (근접 불가, 원거리만 가능)</t>
        </is>
      </c>
      <c r="G26" s="8" t="inlineStr"/>
      <c r="H26" s="8" t="inlineStr">
        <is>
          <t>와이번 비늘</t>
        </is>
      </c>
    </row>
    <row r="27">
      <c r="A27" s="9" t="n">
        <v>24</v>
      </c>
      <c r="B27" s="9" t="inlineStr">
        <is>
          <t>리치 + 언데드 군단</t>
        </is>
      </c>
      <c r="C27" s="9" t="n">
        <v>12</v>
      </c>
      <c r="D27" s="9" t="n">
        <v>700</v>
      </c>
      <c r="E27" s="9" t="n">
        <v>35</v>
      </c>
      <c r="F27" s="9" t="inlineStr">
        <is>
          <t>리치: 언데드 부활 + 저주 (DEF-30%)</t>
        </is>
      </c>
      <c r="G27" s="9" t="inlineStr"/>
      <c r="H27" s="9" t="inlineStr">
        <is>
          <t>리치의 보주</t>
        </is>
      </c>
    </row>
    <row r="28">
      <c r="A28" s="8" t="n">
        <v>25</v>
      </c>
      <c r="B28" s="8" t="inlineStr">
        <is>
          <t>드래곤 (보스)</t>
        </is>
      </c>
      <c r="C28" s="8" t="n">
        <v>1</v>
      </c>
      <c r="D28" s="8" t="n">
        <v>5000</v>
      </c>
      <c r="E28" s="8" t="n">
        <v>50</v>
      </c>
      <c r="F28" s="8" t="inlineStr">
        <is>
          <t>브레스 (직선 범위) + 비행 + 꼬리 휘두르기</t>
        </is>
      </c>
      <c r="G28" s="8" t="inlineStr">
        <is>
          <t>드래곤</t>
        </is>
      </c>
      <c r="H28" s="8" t="inlineStr">
        <is>
          <t>드래곤의 심장 (3%)</t>
        </is>
      </c>
    </row>
    <row r="29">
      <c r="A29" s="9" t="n">
        <v>26</v>
      </c>
      <c r="B29" s="9" t="inlineStr">
        <is>
          <t>키메라 + 마법사</t>
        </is>
      </c>
      <c r="C29" s="9" t="n">
        <v>8</v>
      </c>
      <c r="D29" s="9" t="n">
        <v>600</v>
      </c>
      <c r="E29" s="9" t="n">
        <v>35</v>
      </c>
      <c r="F29" s="9" t="inlineStr">
        <is>
          <t>키메라: 3속성 공격 (화/빙/독 랜덤)</t>
        </is>
      </c>
      <c r="G29" s="9" t="inlineStr"/>
      <c r="H29" s="9" t="inlineStr">
        <is>
          <t>키메라 재료</t>
        </is>
      </c>
    </row>
    <row r="30">
      <c r="A30" s="8" t="n">
        <v>27</v>
      </c>
      <c r="B30" s="8" t="inlineStr">
        <is>
          <t>데몬 + 가고일</t>
        </is>
      </c>
      <c r="C30" s="8" t="n">
        <v>10</v>
      </c>
      <c r="D30" s="8" t="n">
        <v>800</v>
      </c>
      <c r="E30" s="8" t="n">
        <v>38</v>
      </c>
      <c r="F30" s="8" t="inlineStr">
        <is>
          <t>데몬: 텔레포트, 가고일: 석화 (1.5초)</t>
        </is>
      </c>
      <c r="G30" s="8" t="inlineStr"/>
      <c r="H30" s="8" t="inlineStr">
        <is>
          <t>악마의 뿔</t>
        </is>
      </c>
    </row>
    <row r="31">
      <c r="A31" s="9" t="n">
        <v>28</v>
      </c>
      <c r="B31" s="9" t="inlineStr">
        <is>
          <t>미니보스: 데스나이트 + 호위</t>
        </is>
      </c>
      <c r="C31" s="9" t="n">
        <v>7</v>
      </c>
      <c r="D31" s="9" t="n">
        <v>1000</v>
      </c>
      <c r="E31" s="9" t="n">
        <v>42</v>
      </c>
      <c r="F31" s="9" t="inlineStr">
        <is>
          <t>데스나이트: 즉사기 (HP 10% 이하 즉사)</t>
        </is>
      </c>
      <c r="G31" s="9" t="inlineStr">
        <is>
          <t>데스나이트</t>
        </is>
      </c>
      <c r="H31" s="9" t="inlineStr">
        <is>
          <t>저주받은 갑옷</t>
        </is>
      </c>
    </row>
    <row r="32">
      <c r="A32" s="8" t="n">
        <v>29</v>
      </c>
      <c r="B32" s="8" t="inlineStr">
        <is>
          <t>미니보스: 나인테일 + 요괴</t>
        </is>
      </c>
      <c r="C32" s="8" t="n">
        <v>8</v>
      </c>
      <c r="D32" s="8" t="n">
        <v>1100</v>
      </c>
      <c r="E32" s="8" t="n">
        <v>45</v>
      </c>
      <c r="F32" s="8" t="inlineStr">
        <is>
          <t>나인테일: 환상 (분신 3체) + 매혹 (2초 행동불능)</t>
        </is>
      </c>
      <c r="G32" s="8" t="inlineStr">
        <is>
          <t>나인테일</t>
        </is>
      </c>
      <c r="H32" s="8" t="inlineStr">
        <is>
          <t>여우구슬</t>
        </is>
      </c>
    </row>
    <row r="33">
      <c r="A33" s="9" t="n">
        <v>30</v>
      </c>
      <c r="B33" s="9" t="inlineStr">
        <is>
          <t>마왕 (보스)</t>
        </is>
      </c>
      <c r="C33" s="9" t="n">
        <v>1</v>
      </c>
      <c r="D33" s="9" t="n">
        <v>8000</v>
      </c>
      <c r="E33" s="9" t="n">
        <v>55</v>
      </c>
      <c r="F33" s="9" t="inlineStr">
        <is>
          <t>암흑 마법 + 소환수 3체 + 공간 왜곡 (위치 랜덤 이동)</t>
        </is>
      </c>
      <c r="G33" s="9" t="inlineStr">
        <is>
          <t>마왕</t>
        </is>
      </c>
      <c r="H33" s="9" t="inlineStr">
        <is>
          <t>마왕의 왕관 (2%)</t>
        </is>
      </c>
    </row>
    <row r="34">
      <c r="A34" s="8" t="n">
        <v>31</v>
      </c>
      <c r="B34" s="8" t="inlineStr">
        <is>
          <t>강화 드래곤 2마리</t>
        </is>
      </c>
      <c r="C34" s="8" t="n">
        <v>2</v>
      </c>
      <c r="D34" s="8" t="n">
        <v>1000</v>
      </c>
      <c r="E34" s="8" t="n">
        <v>45</v>
      </c>
      <c r="F34" s="8" t="inlineStr">
        <is>
          <t>쌍룡 브레스 — 교차 범위 공격</t>
        </is>
      </c>
      <c r="G34" s="8" t="inlineStr"/>
      <c r="H34" s="8" t="inlineStr">
        <is>
          <t>용의 보석</t>
        </is>
      </c>
    </row>
    <row r="35">
      <c r="A35" s="9" t="n">
        <v>32</v>
      </c>
      <c r="B35" s="9" t="inlineStr">
        <is>
          <t>강화 리치 + 데몬 혼합</t>
        </is>
      </c>
      <c r="C35" s="9" t="n">
        <v>10</v>
      </c>
      <c r="D35" s="9" t="n">
        <v>1200</v>
      </c>
      <c r="E35" s="9" t="n">
        <v>50</v>
      </c>
      <c r="F35" s="9" t="inlineStr">
        <is>
          <t>집단 저주 + 텔레포트 기습</t>
        </is>
      </c>
      <c r="G35" s="9" t="inlineStr"/>
      <c r="H35" s="9" t="inlineStr">
        <is>
          <t>암흑 마법서</t>
        </is>
      </c>
    </row>
    <row r="36">
      <c r="A36" s="8" t="n">
        <v>33</v>
      </c>
      <c r="B36" s="8" t="inlineStr">
        <is>
          <t>강화 키메라 + 와이번</t>
        </is>
      </c>
      <c r="C36" s="8" t="n">
        <v>8</v>
      </c>
      <c r="D36" s="8" t="n">
        <v>1500</v>
      </c>
      <c r="E36" s="8" t="n">
        <v>55</v>
      </c>
      <c r="F36" s="8" t="inlineStr">
        <is>
          <t>3속성 브레스 + 비행 융합 공격</t>
        </is>
      </c>
      <c r="G36" s="8" t="inlineStr"/>
      <c r="H36" s="8" t="inlineStr">
        <is>
          <t>키메라 정수</t>
        </is>
      </c>
    </row>
    <row r="37">
      <c r="A37" s="9" t="n">
        <v>34</v>
      </c>
      <c r="B37" s="9" t="inlineStr">
        <is>
          <t>강화 엘리트 혼합 + 드래곤</t>
        </is>
      </c>
      <c r="C37" s="9" t="n">
        <v>10</v>
      </c>
      <c r="D37" s="9" t="n">
        <v>1800</v>
      </c>
      <c r="E37" s="9" t="n">
        <v>60</v>
      </c>
      <c r="F37" s="9" t="inlineStr">
        <is>
          <t>전 병종 합동 작전 + 지휘관 2명</t>
        </is>
      </c>
      <c r="G37" s="9" t="inlineStr"/>
      <c r="H37" s="9" t="inlineStr">
        <is>
          <t>전설 장비 조각</t>
        </is>
      </c>
    </row>
    <row r="38">
      <c r="A38" s="8" t="n">
        <v>35</v>
      </c>
      <c r="B38" s="8" t="inlineStr">
        <is>
          <t>혼돈의 기사 (보스)</t>
        </is>
      </c>
      <c r="C38" s="8" t="n">
        <v>1</v>
      </c>
      <c r="D38" s="8" t="n">
        <v>12000</v>
      </c>
      <c r="E38" s="8" t="n">
        <v>65</v>
      </c>
      <c r="F38" s="8" t="inlineStr">
        <is>
          <t>4페이즈 전투 — 검/마법/용/혼돈 형태 변환</t>
        </is>
      </c>
      <c r="G38" s="8" t="inlineStr">
        <is>
          <t>혼돈의 기사</t>
        </is>
      </c>
      <c r="H38" s="8" t="inlineStr">
        <is>
          <t>혼돈의 검 (2%)</t>
        </is>
      </c>
    </row>
    <row r="39">
      <c r="A39" s="9" t="n">
        <v>36</v>
      </c>
      <c r="B39" s="9" t="inlineStr">
        <is>
          <t>카오스 슬라임 군단</t>
        </is>
      </c>
      <c r="C39" s="9" t="n">
        <v>20</v>
      </c>
      <c r="D39" s="9" t="n">
        <v>1500</v>
      </c>
      <c r="E39" s="9" t="n">
        <v>55</v>
      </c>
      <c r="F39" s="9" t="inlineStr">
        <is>
          <t>분열 무한 — 처치 시 2마리로 분열 (최대 3회)</t>
        </is>
      </c>
      <c r="G39" s="9" t="inlineStr"/>
      <c r="H39" s="9" t="inlineStr">
        <is>
          <t>카오스 젤리</t>
        </is>
      </c>
    </row>
    <row r="40">
      <c r="A40" s="8" t="n">
        <v>37</v>
      </c>
      <c r="B40" s="8" t="inlineStr">
        <is>
          <t>카오스 드래곤 + 리치</t>
        </is>
      </c>
      <c r="C40" s="8" t="n">
        <v>5</v>
      </c>
      <c r="D40" s="8" t="n">
        <v>2500</v>
      </c>
      <c r="E40" s="8" t="n">
        <v>65</v>
      </c>
      <c r="F40" s="8" t="inlineStr">
        <is>
          <t>용 브레스 + 부활 + 저주 복합</t>
        </is>
      </c>
      <c r="G40" s="8" t="inlineStr"/>
      <c r="H40" s="8" t="inlineStr">
        <is>
          <t>용의 뼈</t>
        </is>
      </c>
    </row>
    <row r="41">
      <c r="A41" s="9" t="n">
        <v>38</v>
      </c>
      <c r="B41" s="9" t="inlineStr">
        <is>
          <t>차원의 틈: 랜덤 몬스터</t>
        </is>
      </c>
      <c r="C41" s="9" t="n">
        <v>15</v>
      </c>
      <c r="D41" s="9" t="n">
        <v>3000</v>
      </c>
      <c r="E41" s="9" t="n">
        <v>70</v>
      </c>
      <c r="F41" s="9" t="inlineStr">
        <is>
          <t>매 10초 랜덤 몬스터 추가 소환 + 차원 왜곡</t>
        </is>
      </c>
      <c r="G41" s="9" t="inlineStr"/>
      <c r="H41" s="9" t="inlineStr">
        <is>
          <t>차원 결정</t>
        </is>
      </c>
    </row>
    <row r="42">
      <c r="A42" s="8" t="n">
        <v>39</v>
      </c>
      <c r="B42" s="8" t="inlineStr">
        <is>
          <t>카오스 군단 총출동</t>
        </is>
      </c>
      <c r="C42" s="8" t="n">
        <v>20</v>
      </c>
      <c r="D42" s="8" t="n">
        <v>4000</v>
      </c>
      <c r="E42" s="8" t="n">
        <v>75</v>
      </c>
      <c r="F42" s="8" t="inlineStr">
        <is>
          <t>모든 특수 능력 랜덤 부여 + 엘리트화</t>
        </is>
      </c>
      <c r="G42" s="8" t="inlineStr"/>
      <c r="H42" s="8" t="inlineStr">
        <is>
          <t>카오스 코어</t>
        </is>
      </c>
    </row>
    <row r="43">
      <c r="A43" s="9" t="n">
        <v>40</v>
      </c>
      <c r="B43" s="9" t="inlineStr">
        <is>
          <t>세계의 적 (최종 보스)</t>
        </is>
      </c>
      <c r="C43" s="9" t="n">
        <v>1</v>
      </c>
      <c r="D43" s="9" t="n">
        <v>50000</v>
      </c>
      <c r="E43" s="9" t="n">
        <v>80</v>
      </c>
      <c r="F43" s="9" t="inlineStr">
        <is>
          <t>5페이즈: 창조→파괴→혼돈→종말→재탄생, 전체 즉사기(회피 가능)</t>
        </is>
      </c>
      <c r="G43" s="9" t="inlineStr">
        <is>
          <t>세계의 적</t>
        </is>
      </c>
      <c r="H43" s="9" t="inlineStr">
        <is>
          <t>세계의 적 왕관 (1%) + 전설 장비 확정</t>
        </is>
      </c>
    </row>
  </sheetData>
  <mergeCells count="1">
    <mergeCell ref="A1:H1"/>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6" customWidth="1" min="1" max="1"/>
    <col width="16" customWidth="1" min="2" max="2"/>
    <col width="12" customWidth="1" min="3" max="3"/>
    <col width="12" customWidth="1" min="4" max="4"/>
    <col width="12" customWidth="1" min="5" max="5"/>
    <col width="28" customWidth="1" min="6" max="6"/>
    <col width="8" customWidth="1" min="7" max="7"/>
    <col width="26" customWidth="1" min="8" max="8"/>
  </cols>
  <sheetData>
    <row r="1">
      <c r="A1" s="6" t="inlineStr">
        <is>
          <t>요리 레시피 50종</t>
        </is>
      </c>
    </row>
    <row r="3">
      <c r="A3" s="7" t="inlineStr">
        <is>
          <t>등급</t>
        </is>
      </c>
      <c r="B3" s="7" t="inlineStr">
        <is>
          <t>요리명</t>
        </is>
      </c>
      <c r="C3" s="7" t="inlineStr">
        <is>
          <t>재료 1</t>
        </is>
      </c>
      <c r="D3" s="7" t="inlineStr">
        <is>
          <t>재료 2</t>
        </is>
      </c>
      <c r="E3" s="7" t="inlineStr">
        <is>
          <t>재료 3</t>
        </is>
      </c>
      <c r="F3" s="7" t="inlineStr">
        <is>
          <t>효과</t>
        </is>
      </c>
      <c r="G3" s="7" t="inlineStr">
        <is>
          <t>지속시간</t>
        </is>
      </c>
      <c r="H3" s="7" t="inlineStr">
        <is>
          <t>발견 힌트</t>
        </is>
      </c>
    </row>
    <row r="4">
      <c r="A4" s="8" t="inlineStr">
        <is>
          <t>일반</t>
        </is>
      </c>
      <c r="B4" s="8" t="inlineStr">
        <is>
          <t>약초 수프</t>
        </is>
      </c>
      <c r="C4" s="8" t="inlineStr">
        <is>
          <t>약초</t>
        </is>
      </c>
      <c r="D4" s="8" t="inlineStr">
        <is>
          <t>깨끗한 물</t>
        </is>
      </c>
      <c r="E4" s="8" t="inlineStr">
        <is>
          <t>—</t>
        </is>
      </c>
      <c r="F4" s="8" t="inlineStr">
        <is>
          <t>HP 회복 +3%</t>
        </is>
      </c>
      <c r="G4" s="8" t="inlineStr">
        <is>
          <t>60초</t>
        </is>
      </c>
      <c r="H4" s="8" t="inlineStr">
        <is>
          <t>마을 약초밭 근처에서 물을 끓여보자</t>
        </is>
      </c>
    </row>
    <row r="5">
      <c r="A5" s="9" t="inlineStr">
        <is>
          <t>일반</t>
        </is>
      </c>
      <c r="B5" s="9" t="inlineStr">
        <is>
          <t>구운 슬라임 젤리</t>
        </is>
      </c>
      <c r="C5" s="9" t="inlineStr">
        <is>
          <t>슬라임 젤리</t>
        </is>
      </c>
      <c r="D5" s="9" t="inlineStr">
        <is>
          <t>장작</t>
        </is>
      </c>
      <c r="E5" s="9" t="inlineStr">
        <is>
          <t>—</t>
        </is>
      </c>
      <c r="F5" s="9" t="inlineStr">
        <is>
          <t>DEF +3%</t>
        </is>
      </c>
      <c r="G5" s="9" t="inlineStr">
        <is>
          <t>60초</t>
        </is>
      </c>
      <c r="H5" s="9" t="inlineStr">
        <is>
          <t>슬라임을 잡으면 얻는 젤리를 구워보자</t>
        </is>
      </c>
    </row>
    <row r="6">
      <c r="A6" s="8" t="inlineStr">
        <is>
          <t>일반</t>
        </is>
      </c>
      <c r="B6" s="8" t="inlineStr">
        <is>
          <t>늑대 고기구이</t>
        </is>
      </c>
      <c r="C6" s="8" t="inlineStr">
        <is>
          <t>늑대 고기</t>
        </is>
      </c>
      <c r="D6" s="8" t="inlineStr">
        <is>
          <t>소금</t>
        </is>
      </c>
      <c r="E6" s="8" t="inlineStr">
        <is>
          <t>—</t>
        </is>
      </c>
      <c r="F6" s="8" t="inlineStr">
        <is>
          <t>ATK +3%</t>
        </is>
      </c>
      <c r="G6" s="8" t="inlineStr">
        <is>
          <t>60초</t>
        </is>
      </c>
      <c r="H6" s="8" t="inlineStr">
        <is>
          <t>사냥꾼이 좋아하는 간단한 요리</t>
        </is>
      </c>
    </row>
    <row r="7">
      <c r="A7" s="9" t="inlineStr">
        <is>
          <t>일반</t>
        </is>
      </c>
      <c r="B7" s="9" t="inlineStr">
        <is>
          <t>딸기 주스</t>
        </is>
      </c>
      <c r="C7" s="9" t="inlineStr">
        <is>
          <t>딸기</t>
        </is>
      </c>
      <c r="D7" s="9" t="inlineStr">
        <is>
          <t>깨끗한 물</t>
        </is>
      </c>
      <c r="E7" s="9" t="inlineStr">
        <is>
          <t>—</t>
        </is>
      </c>
      <c r="F7" s="9" t="inlineStr">
        <is>
          <t>이동속도 +3%</t>
        </is>
      </c>
      <c r="G7" s="9" t="inlineStr">
        <is>
          <t>60초</t>
        </is>
      </c>
      <c r="H7" s="9" t="inlineStr">
        <is>
          <t>마을 과수원의 딸기로 만든 음료</t>
        </is>
      </c>
    </row>
    <row r="8">
      <c r="A8" s="8" t="inlineStr">
        <is>
          <t>일반</t>
        </is>
      </c>
      <c r="B8" s="8" t="inlineStr">
        <is>
          <t>허브 빵</t>
        </is>
      </c>
      <c r="C8" s="8" t="inlineStr">
        <is>
          <t>밀가루</t>
        </is>
      </c>
      <c r="D8" s="8" t="inlineStr">
        <is>
          <t>약초</t>
        </is>
      </c>
      <c r="E8" s="8" t="inlineStr">
        <is>
          <t>—</t>
        </is>
      </c>
      <c r="F8" s="8" t="inlineStr">
        <is>
          <t>HP 자동회복 +1/초</t>
        </is>
      </c>
      <c r="G8" s="8" t="inlineStr">
        <is>
          <t>60초</t>
        </is>
      </c>
      <c r="H8" s="8" t="inlineStr">
        <is>
          <t>빵집 주인에게 약초를 건네보자</t>
        </is>
      </c>
    </row>
    <row r="9">
      <c r="A9" s="9" t="inlineStr">
        <is>
          <t>일반</t>
        </is>
      </c>
      <c r="B9" s="9" t="inlineStr">
        <is>
          <t>꿀 토스트</t>
        </is>
      </c>
      <c r="C9" s="9" t="inlineStr">
        <is>
          <t>밀가루</t>
        </is>
      </c>
      <c r="D9" s="9" t="inlineStr">
        <is>
          <t>벌꿀</t>
        </is>
      </c>
      <c r="E9" s="9" t="inlineStr">
        <is>
          <t>—</t>
        </is>
      </c>
      <c r="F9" s="9" t="inlineStr">
        <is>
          <t>경험치 +3%</t>
        </is>
      </c>
      <c r="G9" s="9" t="inlineStr">
        <is>
          <t>60초</t>
        </is>
      </c>
      <c r="H9" s="9" t="inlineStr">
        <is>
          <t>달콤한 향이 나는 아침 식사</t>
        </is>
      </c>
    </row>
    <row r="10">
      <c r="A10" s="8" t="inlineStr">
        <is>
          <t>일반</t>
        </is>
      </c>
      <c r="B10" s="8" t="inlineStr">
        <is>
          <t>버섯 볶음</t>
        </is>
      </c>
      <c r="C10" s="8" t="inlineStr">
        <is>
          <t>버섯</t>
        </is>
      </c>
      <c r="D10" s="8" t="inlineStr">
        <is>
          <t>소금</t>
        </is>
      </c>
      <c r="E10" s="8" t="inlineStr">
        <is>
          <t>—</t>
        </is>
      </c>
      <c r="F10" s="8" t="inlineStr">
        <is>
          <t>독 저항 +10%</t>
        </is>
      </c>
      <c r="G10" s="8" t="inlineStr">
        <is>
          <t>60초</t>
        </is>
      </c>
      <c r="H10" s="8" t="inlineStr">
        <is>
          <t>숲에서 채집한 버섯을 볶아보자</t>
        </is>
      </c>
    </row>
    <row r="11">
      <c r="A11" s="9" t="inlineStr">
        <is>
          <t>일반</t>
        </is>
      </c>
      <c r="B11" s="9" t="inlineStr">
        <is>
          <t>생선구이</t>
        </is>
      </c>
      <c r="C11" s="9" t="inlineStr">
        <is>
          <t>민물고기</t>
        </is>
      </c>
      <c r="D11" s="9" t="inlineStr">
        <is>
          <t>장작</t>
        </is>
      </c>
      <c r="E11" s="9" t="inlineStr">
        <is>
          <t>—</t>
        </is>
      </c>
      <c r="F11" s="9" t="inlineStr">
        <is>
          <t>MP 회복 +3%</t>
        </is>
      </c>
      <c r="G11" s="9" t="inlineStr">
        <is>
          <t>60초</t>
        </is>
      </c>
      <c r="H11" s="9" t="inlineStr">
        <is>
          <t>강가에서 낚시하면 재료를 얻을 수 있다</t>
        </is>
      </c>
    </row>
    <row r="12">
      <c r="A12" s="8" t="inlineStr">
        <is>
          <t>일반</t>
        </is>
      </c>
      <c r="B12" s="8" t="inlineStr">
        <is>
          <t>감자 스프</t>
        </is>
      </c>
      <c r="C12" s="8" t="inlineStr">
        <is>
          <t>감자</t>
        </is>
      </c>
      <c r="D12" s="8" t="inlineStr">
        <is>
          <t>깨끗한 물</t>
        </is>
      </c>
      <c r="E12" s="8" t="inlineStr">
        <is>
          <t>—</t>
        </is>
      </c>
      <c r="F12" s="8" t="inlineStr">
        <is>
          <t>DEF +2%, HP +2%</t>
        </is>
      </c>
      <c r="G12" s="8" t="inlineStr">
        <is>
          <t>60초</t>
        </is>
      </c>
      <c r="H12" s="8" t="inlineStr">
        <is>
          <t>농부가 알려주는 기본 요리</t>
        </is>
      </c>
    </row>
    <row r="13">
      <c r="A13" s="9" t="inlineStr">
        <is>
          <t>일반</t>
        </is>
      </c>
      <c r="B13" s="9" t="inlineStr">
        <is>
          <t>사과 파이</t>
        </is>
      </c>
      <c r="C13" s="9" t="inlineStr">
        <is>
          <t>사과</t>
        </is>
      </c>
      <c r="D13" s="9" t="inlineStr">
        <is>
          <t>밀가루</t>
        </is>
      </c>
      <c r="E13" s="9" t="inlineStr">
        <is>
          <t>—</t>
        </is>
      </c>
      <c r="F13" s="9" t="inlineStr">
        <is>
          <t>크리티컬 +2%</t>
        </is>
      </c>
      <c r="G13" s="9" t="inlineStr">
        <is>
          <t>60초</t>
        </is>
      </c>
      <c r="H13" s="9" t="inlineStr">
        <is>
          <t>과수원 사과와 밀가루의 조합</t>
        </is>
      </c>
    </row>
    <row r="14">
      <c r="A14" s="8" t="inlineStr">
        <is>
          <t>일반</t>
        </is>
      </c>
      <c r="B14" s="8" t="inlineStr">
        <is>
          <t>소금 견과</t>
        </is>
      </c>
      <c r="C14" s="8" t="inlineStr">
        <is>
          <t>견과류</t>
        </is>
      </c>
      <c r="D14" s="8" t="inlineStr">
        <is>
          <t>소금</t>
        </is>
      </c>
      <c r="E14" s="8" t="inlineStr">
        <is>
          <t>—</t>
        </is>
      </c>
      <c r="F14" s="8" t="inlineStr">
        <is>
          <t>ATK +2%, DEF +1%</t>
        </is>
      </c>
      <c r="G14" s="8" t="inlineStr">
        <is>
          <t>60초</t>
        </is>
      </c>
      <c r="H14" s="8" t="inlineStr">
        <is>
          <t>산장 근처에서 채집한 견과를 볶자</t>
        </is>
      </c>
    </row>
    <row r="15">
      <c r="A15" s="9" t="inlineStr">
        <is>
          <t>일반</t>
        </is>
      </c>
      <c r="B15" s="9" t="inlineStr">
        <is>
          <t>당근 샐러드</t>
        </is>
      </c>
      <c r="C15" s="9" t="inlineStr">
        <is>
          <t>당근</t>
        </is>
      </c>
      <c r="D15" s="9" t="inlineStr">
        <is>
          <t>약초</t>
        </is>
      </c>
      <c r="E15" s="9" t="inlineStr">
        <is>
          <t>—</t>
        </is>
      </c>
      <c r="F15" s="9" t="inlineStr">
        <is>
          <t>시야 범위 +5%</t>
        </is>
      </c>
      <c r="G15" s="9" t="inlineStr">
        <is>
          <t>60초</t>
        </is>
      </c>
      <c r="H15" s="9" t="inlineStr">
        <is>
          <t>토끼가 좋아하는 채소 조합</t>
        </is>
      </c>
    </row>
    <row r="16">
      <c r="A16" s="8" t="inlineStr">
        <is>
          <t>일반</t>
        </is>
      </c>
      <c r="B16" s="8" t="inlineStr">
        <is>
          <t>치즈</t>
        </is>
      </c>
      <c r="C16" s="8" t="inlineStr">
        <is>
          <t>우유</t>
        </is>
      </c>
      <c r="D16" s="8" t="inlineStr">
        <is>
          <t>소금</t>
        </is>
      </c>
      <c r="E16" s="8" t="inlineStr">
        <is>
          <t>—</t>
        </is>
      </c>
      <c r="F16" s="8" t="inlineStr">
        <is>
          <t>HP 최대치 +3%</t>
        </is>
      </c>
      <c r="G16" s="8" t="inlineStr">
        <is>
          <t>60초</t>
        </is>
      </c>
      <c r="H16" s="8" t="inlineStr">
        <is>
          <t>목장에서 얻은 우유를 발효시키자</t>
        </is>
      </c>
    </row>
    <row r="17">
      <c r="A17" s="9" t="inlineStr">
        <is>
          <t>일반</t>
        </is>
      </c>
      <c r="B17" s="9" t="inlineStr">
        <is>
          <t>과일 모듬</t>
        </is>
      </c>
      <c r="C17" s="9" t="inlineStr">
        <is>
          <t>딸기</t>
        </is>
      </c>
      <c r="D17" s="9" t="inlineStr">
        <is>
          <t>사과</t>
        </is>
      </c>
      <c r="E17" s="9" t="inlineStr">
        <is>
          <t>—</t>
        </is>
      </c>
      <c r="F17" s="9" t="inlineStr">
        <is>
          <t>모든 회복량 +3%</t>
        </is>
      </c>
      <c r="G17" s="9" t="inlineStr">
        <is>
          <t>60초</t>
        </is>
      </c>
      <c r="H17" s="9" t="inlineStr">
        <is>
          <t>과일 두 가지를 섞어보자</t>
        </is>
      </c>
    </row>
    <row r="18">
      <c r="A18" s="8" t="inlineStr">
        <is>
          <t>일반</t>
        </is>
      </c>
      <c r="B18" s="8" t="inlineStr">
        <is>
          <t>보리차</t>
        </is>
      </c>
      <c r="C18" s="8" t="inlineStr">
        <is>
          <t>보리</t>
        </is>
      </c>
      <c r="D18" s="8" t="inlineStr">
        <is>
          <t>깨끗한 물</t>
        </is>
      </c>
      <c r="E18" s="8" t="inlineStr">
        <is>
          <t>—</t>
        </is>
      </c>
      <c r="F18" s="8" t="inlineStr">
        <is>
          <t>MP 최대치 +3%</t>
        </is>
      </c>
      <c r="G18" s="8" t="inlineStr">
        <is>
          <t>60초</t>
        </is>
      </c>
      <c r="H18" s="8" t="inlineStr">
        <is>
          <t>어디서나 만들 수 있는 기본 음료</t>
        </is>
      </c>
    </row>
    <row r="19">
      <c r="A19" s="9" t="inlineStr">
        <is>
          <t>고급</t>
        </is>
      </c>
      <c r="B19" s="9" t="inlineStr">
        <is>
          <t>약초 치킨</t>
        </is>
      </c>
      <c r="C19" s="9" t="inlineStr">
        <is>
          <t>닭고기</t>
        </is>
      </c>
      <c r="D19" s="9" t="inlineStr">
        <is>
          <t>약초</t>
        </is>
      </c>
      <c r="E19" s="9" t="inlineStr">
        <is>
          <t>소금</t>
        </is>
      </c>
      <c r="F19" s="9" t="inlineStr">
        <is>
          <t>ATK +5%, HP 회복 +3%</t>
        </is>
      </c>
      <c r="G19" s="9" t="inlineStr">
        <is>
          <t>120초</t>
        </is>
      </c>
      <c r="H19" s="9" t="inlineStr">
        <is>
          <t>사냥꾼 리라의 비밀 레시피</t>
        </is>
      </c>
    </row>
    <row r="20">
      <c r="A20" s="8" t="inlineStr">
        <is>
          <t>고급</t>
        </is>
      </c>
      <c r="B20" s="8" t="inlineStr">
        <is>
          <t>슬라임 젤리 케이크</t>
        </is>
      </c>
      <c r="C20" s="8" t="inlineStr">
        <is>
          <t>슬라임 젤리</t>
        </is>
      </c>
      <c r="D20" s="8" t="inlineStr">
        <is>
          <t>밀가루</t>
        </is>
      </c>
      <c r="E20" s="8" t="inlineStr">
        <is>
          <t>벌꿀</t>
        </is>
      </c>
      <c r="F20" s="8" t="inlineStr">
        <is>
          <t>DEF +5%, 이동속도 +3%</t>
        </is>
      </c>
      <c r="G20" s="8" t="inlineStr">
        <is>
          <t>120초</t>
        </is>
      </c>
      <c r="H20" s="8" t="inlineStr">
        <is>
          <t>대장장이가 의외로 좋아하는 디저트</t>
        </is>
      </c>
    </row>
    <row r="21">
      <c r="A21" s="9" t="inlineStr">
        <is>
          <t>고급</t>
        </is>
      </c>
      <c r="B21" s="9" t="inlineStr">
        <is>
          <t>드래곤 프루츠 샐러드</t>
        </is>
      </c>
      <c r="C21" s="9" t="inlineStr">
        <is>
          <t>드래곤 프루츠</t>
        </is>
      </c>
      <c r="D21" s="9" t="inlineStr">
        <is>
          <t>약초</t>
        </is>
      </c>
      <c r="E21" s="9" t="inlineStr">
        <is>
          <t>견과류</t>
        </is>
      </c>
      <c r="F21" s="9" t="inlineStr">
        <is>
          <t>HP +8%, 독 저항 +15%</t>
        </is>
      </c>
      <c r="G21" s="9" t="inlineStr">
        <is>
          <t>120초</t>
        </is>
      </c>
      <c r="H21" s="9" t="inlineStr">
        <is>
          <t>사막 오아시스에서만 자라는 과일</t>
        </is>
      </c>
    </row>
    <row r="22">
      <c r="A22" s="8" t="inlineStr">
        <is>
          <t>고급</t>
        </is>
      </c>
      <c r="B22" s="8" t="inlineStr">
        <is>
          <t>마법의 스튜</t>
        </is>
      </c>
      <c r="C22" s="8" t="inlineStr">
        <is>
          <t>마나풀</t>
        </is>
      </c>
      <c r="D22" s="8" t="inlineStr">
        <is>
          <t>버섯</t>
        </is>
      </c>
      <c r="E22" s="8" t="inlineStr">
        <is>
          <t>깨끗한 물</t>
        </is>
      </c>
      <c r="F22" s="8" t="inlineStr">
        <is>
          <t>MP +8%, 마법 피해 +5%</t>
        </is>
      </c>
      <c r="G22" s="8" t="inlineStr">
        <is>
          <t>120초</t>
        </is>
      </c>
      <c r="H22" s="8" t="inlineStr">
        <is>
          <t>현자 엘드린이 가끔 만드는 요리</t>
        </is>
      </c>
    </row>
    <row r="23">
      <c r="A23" s="9" t="inlineStr">
        <is>
          <t>고급</t>
        </is>
      </c>
      <c r="B23" s="9" t="inlineStr">
        <is>
          <t>강화 빵</t>
        </is>
      </c>
      <c r="C23" s="9" t="inlineStr">
        <is>
          <t>밀가루</t>
        </is>
      </c>
      <c r="D23" s="9" t="inlineStr">
        <is>
          <t>벌꿀</t>
        </is>
      </c>
      <c r="E23" s="9" t="inlineStr">
        <is>
          <t>마나풀</t>
        </is>
      </c>
      <c r="F23" s="9" t="inlineStr">
        <is>
          <t>경험치 +5%, HP 자동회복 +2/초</t>
        </is>
      </c>
      <c r="G23" s="9" t="inlineStr">
        <is>
          <t>120초</t>
        </is>
      </c>
      <c r="H23" s="9" t="inlineStr">
        <is>
          <t>마법을 불어넣은 특별한 빵</t>
        </is>
      </c>
    </row>
    <row r="24">
      <c r="A24" s="8" t="inlineStr">
        <is>
          <t>고급</t>
        </is>
      </c>
      <c r="B24" s="8" t="inlineStr">
        <is>
          <t>불꽃 꼬치</t>
        </is>
      </c>
      <c r="C24" s="8" t="inlineStr">
        <is>
          <t>늑대 고기</t>
        </is>
      </c>
      <c r="D24" s="8" t="inlineStr">
        <is>
          <t>고추</t>
        </is>
      </c>
      <c r="E24" s="8" t="inlineStr">
        <is>
          <t>장작</t>
        </is>
      </c>
      <c r="F24" s="8" t="inlineStr">
        <is>
          <t>ATK +5%, 화상 부여 10%</t>
        </is>
      </c>
      <c r="G24" s="8" t="inlineStr">
        <is>
          <t>120초</t>
        </is>
      </c>
      <c r="H24" s="8" t="inlineStr">
        <is>
          <t>화산 마을 특산 요리</t>
        </is>
      </c>
    </row>
    <row r="25">
      <c r="A25" s="9" t="inlineStr">
        <is>
          <t>고급</t>
        </is>
      </c>
      <c r="B25" s="9" t="inlineStr">
        <is>
          <t>얼음 셔벗</t>
        </is>
      </c>
      <c r="C25" s="9" t="inlineStr">
        <is>
          <t>얼음 결정</t>
        </is>
      </c>
      <c r="D25" s="9" t="inlineStr">
        <is>
          <t>딸기</t>
        </is>
      </c>
      <c r="E25" s="9" t="inlineStr">
        <is>
          <t>벌꿀</t>
        </is>
      </c>
      <c r="F25" s="9" t="inlineStr">
        <is>
          <t>빙결 저항 +20%, 이동속도 +5%</t>
        </is>
      </c>
      <c r="G25" s="9" t="inlineStr">
        <is>
          <t>120초</t>
        </is>
      </c>
      <c r="H25" s="9" t="inlineStr">
        <is>
          <t>설산에서 채취한 얼음으로 만든 디저트</t>
        </is>
      </c>
    </row>
    <row r="26">
      <c r="A26" s="8" t="inlineStr">
        <is>
          <t>고급</t>
        </is>
      </c>
      <c r="B26" s="8" t="inlineStr">
        <is>
          <t>해산물 파스타</t>
        </is>
      </c>
      <c r="C26" s="8" t="inlineStr">
        <is>
          <t>조개</t>
        </is>
      </c>
      <c r="D26" s="8" t="inlineStr">
        <is>
          <t>밀가루</t>
        </is>
      </c>
      <c r="E26" s="8" t="inlineStr">
        <is>
          <t>소금</t>
        </is>
      </c>
      <c r="F26" s="8" t="inlineStr">
        <is>
          <t>ATK +3%, DEF +3%, HP +3%</t>
        </is>
      </c>
      <c r="G26" s="8" t="inlineStr">
        <is>
          <t>120초</t>
        </is>
      </c>
      <c r="H26" s="8" t="inlineStr">
        <is>
          <t>별빛 항구의 인기 메뉴</t>
        </is>
      </c>
    </row>
    <row r="27">
      <c r="A27" s="9" t="inlineStr">
        <is>
          <t>고급</t>
        </is>
      </c>
      <c r="B27" s="9" t="inlineStr">
        <is>
          <t>숲의 약탕</t>
        </is>
      </c>
      <c r="C27" s="9" t="inlineStr">
        <is>
          <t>약초</t>
        </is>
      </c>
      <c r="D27" s="9" t="inlineStr">
        <is>
          <t>버섯</t>
        </is>
      </c>
      <c r="E27" s="9" t="inlineStr">
        <is>
          <t>벌꿀</t>
        </is>
      </c>
      <c r="F27" s="9" t="inlineStr">
        <is>
          <t>HP 자동회복 +3/초, 독 해제</t>
        </is>
      </c>
      <c r="G27" s="9" t="inlineStr">
        <is>
          <t>120초</t>
        </is>
      </c>
      <c r="H27" s="9" t="inlineStr">
        <is>
          <t>숲 깊은 곳의 약사에게 배울 수 있다</t>
        </is>
      </c>
    </row>
    <row r="28">
      <c r="A28" s="8" t="inlineStr">
        <is>
          <t>고급</t>
        </is>
      </c>
      <c r="B28" s="8" t="inlineStr">
        <is>
          <t>사막 대추차</t>
        </is>
      </c>
      <c r="C28" s="8" t="inlineStr">
        <is>
          <t>대추</t>
        </is>
      </c>
      <c r="D28" s="8" t="inlineStr">
        <is>
          <t>깨끗한 물</t>
        </is>
      </c>
      <c r="E28" s="8" t="inlineStr">
        <is>
          <t>벌꿀</t>
        </is>
      </c>
      <c r="F28" s="8" t="inlineStr">
        <is>
          <t>MP 자동회복 +2/초, 더위 저항</t>
        </is>
      </c>
      <c r="G28" s="8" t="inlineStr">
        <is>
          <t>120초</t>
        </is>
      </c>
      <c r="H28" s="8" t="inlineStr">
        <is>
          <t>상인 하산의 고향 음료</t>
        </is>
      </c>
    </row>
    <row r="29">
      <c r="A29" s="9" t="inlineStr">
        <is>
          <t>고급</t>
        </is>
      </c>
      <c r="B29" s="9" t="inlineStr">
        <is>
          <t>견과 에너지바</t>
        </is>
      </c>
      <c r="C29" s="9" t="inlineStr">
        <is>
          <t>견과류</t>
        </is>
      </c>
      <c r="D29" s="9" t="inlineStr">
        <is>
          <t>벌꿀</t>
        </is>
      </c>
      <c r="E29" s="9" t="inlineStr">
        <is>
          <t>밀가루</t>
        </is>
      </c>
      <c r="F29" s="9" t="inlineStr">
        <is>
          <t>전투력 +3%, 지구력 +5%</t>
        </is>
      </c>
      <c r="G29" s="9" t="inlineStr">
        <is>
          <t>120초</t>
        </is>
      </c>
      <c r="H29" s="9" t="inlineStr">
        <is>
          <t>산장에서 등산 전에 먹는 간식</t>
        </is>
      </c>
    </row>
    <row r="30">
      <c r="A30" s="8" t="inlineStr">
        <is>
          <t>고급</t>
        </is>
      </c>
      <c r="B30" s="8" t="inlineStr">
        <is>
          <t>치즈 리조또</t>
        </is>
      </c>
      <c r="C30" s="8" t="inlineStr">
        <is>
          <t>치즈</t>
        </is>
      </c>
      <c r="D30" s="8" t="inlineStr">
        <is>
          <t>쌀</t>
        </is>
      </c>
      <c r="E30" s="8" t="inlineStr">
        <is>
          <t>우유</t>
        </is>
      </c>
      <c r="F30" s="8" t="inlineStr">
        <is>
          <t>DEF +5%, HP 최대치 +5%</t>
        </is>
      </c>
      <c r="G30" s="8" t="inlineStr">
        <is>
          <t>120초</t>
        </is>
      </c>
      <c r="H30" s="8" t="inlineStr">
        <is>
          <t>목장 마을의 전통 요리</t>
        </is>
      </c>
    </row>
    <row r="31">
      <c r="A31" s="9" t="inlineStr">
        <is>
          <t>고급</t>
        </is>
      </c>
      <c r="B31" s="9" t="inlineStr">
        <is>
          <t>매운 떡볶이</t>
        </is>
      </c>
      <c r="C31" s="9" t="inlineStr">
        <is>
          <t>떡</t>
        </is>
      </c>
      <c r="D31" s="9" t="inlineStr">
        <is>
          <t>고추</t>
        </is>
      </c>
      <c r="E31" s="9" t="inlineStr">
        <is>
          <t>소금</t>
        </is>
      </c>
      <c r="F31" s="9" t="inlineStr">
        <is>
          <t>ATK +4%, 크리티컬 +3%</t>
        </is>
      </c>
      <c r="G31" s="9" t="inlineStr">
        <is>
          <t>120초</t>
        </is>
      </c>
      <c r="H31" s="9" t="inlineStr">
        <is>
          <t>도적 카인이 좋아하는 매운 음식</t>
        </is>
      </c>
    </row>
    <row r="32">
      <c r="A32" s="8" t="inlineStr">
        <is>
          <t>고급</t>
        </is>
      </c>
      <c r="B32" s="8" t="inlineStr">
        <is>
          <t>별빛 칵테일</t>
        </is>
      </c>
      <c r="C32" s="8" t="inlineStr">
        <is>
          <t>별빛 이슬</t>
        </is>
      </c>
      <c r="D32" s="8" t="inlineStr">
        <is>
          <t>딸기</t>
        </is>
      </c>
      <c r="E32" s="8" t="inlineStr">
        <is>
          <t>깨끗한 물</t>
        </is>
      </c>
      <c r="F32" s="8" t="inlineStr">
        <is>
          <t>경험치 +8%, 행운 +3%</t>
        </is>
      </c>
      <c r="G32" s="8" t="inlineStr">
        <is>
          <t>120초</t>
        </is>
      </c>
      <c r="H32" s="8" t="inlineStr">
        <is>
          <t>밤에만 채집 가능한 재료가 핵심</t>
        </is>
      </c>
    </row>
    <row r="33">
      <c r="A33" s="9" t="inlineStr">
        <is>
          <t>고급</t>
        </is>
      </c>
      <c r="B33" s="9" t="inlineStr">
        <is>
          <t>황금 수프</t>
        </is>
      </c>
      <c r="C33" s="9" t="inlineStr">
        <is>
          <t>닭고기</t>
        </is>
      </c>
      <c r="D33" s="9" t="inlineStr">
        <is>
          <t>감자</t>
        </is>
      </c>
      <c r="E33" s="9" t="inlineStr">
        <is>
          <t>당근</t>
        </is>
      </c>
      <c r="F33" s="9" t="inlineStr">
        <is>
          <t>모든 스탯 +3%</t>
        </is>
      </c>
      <c r="G33" s="9" t="inlineStr">
        <is>
          <t>120초</t>
        </is>
      </c>
      <c r="H33" s="9" t="inlineStr">
        <is>
          <t>가장 균형 잡힌 요리</t>
        </is>
      </c>
    </row>
    <row r="34">
      <c r="A34" s="8" t="inlineStr">
        <is>
          <t>희귀</t>
        </is>
      </c>
      <c r="B34" s="8" t="inlineStr">
        <is>
          <t>용의 숨결 스테이크</t>
        </is>
      </c>
      <c r="C34" s="8" t="inlineStr">
        <is>
          <t>드래곤 고기</t>
        </is>
      </c>
      <c r="D34" s="8" t="inlineStr">
        <is>
          <t>불꽃 향신료</t>
        </is>
      </c>
      <c r="E34" s="8" t="inlineStr">
        <is>
          <t>소금</t>
        </is>
      </c>
      <c r="F34" s="8" t="inlineStr">
        <is>
          <t>ATK +8%, 화상 부여 20%</t>
        </is>
      </c>
      <c r="G34" s="8" t="inlineStr">
        <is>
          <t>180초</t>
        </is>
      </c>
      <c r="H34" s="8" t="inlineStr">
        <is>
          <t>드래곤을 잡아야 얻는 최고급 고기</t>
        </is>
      </c>
    </row>
    <row r="35">
      <c r="A35" s="9" t="inlineStr">
        <is>
          <t>희귀</t>
        </is>
      </c>
      <c r="B35" s="9" t="inlineStr">
        <is>
          <t>세계수 차</t>
        </is>
      </c>
      <c r="C35" s="9" t="inlineStr">
        <is>
          <t>세계수 잎</t>
        </is>
      </c>
      <c r="D35" s="9" t="inlineStr">
        <is>
          <t>깨끗한 물</t>
        </is>
      </c>
      <c r="E35" s="9" t="inlineStr">
        <is>
          <t>벌꿀</t>
        </is>
      </c>
      <c r="F35" s="9" t="inlineStr">
        <is>
          <t>HP +10%, MP +10%, 모든 저항 +10%</t>
        </is>
      </c>
      <c r="G35" s="9" t="inlineStr">
        <is>
          <t>180초</t>
        </is>
      </c>
      <c r="H35" s="9" t="inlineStr">
        <is>
          <t>세계수 근처에서만 채집 가능한 잎</t>
        </is>
      </c>
    </row>
    <row r="36">
      <c r="A36" s="8" t="inlineStr">
        <is>
          <t>희귀</t>
        </is>
      </c>
      <c r="B36" s="8" t="inlineStr">
        <is>
          <t>정령의 젤리</t>
        </is>
      </c>
      <c r="C36" s="8" t="inlineStr">
        <is>
          <t>정령 에센스</t>
        </is>
      </c>
      <c r="D36" s="8" t="inlineStr">
        <is>
          <t>슬라임 젤리</t>
        </is>
      </c>
      <c r="E36" s="8" t="inlineStr">
        <is>
          <t>마나풀</t>
        </is>
      </c>
      <c r="F36" s="8" t="inlineStr">
        <is>
          <t>마법 피해 +8%, MP 자동회복 +3/초</t>
        </is>
      </c>
      <c r="G36" s="8" t="inlineStr">
        <is>
          <t>180초</t>
        </is>
      </c>
      <c r="H36" s="8" t="inlineStr">
        <is>
          <t>정령을 소환해야 얻는 희귀 재료</t>
        </is>
      </c>
    </row>
    <row r="37">
      <c r="A37" s="9" t="inlineStr">
        <is>
          <t>희귀</t>
        </is>
      </c>
      <c r="B37" s="9" t="inlineStr">
        <is>
          <t>피닉스 날개 구이</t>
        </is>
      </c>
      <c r="C37" s="9" t="inlineStr">
        <is>
          <t>피닉스 깃털</t>
        </is>
      </c>
      <c r="D37" s="9" t="inlineStr">
        <is>
          <t>불꽃 향신료</t>
        </is>
      </c>
      <c r="E37" s="9" t="inlineStr">
        <is>
          <t>장작</t>
        </is>
      </c>
      <c r="F37" s="9" t="inlineStr">
        <is>
          <t>부활 1회 (HP 30%), ATK +5%</t>
        </is>
      </c>
      <c r="G37" s="9" t="inlineStr">
        <is>
          <t>180초</t>
        </is>
      </c>
      <c r="H37" s="9" t="inlineStr">
        <is>
          <t>불사조의 깃털을 요리할 수 있다면</t>
        </is>
      </c>
    </row>
    <row r="38">
      <c r="A38" s="8" t="inlineStr">
        <is>
          <t>희귀</t>
        </is>
      </c>
      <c r="B38" s="8" t="inlineStr">
        <is>
          <t>빙하 시럽 팬케이크</t>
        </is>
      </c>
      <c r="C38" s="8" t="inlineStr">
        <is>
          <t>빙하 시럽</t>
        </is>
      </c>
      <c r="D38" s="8" t="inlineStr">
        <is>
          <t>밀가루</t>
        </is>
      </c>
      <c r="E38" s="8" t="inlineStr">
        <is>
          <t>벌꿀</t>
        </is>
      </c>
      <c r="F38" s="8" t="inlineStr">
        <is>
          <t>빙결 부여 15%, DEF +8%</t>
        </is>
      </c>
      <c r="G38" s="8" t="inlineStr">
        <is>
          <t>180초</t>
        </is>
      </c>
      <c r="H38" s="8" t="inlineStr">
        <is>
          <t>만년설에서 추출한 시럽이 핵심</t>
        </is>
      </c>
    </row>
    <row r="39">
      <c r="A39" s="9" t="inlineStr">
        <is>
          <t>희귀</t>
        </is>
      </c>
      <c r="B39" s="9" t="inlineStr">
        <is>
          <t>암흑 초콜릿</t>
        </is>
      </c>
      <c r="C39" s="9" t="inlineStr">
        <is>
          <t>카카오 원두</t>
        </is>
      </c>
      <c r="D39" s="9" t="inlineStr">
        <is>
          <t>암흑 에센스</t>
        </is>
      </c>
      <c r="E39" s="9" t="inlineStr">
        <is>
          <t>벌꿀</t>
        </is>
      </c>
      <c r="F39" s="9" t="inlineStr">
        <is>
          <t>크리티컬 +8%, 크리 피해 +15%</t>
        </is>
      </c>
      <c r="G39" s="9" t="inlineStr">
        <is>
          <t>180초</t>
        </is>
      </c>
      <c r="H39" s="9" t="inlineStr">
        <is>
          <t>심연의 골짜기에서만 자라는 카카오</t>
        </is>
      </c>
    </row>
    <row r="40">
      <c r="A40" s="8" t="inlineStr">
        <is>
          <t>희귀</t>
        </is>
      </c>
      <c r="B40" s="8" t="inlineStr">
        <is>
          <t>별빛 마카롱</t>
        </is>
      </c>
      <c r="C40" s="8" t="inlineStr">
        <is>
          <t>별빛 이슬</t>
        </is>
      </c>
      <c r="D40" s="8" t="inlineStr">
        <is>
          <t>밀가루</t>
        </is>
      </c>
      <c r="E40" s="8" t="inlineStr">
        <is>
          <t>마나풀</t>
        </is>
      </c>
      <c r="F40" s="8" t="inlineStr">
        <is>
          <t>경험치 +10%, 행운 +5%</t>
        </is>
      </c>
      <c r="G40" s="8" t="inlineStr">
        <is>
          <t>180초</t>
        </is>
      </c>
      <c r="H40" s="8" t="inlineStr">
        <is>
          <t>별이 가장 밝은 밤에만 만들 수 있다</t>
        </is>
      </c>
    </row>
    <row r="41">
      <c r="A41" s="9" t="inlineStr">
        <is>
          <t>희귀</t>
        </is>
      </c>
      <c r="B41" s="9" t="inlineStr">
        <is>
          <t>전사의 도시락</t>
        </is>
      </c>
      <c r="C41" s="9" t="inlineStr">
        <is>
          <t>드래곤 고기</t>
        </is>
      </c>
      <c r="D41" s="9" t="inlineStr">
        <is>
          <t>닭고기</t>
        </is>
      </c>
      <c r="E41" s="9" t="inlineStr">
        <is>
          <t>견과류</t>
        </is>
      </c>
      <c r="F41" s="9" t="inlineStr">
        <is>
          <t>ATK +6%, DEF +6%, HP +6%</t>
        </is>
      </c>
      <c r="G41" s="9" t="inlineStr">
        <is>
          <t>180초</t>
        </is>
      </c>
      <c r="H41" s="9" t="inlineStr">
        <is>
          <t>용기사 레온의 출전 식사</t>
        </is>
      </c>
    </row>
    <row r="42">
      <c r="A42" s="8" t="inlineStr">
        <is>
          <t>희귀</t>
        </is>
      </c>
      <c r="B42" s="8" t="inlineStr">
        <is>
          <t>마법사의 차</t>
        </is>
      </c>
      <c r="C42" s="8" t="inlineStr">
        <is>
          <t>세계수 잎</t>
        </is>
      </c>
      <c r="D42" s="8" t="inlineStr">
        <is>
          <t>마나풀</t>
        </is>
      </c>
      <c r="E42" s="8" t="inlineStr">
        <is>
          <t>약초</t>
        </is>
      </c>
      <c r="F42" s="8" t="inlineStr">
        <is>
          <t>MP +15%, 스킬 쿨다운 -5%</t>
        </is>
      </c>
      <c r="G42" s="8" t="inlineStr">
        <is>
          <t>180초</t>
        </is>
      </c>
      <c r="H42" s="8" t="inlineStr">
        <is>
          <t>현자 엘드린의 애장 레시피</t>
        </is>
      </c>
    </row>
    <row r="43">
      <c r="A43" s="9" t="inlineStr">
        <is>
          <t>희귀</t>
        </is>
      </c>
      <c r="B43" s="9" t="inlineStr">
        <is>
          <t>도적의 연막탄 쿠키</t>
        </is>
      </c>
      <c r="C43" s="9" t="inlineStr">
        <is>
          <t>연막 가루</t>
        </is>
      </c>
      <c r="D43" s="9" t="inlineStr">
        <is>
          <t>밀가루</t>
        </is>
      </c>
      <c r="E43" s="9" t="inlineStr">
        <is>
          <t>벌꿀</t>
        </is>
      </c>
      <c r="F43" s="9" t="inlineStr">
        <is>
          <t>회피 +8%, 이동속도 +8%</t>
        </is>
      </c>
      <c r="G43" s="9" t="inlineStr">
        <is>
          <t>180초</t>
        </is>
      </c>
      <c r="H43" s="9" t="inlineStr">
        <is>
          <t>도적 카인이 절대 안 알려주는 레시피</t>
        </is>
      </c>
    </row>
    <row r="44">
      <c r="A44" s="8" t="inlineStr">
        <is>
          <t>희귀</t>
        </is>
      </c>
      <c r="B44" s="8" t="inlineStr">
        <is>
          <t>성수 푸딩</t>
        </is>
      </c>
      <c r="C44" s="8" t="inlineStr">
        <is>
          <t>성수</t>
        </is>
      </c>
      <c r="D44" s="8" t="inlineStr">
        <is>
          <t>우유</t>
        </is>
      </c>
      <c r="E44" s="8" t="inlineStr">
        <is>
          <t>벌꿀</t>
        </is>
      </c>
      <c r="F44" s="8" t="inlineStr">
        <is>
          <t>언데드 특효 +30%, HP 회복 +10%</t>
        </is>
      </c>
      <c r="G44" s="8" t="inlineStr">
        <is>
          <t>180초</t>
        </is>
      </c>
      <c r="H44" s="8" t="inlineStr">
        <is>
          <t>사제 에리카의 축복이 담긴 요리</t>
        </is>
      </c>
    </row>
    <row r="45">
      <c r="A45" s="9" t="inlineStr">
        <is>
          <t>희귀</t>
        </is>
      </c>
      <c r="B45" s="9" t="inlineStr">
        <is>
          <t>대지의 호박 스프</t>
        </is>
      </c>
      <c r="C45" s="9" t="inlineStr">
        <is>
          <t>거대 호박</t>
        </is>
      </c>
      <c r="D45" s="9" t="inlineStr">
        <is>
          <t>약초</t>
        </is>
      </c>
      <c r="E45" s="9" t="inlineStr">
        <is>
          <t>깨끗한 물</t>
        </is>
      </c>
      <c r="F45" s="9" t="inlineStr">
        <is>
          <t>DEF +10%, 넉백 저항 +50%</t>
        </is>
      </c>
      <c r="G45" s="9" t="inlineStr">
        <is>
          <t>180초</t>
        </is>
      </c>
      <c r="H45" s="9" t="inlineStr">
        <is>
          <t>가을 수확제 때만 구할 수 있는 호박</t>
        </is>
      </c>
    </row>
    <row r="46">
      <c r="A46" s="8" t="inlineStr">
        <is>
          <t>전설</t>
        </is>
      </c>
      <c r="B46" s="8" t="inlineStr">
        <is>
          <t>세계수 열매 파르페</t>
        </is>
      </c>
      <c r="C46" s="8" t="inlineStr">
        <is>
          <t>세계수 열매</t>
        </is>
      </c>
      <c r="D46" s="8" t="inlineStr">
        <is>
          <t>별빛 이슬</t>
        </is>
      </c>
      <c r="E46" s="8" t="inlineStr">
        <is>
          <t>벌꿀</t>
        </is>
      </c>
      <c r="F46" s="8" t="inlineStr">
        <is>
          <t>전투력 +10%, 모든 스탯 +5%</t>
        </is>
      </c>
      <c r="G46" s="8" t="inlineStr">
        <is>
          <t>300초</t>
        </is>
      </c>
      <c r="H46" s="8" t="inlineStr">
        <is>
          <t>세계수 열매는 100년에 한 번 열린다</t>
        </is>
      </c>
    </row>
    <row r="47">
      <c r="A47" s="9" t="inlineStr">
        <is>
          <t>전설</t>
        </is>
      </c>
      <c r="B47" s="9" t="inlineStr">
        <is>
          <t>드래곤 하트 스튜</t>
        </is>
      </c>
      <c r="C47" s="9" t="inlineStr">
        <is>
          <t>드래곤의 심장</t>
        </is>
      </c>
      <c r="D47" s="9" t="inlineStr">
        <is>
          <t>세계수 잎</t>
        </is>
      </c>
      <c r="E47" s="9" t="inlineStr">
        <is>
          <t>불꽃 향신료</t>
        </is>
      </c>
      <c r="F47" s="9" t="inlineStr">
        <is>
          <t>ATK +12%, 화상 면역, 브레스 사용 가능</t>
        </is>
      </c>
      <c r="G47" s="9" t="inlineStr">
        <is>
          <t>300초</t>
        </is>
      </c>
      <c r="H47" s="9" t="inlineStr">
        <is>
          <t>드래곤 보스를 잡아야 얻는 재료</t>
        </is>
      </c>
    </row>
    <row r="48">
      <c r="A48" s="8" t="inlineStr">
        <is>
          <t>전설</t>
        </is>
      </c>
      <c r="B48" s="8" t="inlineStr">
        <is>
          <t>태초의 빵</t>
        </is>
      </c>
      <c r="C48" s="8" t="inlineStr">
        <is>
          <t>창세 밀</t>
        </is>
      </c>
      <c r="D48" s="8" t="inlineStr">
        <is>
          <t>성수</t>
        </is>
      </c>
      <c r="E48" s="8" t="inlineStr">
        <is>
          <t>벌꿀</t>
        </is>
      </c>
      <c r="F48" s="8" t="inlineStr">
        <is>
          <t>부활 2회(HP 50%), 모든 디버프 면역</t>
        </is>
      </c>
      <c r="G48" s="8" t="inlineStr">
        <is>
          <t>300초</t>
        </is>
      </c>
      <c r="H48" s="8" t="inlineStr">
        <is>
          <t>창세의 땅에서만 자라는 밀이 필요</t>
        </is>
      </c>
    </row>
    <row r="49">
      <c r="A49" s="9" t="inlineStr">
        <is>
          <t>전설</t>
        </is>
      </c>
      <c r="B49" s="9" t="inlineStr">
        <is>
          <t>마왕의 만찬</t>
        </is>
      </c>
      <c r="C49" s="9" t="inlineStr">
        <is>
          <t>마왕의 에센스</t>
        </is>
      </c>
      <c r="D49" s="9" t="inlineStr">
        <is>
          <t>드래곤 고기</t>
        </is>
      </c>
      <c r="E49" s="9" t="inlineStr">
        <is>
          <t>암흑 에센스</t>
        </is>
      </c>
      <c r="F49" s="9" t="inlineStr">
        <is>
          <t>ATK +10%, 공포 부여 30%, 암흑 마법 사용</t>
        </is>
      </c>
      <c r="G49" s="9" t="inlineStr">
        <is>
          <t>300초</t>
        </is>
      </c>
      <c r="H49" s="9" t="inlineStr">
        <is>
          <t>마왕을 쓰러뜨린 자만이 만들 수 있다</t>
        </is>
      </c>
    </row>
    <row r="50">
      <c r="A50" s="8" t="inlineStr">
        <is>
          <t>전설</t>
        </is>
      </c>
      <c r="B50" s="8" t="inlineStr">
        <is>
          <t>신의 넥타르</t>
        </is>
      </c>
      <c r="C50" s="8" t="inlineStr">
        <is>
          <t>천상의 이슬</t>
        </is>
      </c>
      <c r="D50" s="8" t="inlineStr">
        <is>
          <t>세계수 열매</t>
        </is>
      </c>
      <c r="E50" s="8" t="inlineStr">
        <is>
          <t>별빛 이슬</t>
        </is>
      </c>
      <c r="F50" s="8" t="inlineStr">
        <is>
          <t>전투력 +12%, 5초 무적, HP/MP 완전 회복</t>
        </is>
      </c>
      <c r="G50" s="8" t="inlineStr">
        <is>
          <t>300초</t>
        </is>
      </c>
      <c r="H50" s="8" t="inlineStr">
        <is>
          <t>천상의 이슬은 신전 최상층에서만 채집</t>
        </is>
      </c>
    </row>
    <row r="51">
      <c r="A51" s="9" t="inlineStr">
        <is>
          <t>전설</t>
        </is>
      </c>
      <c r="B51" s="9" t="inlineStr">
        <is>
          <t>혼돈의 수프</t>
        </is>
      </c>
      <c r="C51" s="9" t="inlineStr">
        <is>
          <t>혼돈 에센스</t>
        </is>
      </c>
      <c r="D51" s="9" t="inlineStr">
        <is>
          <t>카오스 젤리</t>
        </is>
      </c>
      <c r="E51" s="9" t="inlineStr">
        <is>
          <t>마나풀</t>
        </is>
      </c>
      <c r="F51" s="9" t="inlineStr">
        <is>
          <t>랜덤 버프 3종(최상위), 매초 효과 변경</t>
        </is>
      </c>
      <c r="G51" s="9" t="inlineStr">
        <is>
          <t>300초</t>
        </is>
      </c>
      <c r="H51" s="9" t="inlineStr">
        <is>
          <t>혼돈의 기사 처치 시 드롭되는 재료</t>
        </is>
      </c>
    </row>
    <row r="52">
      <c r="A52" s="8" t="inlineStr">
        <is>
          <t>전설</t>
        </is>
      </c>
      <c r="B52" s="8" t="inlineStr">
        <is>
          <t>황금 사과 타르트</t>
        </is>
      </c>
      <c r="C52" s="8" t="inlineStr">
        <is>
          <t>황금 사과</t>
        </is>
      </c>
      <c r="D52" s="8" t="inlineStr">
        <is>
          <t>밀가루</t>
        </is>
      </c>
      <c r="E52" s="8" t="inlineStr">
        <is>
          <t>벌꿀</t>
        </is>
      </c>
      <c r="F52" s="8" t="inlineStr">
        <is>
          <t>경험치 +15%, 골드 획득 +15%, 행운 +10%</t>
        </is>
      </c>
      <c r="G52" s="8" t="inlineStr">
        <is>
          <t>300초</t>
        </is>
      </c>
      <c r="H52" s="8" t="inlineStr">
        <is>
          <t>황금 사과나무는 전설 속에만 존재한다</t>
        </is>
      </c>
    </row>
    <row r="53">
      <c r="A53" s="9" t="inlineStr">
        <is>
          <t>전설</t>
        </is>
      </c>
      <c r="B53" s="9" t="inlineStr">
        <is>
          <t>영웅의 풀코스</t>
        </is>
      </c>
      <c r="C53" s="9" t="inlineStr">
        <is>
          <t>드래곤 고기</t>
        </is>
      </c>
      <c r="D53" s="9" t="inlineStr">
        <is>
          <t>세계수 열매</t>
        </is>
      </c>
      <c r="E53" s="9" t="inlineStr">
        <is>
          <t>황금 사과</t>
        </is>
      </c>
      <c r="F53" s="9" t="inlineStr">
        <is>
          <t>모든 스탯 +8%, 전투력 +15%, 부활 1회</t>
        </is>
      </c>
      <c r="G53" s="9" t="inlineStr">
        <is>
          <t>300초</t>
        </is>
      </c>
      <c r="H53" s="9" t="inlineStr">
        <is>
          <t>3가지 전설 재료를 모두 모아야 완성</t>
        </is>
      </c>
    </row>
  </sheetData>
  <mergeCells count="1">
    <mergeCell ref="A1:H1"/>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4" customWidth="1" min="1" max="1"/>
    <col width="12" customWidth="1" min="2" max="2"/>
    <col width="16" customWidth="1" min="3" max="3"/>
    <col width="16" customWidth="1" min="4" max="4"/>
    <col width="30" customWidth="1" min="5" max="5"/>
    <col width="30" customWidth="1" min="6" max="6"/>
    <col width="30" customWidth="1" min="7" max="7"/>
    <col width="28" customWidth="1" min="8" max="8"/>
    <col width="36" customWidth="1" min="9" max="9"/>
    <col width="36" customWidth="1" min="10" max="10"/>
  </cols>
  <sheetData>
    <row r="1">
      <c r="A1" s="6" t="inlineStr">
        <is>
          <t>NPC 상세 7명</t>
        </is>
      </c>
    </row>
    <row r="3">
      <c r="A3" s="7" t="inlineStr">
        <is>
          <t>NPC</t>
        </is>
      </c>
      <c r="B3" s="7" t="inlineStr">
        <is>
          <t>위치</t>
        </is>
      </c>
      <c r="C3" s="7" t="inlineStr">
        <is>
          <t>좋아하는 선물</t>
        </is>
      </c>
      <c r="D3" s="7" t="inlineStr">
        <is>
          <t>싫어하는 선물</t>
        </is>
      </c>
      <c r="E3" s="7" t="inlineStr">
        <is>
          <t>호감도 퀘스트 1</t>
        </is>
      </c>
      <c r="F3" s="7" t="inlineStr">
        <is>
          <t>호감도 퀘스트 2</t>
        </is>
      </c>
      <c r="G3" s="7" t="inlineStr">
        <is>
          <t>호감도 퀘스트 3</t>
        </is>
      </c>
      <c r="H3" s="7" t="inlineStr">
        <is>
          <t>MAX 보상</t>
        </is>
      </c>
      <c r="I3" s="7" t="inlineStr">
        <is>
          <t>대사 (첫 만남)</t>
        </is>
      </c>
      <c r="J3" s="7" t="inlineStr">
        <is>
          <t>대사 (소울메이트)</t>
        </is>
      </c>
    </row>
    <row r="4">
      <c r="A4" s="8" t="inlineStr">
        <is>
          <t>대장장이 볼칸</t>
        </is>
      </c>
      <c r="B4" s="8" t="inlineStr">
        <is>
          <t>바람개비 마을</t>
        </is>
      </c>
      <c r="C4" s="8" t="inlineStr">
        <is>
          <t>철광석, 드래곤 비늘</t>
        </is>
      </c>
      <c r="D4" s="8" t="inlineStr">
        <is>
          <t>꽃, 약초</t>
        </is>
      </c>
      <c r="E4" s="8" t="inlineStr">
        <is>
          <t>강철 시련 — 철광석 10개를 모아 납품하라 (보상: 강화석 3개)</t>
        </is>
      </c>
      <c r="F4" s="8" t="inlineStr">
        <is>
          <t>명검의 재료 — 드래곤 비늘 3개와 미스릴 1개를 구해오라 (보상: 볼칸의 단조 기술 해금)</t>
        </is>
      </c>
      <c r="G4" s="8" t="inlineStr">
        <is>
          <t>전설의 대장간 — 혼돈의 검 조각 5개를 모아 전설 무기를 제작하라 (보상: 전설 무기 1종 선택)</t>
        </is>
      </c>
      <c r="H4" s="8" t="inlineStr">
        <is>
          <t>볼칸의 걸작 — 초월 전용 무기 제작 가능 + 강화 성공률 +10% 영구 버프</t>
        </is>
      </c>
      <c r="I4" s="8" t="inlineStr">
        <is>
          <t>"흠, 새 얼굴이군. 내 대장간에 온 걸 환영한다. 쇠 두드리는 소리가 싫으면 빨리 볼일 보고 가게."</t>
        </is>
      </c>
      <c r="J4" s="8" t="inlineStr">
        <is>
          <t>"자네가 내 인생 최고의 걸작을 만들 재료를 가져다줬지. 이 망치를 쥔 이래 자네만큼 믿음직한 동료는 없었어. 언제든 와. 자네를 위한 불꽃은 항상 지피고 있으니."</t>
        </is>
      </c>
    </row>
    <row r="5">
      <c r="A5" s="9" t="inlineStr">
        <is>
          <t>현자 엘드린</t>
        </is>
      </c>
      <c r="B5" s="9" t="inlineStr">
        <is>
          <t>신전 마을</t>
        </is>
      </c>
      <c r="C5" s="9" t="inlineStr">
        <is>
          <t>마법서, 세계수 잎</t>
        </is>
      </c>
      <c r="D5" s="9" t="inlineStr">
        <is>
          <t>무기, 술</t>
        </is>
      </c>
      <c r="E5" s="9" t="inlineStr">
        <is>
          <t>지식의 시험 — 도서관에서 고대 문서 3권을 찾아 해독하라 (보상: 마법 주문서 1개)</t>
        </is>
      </c>
      <c r="F5" s="9" t="inlineStr">
        <is>
          <t>잃어버린 마법 — 봉인된 탑에서 잃어버린 마법 결정 1개를 되찾아오라 (보상: 엘드린의 마법 지도)</t>
        </is>
      </c>
      <c r="G5" s="9" t="inlineStr">
        <is>
          <t>세계의 비밀 — 4원소 던전을 클리어하고 창세의 파편을 가져오라 (보상: 비밀 합성 레시피 해금)</t>
        </is>
      </c>
      <c r="H5" s="9" t="inlineStr">
        <is>
          <t>엘드린의 계승 — 스킬 쿨다운 -10% 영구 버프 + 비밀 마법 "시간 정지" 해금</t>
        </is>
      </c>
      <c r="I5" s="9" t="inlineStr">
        <is>
          <t>"오, 드디어 배움을 구하는 자가 왔나. 나는 엘드린. 이 신전의 지식을 관리하는 늙은 마법사라네. 궁금한 게 있으면 물어보게."</t>
        </is>
      </c>
      <c r="J5" s="9" t="inlineStr">
        <is>
          <t>"자네는 나의 가장 뛰어난 제자이자 벗일세. 내가 평생 모은 지식의 반을 자네가 가져갔어. 남은 반은... 음, 같이 연구하면 되지 않겠나?"</t>
        </is>
      </c>
    </row>
    <row r="6">
      <c r="A6" s="8" t="inlineStr">
        <is>
          <t>사냥꾼 리라</t>
        </is>
      </c>
      <c r="B6" s="8" t="inlineStr">
        <is>
          <t>구름마루 산장</t>
        </is>
      </c>
      <c r="C6" s="8" t="inlineStr">
        <is>
          <t>늑대 가죽, 드래곤 고기</t>
        </is>
      </c>
      <c r="D6" s="8" t="inlineStr">
        <is>
          <t>도시 물건, 보석</t>
        </is>
      </c>
      <c r="E6" s="8" t="inlineStr">
        <is>
          <t>사냥 입문 — 늑대 5마리를 사냥하고 가죽을 가져오라 (보상: 사냥꾼의 활)</t>
        </is>
      </c>
      <c r="F6" s="8" t="inlineStr">
        <is>
          <t>맹수 토벌 — 산장 근처의 강화 거미 여왕을 처치하라 (보상: 리라의 덫 제작법 해금)</t>
        </is>
      </c>
      <c r="G6" s="8" t="inlineStr">
        <is>
          <t>전설의 사냥감 — 피닉스를 추적하여 깃털 1개를 확보하라 (보상: 피닉스 날개 장비)</t>
        </is>
      </c>
      <c r="H6" s="8" t="inlineStr">
        <is>
          <t>리라의 동료 — 포획 몬스터 경험치 +15% 영구 버프 + 전용 사냥개 펫</t>
        </is>
      </c>
      <c r="I6" s="8" t="inlineStr">
        <is>
          <t>"...조용히 해. 사냥감이 도망가잖아. 뭐, 볼일이 있으면 말해. 간단하게."</t>
        </is>
      </c>
      <c r="J6" s="8" t="inlineStr">
        <is>
          <t>"너 덕분에 잊고 있던 걸 떠올렸어. 사냥은 혼자 하는 게 아니라 믿을 수 있는 동료와 하는 거라는 걸. 앞으로도 같이 달리자, 파트너."</t>
        </is>
      </c>
    </row>
    <row r="7">
      <c r="A7" s="9" t="inlineStr">
        <is>
          <t>상인 하산</t>
        </is>
      </c>
      <c r="B7" s="9" t="inlineStr">
        <is>
          <t>사막 시장</t>
        </is>
      </c>
      <c r="C7" s="9" t="inlineStr">
        <is>
          <t>골드(1000G), 희귀 무역품</t>
        </is>
      </c>
      <c r="D7" s="9" t="inlineStr">
        <is>
          <t>싸구려 물건, 쓰레기</t>
        </is>
      </c>
      <c r="E7" s="9" t="inlineStr">
        <is>
          <t>장사의 기본 — 무역로를 통해 1000G 이상 이익을 내라 (보상: 하산의 할인 카드 (5%))</t>
        </is>
      </c>
      <c r="F7" s="9" t="inlineStr">
        <is>
          <t>사막의 비밀 거래 — 사막 깊은 곳의 비밀 상인에게 특산물을 전달하라 (보상: 비밀 무역로 해금)</t>
        </is>
      </c>
      <c r="G7" s="9" t="inlineStr">
        <is>
          <t>전설의 상단 — 10개 무역로 모두 개척하고 총 교역량 10000G 달성 (보상: 하산의 황금 낙타)</t>
        </is>
      </c>
      <c r="H7" s="9" t="inlineStr">
        <is>
          <t>하산의 사업 파트너 — 상점 가격 -15% 영구 + 전용 무역 캐러밴 해금</t>
        </is>
      </c>
      <c r="I7" s="9" t="inlineStr">
        <is>
          <t>"어서 오게, 여행자! 이 하산의 가게에서는 뭐든 구할 수 있지. 물론, 돈만 있다면 말이야. 하하!"</t>
        </is>
      </c>
      <c r="J7" s="9" t="inlineStr">
        <is>
          <t>"자네는 내가 만난 최고의 사업 파트너야. 자네와 거래하면 손해 볼 일이 없어. 내 황금 낙타를 자네에게 맡기지. 잘 부탁하네, 동업자."</t>
        </is>
      </c>
    </row>
    <row r="8">
      <c r="A8" s="8" t="inlineStr">
        <is>
          <t>사제 에리카</t>
        </is>
      </c>
      <c r="B8" s="8" t="inlineStr">
        <is>
          <t>별빛 항구</t>
        </is>
      </c>
      <c r="C8" s="8" t="inlineStr">
        <is>
          <t>성수, 꽃</t>
        </is>
      </c>
      <c r="D8" s="8" t="inlineStr">
        <is>
          <t>악마 관련 아이템, 독</t>
        </is>
      </c>
      <c r="E8" s="8" t="inlineStr">
        <is>
          <t>정화의 기도 — 항구 근처 저주받은 등대를 정화하라 (보상: 성수 제조법)</t>
        </is>
      </c>
      <c r="F8" s="8" t="inlineStr">
        <is>
          <t>빛의 시련 — 언데드 던전을 클리어하고 어둠의 핵을 가져오라 (보상: 에리카의 축복 버프)</t>
        </is>
      </c>
      <c r="G8" s="8" t="inlineStr">
        <is>
          <t>별빛의 기적 — 별빛이 모이는 밤, 성스러운 의식을 완수하라 (보상: 별빛 지팡이)</t>
        </is>
      </c>
      <c r="H8" s="8" t="inlineStr">
        <is>
          <t>에리카의 축복 — HP 자동회복 +5/초 영구 + 부활 쿨다운 -30%</t>
        </is>
      </c>
      <c r="I8" s="8" t="inlineStr">
        <is>
          <t>"환영합니다, 여행자님. 별빛 항구의 신전에 오신 것을 기쁘게 생각해요. 상처가 있으면 치료해 드릴게요."</t>
        </is>
      </c>
      <c r="J8" s="8" t="inlineStr">
        <is>
          <t>"당신이 있어서 이 세상에 아직 희망이 있다고 믿을 수 있어요. 제 모든 기도에 당신의 이름을 올릴게요. 영원히, 당신의 곁에서 빛이 되어줄게요."</t>
        </is>
      </c>
    </row>
    <row r="9">
      <c r="A9" s="9" t="inlineStr">
        <is>
          <t>도적 카인</t>
        </is>
      </c>
      <c r="B9" s="9" t="inlineStr">
        <is>
          <t>심연의 골짜기</t>
        </is>
      </c>
      <c r="C9" s="9" t="inlineStr">
        <is>
          <t>매운 음식, 연막탄</t>
        </is>
      </c>
      <c r="D9" s="9" t="inlineStr">
        <is>
          <t>법률서, 성수</t>
        </is>
      </c>
      <c r="E9" s="9" t="inlineStr">
        <is>
          <t>신뢰의 증표 — 카인의 은신처에 들키지 않고 도착하라 (보상: 은신 스킬 해금)</t>
        </is>
      </c>
      <c r="F9" s="9" t="inlineStr">
        <is>
          <t>뒷골목 의뢰 — 부패한 귀족의 창고에서 훔친 보물을 되찾아오라 (보상: 카인의 도적 도구)</t>
        </is>
      </c>
      <c r="G9" s="9" t="inlineStr">
        <is>
          <t>그림자 왕 — 암흑 시장의 보스를 제거하라 (보상: 그림자 망토)</t>
        </is>
      </c>
      <c r="H9" s="9" t="inlineStr">
        <is>
          <t>카인의 형제 — 회피 +12% 영구 + 은신 시 이동속도 +20% + 도적 전용 스킬</t>
        </is>
      </c>
      <c r="I9" s="9" t="inlineStr">
        <is>
          <t>"...누구야. 여기까지 어떻게 왔어? 흥, 대단하긴 하네. 말해봐, 뭘 원하는 거야?"</t>
        </is>
      </c>
      <c r="J9" s="9" t="inlineStr">
        <is>
          <t>"솔직히 말하면, 너 아니었으면 난 진작 끝장났을 거야. 등 뒤를 맡길 수 있는 건 세상에 너뿐이야. 형제... 아니, 그 이상이지."</t>
        </is>
      </c>
    </row>
    <row r="10">
      <c r="A10" s="8" t="inlineStr">
        <is>
          <t>용기사 레온</t>
        </is>
      </c>
      <c r="B10" s="8" t="inlineStr">
        <is>
          <t>불의 화산</t>
        </is>
      </c>
      <c r="C10" s="8" t="inlineStr">
        <is>
          <t>드래곤 비늘, 무기</t>
        </is>
      </c>
      <c r="D10" s="8" t="inlineStr">
        <is>
          <t>도적 도구, 독</t>
        </is>
      </c>
      <c r="E10" s="8" t="inlineStr">
        <is>
          <t>용기의 증명 — 화산 입구의 와이번을 단독으로 처치하라 (보상: 용기사 견습 칭호)</t>
        </is>
      </c>
      <c r="F10" s="8" t="inlineStr">
        <is>
          <t>불의 세례 — 화산 던전 최심부에서 용암 결정을 획득하라 (보상: 레온의 창술 훈련)</t>
        </is>
      </c>
      <c r="G10" s="8" t="inlineStr">
        <is>
          <t>드래곤 라이더 — 드래곤과 유대를 맺고 하늘을 날아라 (보상: 드래곤 라이딩 해금)</t>
        </is>
      </c>
      <c r="H10" s="8" t="inlineStr">
        <is>
          <t>레온의 전우 — ATK +10% 영구 + 드래곤 탑승 전투 해금 + 용기사 전용 스킬</t>
        </is>
      </c>
      <c r="I10" s="8" t="inlineStr">
        <is>
          <t>"멈춰라, 여행자. 이곳은 아무나 올 수 있는 곳이 아니다. 용기가 있다면 증명해 보여라. 그렇지 않다면 돌아가라."</t>
        </is>
      </c>
      <c r="J10" s="8" t="inlineStr">
        <is>
          <t>"전우여, 자네와 함께 하늘을 날았던 그날을 잊지 못할 것이다. 내 창과 내 용, 그리고 내 목숨. 모두 자네를 위해 쓰겠다. 영원한 전우에게."</t>
        </is>
      </c>
    </row>
  </sheetData>
  <mergeCells count="1">
    <mergeCell ref="A1:J1"/>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6" customWidth="1" min="1" max="1"/>
    <col width="20" customWidth="1" min="2" max="2"/>
    <col width="20" customWidth="1" min="3" max="3"/>
    <col width="50" customWidth="1" min="4" max="4"/>
    <col width="22" customWidth="1" min="5" max="5"/>
    <col width="35" customWidth="1" min="6" max="6"/>
    <col width="30" customWidth="1" min="7" max="7"/>
  </cols>
  <sheetData>
    <row r="1">
      <c r="A1" s="6" t="inlineStr">
        <is>
          <t>메인 스토리 12에피소드</t>
        </is>
      </c>
    </row>
    <row r="3">
      <c r="A3" s="7" t="inlineStr">
        <is>
          <t>EP</t>
        </is>
      </c>
      <c r="B3" s="7" t="inlineStr">
        <is>
          <t>제목</t>
        </is>
      </c>
      <c r="C3" s="7" t="inlineStr">
        <is>
          <t>배경 지역</t>
        </is>
      </c>
      <c r="D3" s="7" t="inlineStr">
        <is>
          <t>핵심 사건</t>
        </is>
      </c>
      <c r="E3" s="7" t="inlineStr">
        <is>
          <t>보스</t>
        </is>
      </c>
      <c r="F3" s="7" t="inlineStr">
        <is>
          <t>보상</t>
        </is>
      </c>
      <c r="G3" s="7" t="inlineStr">
        <is>
          <t>다음 EP 해금 조건</t>
        </is>
      </c>
    </row>
    <row r="4">
      <c r="A4" s="8" t="inlineStr">
        <is>
          <t>EP1</t>
        </is>
      </c>
      <c r="B4" s="8" t="inlineStr">
        <is>
          <t>바람의 시작</t>
        </is>
      </c>
      <c r="C4" s="8" t="inlineStr">
        <is>
          <t>바람개비 평원</t>
        </is>
      </c>
      <c r="D4" s="8" t="inlineStr">
        <is>
          <t>여행자가 평원의 마을에서 눈을 뜬다. 기억을 잃은 채 슬라임 떼의 습격을 막아내며 모험이 시작된다. 마을 장로가 고대 예언을 언급한다.</t>
        </is>
      </c>
      <c r="E4" s="8" t="inlineStr">
        <is>
          <t>슬라임킹 (Lv.10)</t>
        </is>
      </c>
      <c r="F4" s="8" t="inlineStr">
        <is>
          <t>초보자의 검, 500G, 용병 슬롯 +1</t>
        </is>
      </c>
      <c r="G4" s="8" t="inlineStr">
        <is>
          <t>슬라임킹 처치 + 장로의 편지 획득</t>
        </is>
      </c>
    </row>
    <row r="5">
      <c r="A5" s="9" t="inlineStr">
        <is>
          <t>EP2</t>
        </is>
      </c>
      <c r="B5" s="9" t="inlineStr">
        <is>
          <t>도적단의 그림자</t>
        </is>
      </c>
      <c r="C5" s="9" t="inlineStr">
        <is>
          <t>바람개비 평원 ~ 달빛 오아시스</t>
        </is>
      </c>
      <c r="D5" s="9" t="inlineStr">
        <is>
          <t>오아시스로 향하는 대상 호위 의뢰. 도적단 "검은 발톱"이 대상을 습격하고, 그 배후에 누군가의 지시가 있음을 알게 된다.</t>
        </is>
      </c>
      <c r="E5" s="9" t="inlineStr">
        <is>
          <t>도적 두목 그레이브 (Lv.18)</t>
        </is>
      </c>
      <c r="F5" s="9" t="inlineStr">
        <is>
          <t>도적의 단검, 1000G, 은신 스킬북</t>
        </is>
      </c>
      <c r="G5" s="9" t="inlineStr">
        <is>
          <t>그레이브 처치 + 비밀 서신 해독</t>
        </is>
      </c>
    </row>
    <row r="6">
      <c r="A6" s="8" t="inlineStr">
        <is>
          <t>EP3</t>
        </is>
      </c>
      <c r="B6" s="8" t="inlineStr">
        <is>
          <t>별빛 항구의 비밀</t>
        </is>
      </c>
      <c r="C6" s="8" t="inlineStr">
        <is>
          <t>별빛 항구</t>
        </is>
      </c>
      <c r="D6" s="8" t="inlineStr">
        <is>
          <t>항구 도시에서 해적 "폭풍의 크라켄단"이 교역로를 봉쇄한다. 해적 두목을 쓰러뜨리며, 그가 가진 고대 해도에서 용의 시대 유적 위치를 발견한다.</t>
        </is>
      </c>
      <c r="E6" s="8" t="inlineStr">
        <is>
          <t>해적왕 크라켄 (Lv.25)</t>
        </is>
      </c>
      <c r="F6" s="8" t="inlineStr">
        <is>
          <t>폭풍의 닻(무기), 2000G, 항해술 해금</t>
        </is>
      </c>
      <c r="G6" s="8" t="inlineStr">
        <is>
          <t>크라켄 처치 + 고대 해도 입수</t>
        </is>
      </c>
    </row>
    <row r="7">
      <c r="A7" s="9" t="inlineStr">
        <is>
          <t>EP4</t>
        </is>
      </c>
      <c r="B7" s="9" t="inlineStr">
        <is>
          <t>구름 위의 전장</t>
        </is>
      </c>
      <c r="C7" s="9" t="inlineStr">
        <is>
          <t>구름마루 산맥</t>
        </is>
      </c>
      <c r="D7" s="9" t="inlineStr">
        <is>
          <t>산맥 정상의 드래곤 둥지에서 와이번 떼가 마을을 위협한다. 용기사 레온과 합류하여 와이번 군단을 격퇴하고, 산맥 깊은 곳에서 용의 시대 벽화를 발견한다.</t>
        </is>
      </c>
      <c r="E7" s="9" t="inlineStr">
        <is>
          <t>와이번 로드 (Lv.33)</t>
        </is>
      </c>
      <c r="F7" s="9" t="inlineStr">
        <is>
          <t>와이번 비늘 갑옷, 3000G, 드래곤 유대도 시스템 해금</t>
        </is>
      </c>
      <c r="G7" s="9" t="inlineStr">
        <is>
          <t>와이번 로드 처치 + 벽화 해독 완료</t>
        </is>
      </c>
    </row>
    <row r="8">
      <c r="A8" s="8" t="inlineStr">
        <is>
          <t>EP5</t>
        </is>
      </c>
      <c r="B8" s="8" t="inlineStr">
        <is>
          <t>신전의 시련</t>
        </is>
      </c>
      <c r="C8" s="8" t="inlineStr">
        <is>
          <t>신전 마을</t>
        </is>
      </c>
      <c r="D8" s="8" t="inlineStr">
        <is>
          <t>고대 신전에서 드래곤 사제의 유산을 찾는다. 신전 내부의 시련을 통과하며, 용의 시대에 세계를 수호한 "일곱 용사"의 존재를 알게 된다.</t>
        </is>
      </c>
      <c r="E8" s="8" t="inlineStr">
        <is>
          <t>수호 골렘 (Lv.40)</t>
        </is>
      </c>
      <c r="F8" s="8" t="inlineStr">
        <is>
          <t>신성한 지팡이, 4000G, 에리카의 축복 강화</t>
        </is>
      </c>
      <c r="G8" s="8" t="inlineStr">
        <is>
          <t>3가지 시련 클리어 + 용사의 인장 획득</t>
        </is>
      </c>
    </row>
    <row r="9">
      <c r="A9" s="9" t="inlineStr">
        <is>
          <t>EP6</t>
        </is>
      </c>
      <c r="B9" s="9" t="inlineStr">
        <is>
          <t>용의 유산</t>
        </is>
      </c>
      <c r="C9" s="9" t="inlineStr">
        <is>
          <t>구름마루 산맥 최심부</t>
        </is>
      </c>
      <c r="D9" s="9" t="inlineStr">
        <is>
          <t>산맥 깊은 곳에서 잠든 고대용 "아스트라"와 조우. 아스트라는 마왕의 부활이 임박했음을 경고하고, 일곱 용사의 후계자를 찾으라는 사명을 내린다.</t>
        </is>
      </c>
      <c r="E9" s="9" t="inlineStr">
        <is>
          <t>타락한 흑룡 아칸 (Lv.48)</t>
        </is>
      </c>
      <c r="F9" s="9" t="inlineStr">
        <is>
          <t>용의 심장(액세서리), 6000G, 드래곤 라이딩 해금</t>
        </is>
      </c>
      <c r="G9" s="9" t="inlineStr">
        <is>
          <t>아칸 처치 + 아스트라의 축복 획득</t>
        </is>
      </c>
    </row>
    <row r="10">
      <c r="A10" s="8" t="inlineStr">
        <is>
          <t>EP7</t>
        </is>
      </c>
      <c r="B10" s="8" t="inlineStr">
        <is>
          <t>사막의 망령</t>
        </is>
      </c>
      <c r="C10" s="8" t="inlineStr">
        <is>
          <t>달빛 오아시스 ~ 사막 시장</t>
        </is>
      </c>
      <c r="D10" s="8" t="inlineStr">
        <is>
          <t>사막 깊은 곳에서 마왕의 흔적이 발견된다. 사막 상인 하산과 함께 비밀 무역로를 따라가며, 마왕의 첫 번째 장군 "사막의 파라오"와 맞선다.</t>
        </is>
      </c>
      <c r="E10" s="8" t="inlineStr">
        <is>
          <t>사막의 파라오 (Lv.55)</t>
        </is>
      </c>
      <c r="F10" s="8" t="inlineStr">
        <is>
          <t>파라오의 왕관, 8000G, 사막 비밀 지역 해금</t>
        </is>
      </c>
      <c r="G10" s="8" t="inlineStr">
        <is>
          <t>파라오 처치 + 마왕의 봉인석 조각 1 획득</t>
        </is>
      </c>
    </row>
    <row r="11">
      <c r="A11" s="9" t="inlineStr">
        <is>
          <t>EP8</t>
        </is>
      </c>
      <c r="B11" s="9" t="inlineStr">
        <is>
          <t>심연의 부름</t>
        </is>
      </c>
      <c r="C11" s="9" t="inlineStr">
        <is>
          <t>심연의 골짜기</t>
        </is>
      </c>
      <c r="D11" s="9" t="inlineStr">
        <is>
          <t>심연에서 어둠의 군단이 본격적으로 진군한다. 용병들을 이끌고 최전선에서 사투를 벌이며, 죽음의 기사 "모르가나"의 비극적 과거가 밝혀진다.</t>
        </is>
      </c>
      <c r="E11" s="9" t="inlineStr">
        <is>
          <t>어둠의 장군 발더 (Lv.62)</t>
        </is>
      </c>
      <c r="F11" s="9" t="inlineStr">
        <is>
          <t>심연의 검, 10000G, 어둠 저항 +20%</t>
        </is>
      </c>
      <c r="G11" s="9" t="inlineStr">
        <is>
          <t>발더 처치 + 모르가나 과거 이벤트 완료</t>
        </is>
      </c>
    </row>
    <row r="12">
      <c r="A12" s="8" t="inlineStr">
        <is>
          <t>EP9</t>
        </is>
      </c>
      <c r="B12" s="8" t="inlineStr">
        <is>
          <t>죽음의 기사의 선택</t>
        </is>
      </c>
      <c r="C12" s="8" t="inlineStr">
        <is>
          <t>심연의 골짜기 최심부</t>
        </is>
      </c>
      <c r="D12" s="8" t="inlineStr">
        <is>
          <t>모르가나가 마왕의 지배에서 벗어나려 발악한다. 여행자는 모르가나를 구원할지, 처치할지 선택의 갈림길에 선다. 어느 쪽이든 봉인석 조각을 얻는다.</t>
        </is>
      </c>
      <c r="E12" s="8" t="inlineStr">
        <is>
          <t>폭주한 모르가나 (Lv.68) 또는 모르가나 그림자</t>
        </is>
      </c>
      <c r="F12" s="8" t="inlineStr">
        <is>
          <t>모르가나의 갑옷/모르가나의 반지(선택분기), 12000G, 봉인석 조각 2</t>
        </is>
      </c>
      <c r="G12" s="8" t="inlineStr">
        <is>
          <t>모르가나 이벤트 완료 + 봉인석 조각 2 획득</t>
        </is>
      </c>
    </row>
    <row r="13">
      <c r="A13" s="9" t="inlineStr">
        <is>
          <t>EP10</t>
        </is>
      </c>
      <c r="B13" s="9" t="inlineStr">
        <is>
          <t>불꽃과 얼음의 시련</t>
        </is>
      </c>
      <c r="C13" s="9" t="inlineStr">
        <is>
          <t>불의 화산 ~ 영원의 빙벽</t>
        </is>
      </c>
      <c r="D13" s="9" t="inlineStr">
        <is>
          <t>봉인석 완성을 위해 극한의 두 지역을 돌파한다. 화산에서 레온과, 빙벽에서 에리카와 함께 싸우며 마지막 봉인석 조각을 모은다.</t>
        </is>
      </c>
      <c r="E13" s="9" t="inlineStr">
        <is>
          <t>화염 거인 이프리트 (Lv.74) &amp; 빙결 드래곤 프로스트 (Lv.74)</t>
        </is>
      </c>
      <c r="F13" s="9" t="inlineStr">
        <is>
          <t>불꽃/얼음 쌍검, 15000G, 봉인석 조각 3</t>
        </is>
      </c>
      <c r="G13" s="9" t="inlineStr">
        <is>
          <t>이프리트+프로스트 처치 + 봉인석 완성</t>
        </is>
      </c>
    </row>
    <row r="14">
      <c r="A14" s="8" t="inlineStr">
        <is>
          <t>EP11</t>
        </is>
      </c>
      <c r="B14" s="8" t="inlineStr">
        <is>
          <t>세계수의 진실</t>
        </is>
      </c>
      <c r="C14" s="8" t="inlineStr">
        <is>
          <t>세계수 숲</t>
        </is>
      </c>
      <c r="D14" s="8" t="inlineStr">
        <is>
          <t>세계수 아래에서 세라핌(천사족 최후의 생존자)을 만난다. 세라핌은 마왕이 본래 일곱 용사 중 한 명이었으며, 세계를 구하려다 타락했음을 고백한다.</t>
        </is>
      </c>
      <c r="E14" s="8" t="inlineStr">
        <is>
          <t>세계수 수호자 엔트 킹 (Lv.80)</t>
        </is>
      </c>
      <c r="F14" s="8" t="inlineStr">
        <is>
          <t>세계수의 가지(무기), 18000G, 세라핌의 깃털(궁극 버프)</t>
        </is>
      </c>
      <c r="G14" s="8" t="inlineStr">
        <is>
          <t>엔트 킹 처치 + 세라핌 대화 완료 + 봉인석 활성화</t>
        </is>
      </c>
    </row>
    <row r="15">
      <c r="A15" s="9" t="inlineStr">
        <is>
          <t>EP12</t>
        </is>
      </c>
      <c r="B15" s="9" t="inlineStr">
        <is>
          <t>종말과 새벽 — 최후의 선택</t>
        </is>
      </c>
      <c r="C15" s="9" t="inlineStr">
        <is>
          <t>심연의 탑 최하층</t>
        </is>
      </c>
      <c r="D15" s="9" t="inlineStr">
        <is>
          <t>봉인석을 들고 마왕 "벨리알"과 대면한다. 벨리알은 세계의 멸망이 불가피하며 자신만이 새 세계를 만들 수 있다고 주장한다. 최종 선택: [봉인] 벨리알을 다시 봉인하고 현재 세계를 지킨다 / [해방] 벨리알의 힘을 해방하여 세계를 재창조한다. 양쪽 모두 엔딩 무비 + 2회차 콘텐츠 해금.</t>
        </is>
      </c>
      <c r="E15" s="9" t="inlineStr">
        <is>
          <t>마왕 벨리알 (Lv.99, 3페이즈)</t>
        </is>
      </c>
      <c r="F15" s="9" t="inlineStr">
        <is>
          <t>봉인 루트: 빛의 왕관, 칭호 "세계의 수호자" / 해방 루트: 혼돈의 왕관, 칭호 "새벽의 개척자", 50000G, 2회차 해금</t>
        </is>
      </c>
      <c r="G15" s="9" t="inlineStr">
        <is>
          <t>벨리알 처치 → 엔딩 분기 선택 → 2회차 "시간의 틈" 해금</t>
        </is>
      </c>
    </row>
  </sheetData>
  <mergeCells count="1">
    <mergeCell ref="A1:G1"/>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6" customWidth="1" min="1" max="1"/>
    <col width="14" customWidth="1" min="2" max="2"/>
    <col width="45" customWidth="1" min="3" max="3"/>
    <col width="45" customWidth="1" min="4" max="4"/>
    <col width="18" customWidth="1" min="5" max="5"/>
    <col width="20" customWidth="1" min="6" max="6"/>
    <col width="40" customWidth="1" min="7" max="7"/>
  </cols>
  <sheetData>
    <row r="1">
      <c r="A1" s="6" t="inlineStr">
        <is>
          <t>지역별 로어 12지역</t>
        </is>
      </c>
    </row>
    <row r="3">
      <c r="A3" s="7" t="inlineStr">
        <is>
          <t>지역</t>
        </is>
      </c>
      <c r="B3" s="7" t="inlineStr">
        <is>
          <t>시대</t>
        </is>
      </c>
      <c r="C3" s="7" t="inlineStr">
        <is>
          <t>역사</t>
        </is>
      </c>
      <c r="D3" s="7" t="inlineStr">
        <is>
          <t>숨겨진 비밀</t>
        </is>
      </c>
      <c r="E3" s="7" t="inlineStr">
        <is>
          <t>관련 NPC</t>
        </is>
      </c>
      <c r="F3" s="7" t="inlineStr">
        <is>
          <t>관련 용병</t>
        </is>
      </c>
      <c r="G3" s="7" t="inlineStr">
        <is>
          <t>특산물 유래</t>
        </is>
      </c>
    </row>
    <row r="4">
      <c r="A4" s="8" t="inlineStr">
        <is>
          <t>바람개비 평원</t>
        </is>
      </c>
      <c r="B4" s="8" t="inlineStr">
        <is>
          <t>창조의 시대</t>
        </is>
      </c>
      <c r="C4" s="8" t="inlineStr">
        <is>
          <t>세계 창조 직후 바람의 정령이 깃든 초원. 최초의 인류 정착지이며, 풍차 마을이 수백 년간 평화를 유지해왔다.</t>
        </is>
      </c>
      <c r="D4" s="8" t="inlineStr">
        <is>
          <t>평원 중앙의 거대 풍차 지하에 창조신의 잠든 사자(使者)가 봉인되어 있다. 보름달 밤에만 입구가 열린다.</t>
        </is>
      </c>
      <c r="E4" s="8" t="inlineStr">
        <is>
          <t>마을 장로</t>
        </is>
      </c>
      <c r="F4" s="8" t="inlineStr">
        <is>
          <t>바람의 검사, 초원의 궁수</t>
        </is>
      </c>
      <c r="G4" s="8" t="inlineStr">
        <is>
          <t>바람개비 밀 — 바람 정령의 축복을 받은 밀로, 이 밀로 만든 빵은 여행자의 피로를 씻어준다고 전해진다.</t>
        </is>
      </c>
    </row>
    <row r="5">
      <c r="A5" s="9" t="inlineStr">
        <is>
          <t>별빛 항구</t>
        </is>
      </c>
      <c r="B5" s="9" t="inlineStr">
        <is>
          <t>창조의 시대 ~ 용의 시대</t>
        </is>
      </c>
      <c r="C5" s="9" t="inlineStr">
        <is>
          <t>바다의 정령이 축복한 항구. 용의 시대에 해상 무역의 중심지로 번성했으며, 일곱 용사 중 "빛의 사제"가 이곳에 신전을 세웠다.</t>
        </is>
      </c>
      <c r="D5" s="9" t="inlineStr">
        <is>
          <t>항구 등대 꼭대기에서 특정 별자리가 정렬되는 밤, 바다 위에 유령선이 나타난다. 유령선에는 용의 시대 보물이 잠들어 있다.</t>
        </is>
      </c>
      <c r="E5" s="9" t="inlineStr">
        <is>
          <t>사제 에리카</t>
        </is>
      </c>
      <c r="F5" s="9" t="inlineStr">
        <is>
          <t>성기사, 항해사</t>
        </is>
      </c>
      <c r="G5" s="9" t="inlineStr">
        <is>
          <t>별빛 소금 — 만조 때 해안 바위에 결정되는 소금으로, 은은한 빛을 띤다. 정화 의식과 요리에 필수 재료.</t>
        </is>
      </c>
    </row>
    <row r="6">
      <c r="A6" s="8" t="inlineStr">
        <is>
          <t>달빛 오아시스</t>
        </is>
      </c>
      <c r="B6" s="8" t="inlineStr">
        <is>
          <t>창조의 시대</t>
        </is>
      </c>
      <c r="C6" s="8" t="inlineStr">
        <is>
          <t>사막 한가운데 기적처럼 솟은 오아시스. 달의 정령이 물을 끊임없이 공급한다. 유목민과 상인들의 쉼터.</t>
        </is>
      </c>
      <c r="D6" s="8" t="inlineStr">
        <is>
          <t>오아시스 수면 아래에 "달의 신전"이 잠겨 있다. 월식 때만 수위가 낮아져 입구가 드러나며, 내부에 시간을 조작하는 고대 장치가 있다.</t>
        </is>
      </c>
      <c r="E6" s="8" t="inlineStr">
        <is>
          <t>상인 하산</t>
        </is>
      </c>
      <c r="F6" s="8" t="inlineStr">
        <is>
          <t>사막의 무희, 오아시스 수호자</t>
        </is>
      </c>
      <c r="G6" s="8" t="inlineStr">
        <is>
          <t>달빛 대추야자 — 달빛을 받아 은빛으로 익는 대추야자. 먹으면 마나 회복력이 일시적으로 증가한다.</t>
        </is>
      </c>
    </row>
    <row r="7">
      <c r="A7" s="9" t="inlineStr">
        <is>
          <t>구름마루 산맥</t>
        </is>
      </c>
      <c r="B7" s="9" t="inlineStr">
        <is>
          <t>용의 시대</t>
        </is>
      </c>
      <c r="C7" s="9" t="inlineStr">
        <is>
          <t>고대 용들이 둥지를 틀었던 거대 산맥. 용의 시대 전쟁터였으며, 곳곳에 용의 뼈와 유적이 남아 있다. 현재는 와이번과 산적이 점거.</t>
        </is>
      </c>
      <c r="D7" s="9" t="inlineStr">
        <is>
          <t>산맥 최정상 "용왕좌"에 앉으면 고대용 아스트라의 기억을 체험할 수 있다. 모든 기억을 보면 숨겨진 드래곤 스킬을 습득한다.</t>
        </is>
      </c>
      <c r="E7" s="9" t="inlineStr">
        <is>
          <t>용기사 레온</t>
        </is>
      </c>
      <c r="F7" s="9" t="inlineStr">
        <is>
          <t>와이번 라이더, 산맥의 사냥꾼</t>
        </is>
      </c>
      <c r="G7" s="9" t="inlineStr">
        <is>
          <t>용린석 — 고대 용의 비늘이 화석화된 광석. 최고급 장비 제작의 핵심 재료이며, 산맥에서만 채굴 가능.</t>
        </is>
      </c>
    </row>
    <row r="8">
      <c r="A8" s="8" t="inlineStr">
        <is>
          <t>신전 마을</t>
        </is>
      </c>
      <c r="B8" s="8" t="inlineStr">
        <is>
          <t>용의 시대</t>
        </is>
      </c>
      <c r="C8" s="8" t="inlineStr">
        <is>
          <t>일곱 용사가 마왕을 첫 번째로 봉인한 장소에 세워진 마을. 신전 중앙에 봉인의 제단이 있으며, 사제들이 대대로 봉인을 지켜왔다.</t>
        </is>
      </c>
      <c r="D8" s="8" t="inlineStr">
        <is>
          <t>신전 지하 3층에 일곱 용사의 무덤이 있다. 각 무덤 앞에서 해당 용사의 무기를 바치면 "용사의 유지" 퀘스트가 해금된다.</t>
        </is>
      </c>
      <c r="E8" s="8" t="inlineStr">
        <is>
          <t>사제 에리카, 신전 장로</t>
        </is>
      </c>
      <c r="F8" s="8" t="inlineStr">
        <is>
          <t>성기사, 신전 수호병</t>
        </is>
      </c>
      <c r="G8" s="8" t="inlineStr">
        <is>
          <t>성수 — 봉인의 제단에서 정화한 물. 언데드와 악마에게 특효이며, 에리카가 제조법을 전수해준다.</t>
        </is>
      </c>
    </row>
    <row r="9">
      <c r="A9" s="9" t="inlineStr">
        <is>
          <t>사막 시장</t>
        </is>
      </c>
      <c r="B9" s="9" t="inlineStr">
        <is>
          <t>마왕의 시대</t>
        </is>
      </c>
      <c r="C9" s="9" t="inlineStr">
        <is>
          <t>마왕의 시대에 피난민들이 모여 자연발생적으로 형성된 거대 시장. 합법과 불법이 뒤섞인 혼돈의 도시. 암흑 시장이 지하에 존재.</t>
        </is>
      </c>
      <c r="D9" s="9" t="inlineStr">
        <is>
          <t>시장 지하 암흑 거래소에서 "마왕의 계약서"를 구할 수 있다. 서명하면 강력한 어둠의 힘을 얻지만, 카르마가 대폭 하락한다.</t>
        </is>
      </c>
      <c r="E9" s="9" t="inlineStr">
        <is>
          <t>상인 하산, 도적 카인</t>
        </is>
      </c>
      <c r="F9" s="9" t="inlineStr">
        <is>
          <t>사막의 무희, 암살자</t>
        </is>
      </c>
      <c r="G9" s="9" t="inlineStr">
        <is>
          <t>향신료 혼합물 — 사막 시장에서만 구할 수 있는 12가지 향신료 블렌드. 요리 효과를 2배로 증폭시킨다.</t>
        </is>
      </c>
    </row>
    <row r="10">
      <c r="A10" s="8" t="inlineStr">
        <is>
          <t>동쪽 항구</t>
        </is>
      </c>
      <c r="B10" s="8" t="inlineStr">
        <is>
          <t>마왕의 시대</t>
        </is>
      </c>
      <c r="C10" s="8" t="inlineStr">
        <is>
          <t>마왕의 군대를 피해 동쪽으로 건너온 사람들이 세운 항구. 별빛 항구와 라이벌 관계이며, 해군과 해적이 공존하는 무법지대.</t>
        </is>
      </c>
      <c r="D10" s="8" t="inlineStr">
        <is>
          <t>항구 외곽 난파선 묘지에 "시간의 틈"으로 통하는 균열이 있다. 특정 아이템을 가지고 가면 과거의 용의 시대를 직접 체험할 수 있다.</t>
        </is>
      </c>
      <c r="E10" s="8" t="inlineStr">
        <is>
          <t>항만장 비카스</t>
        </is>
      </c>
      <c r="F10" s="8" t="inlineStr">
        <is>
          <t>해적 포격수, 해군 제독</t>
        </is>
      </c>
      <c r="G10" s="8" t="inlineStr">
        <is>
          <t>검은 산호 — 동쪽 해저에서만 채취되는 희귀 산호. 마법 저항 장비의 핵심 재료이며, 독특한 광택을 가진다.</t>
        </is>
      </c>
    </row>
    <row r="11">
      <c r="A11" s="9" t="inlineStr">
        <is>
          <t>불의 화산</t>
        </is>
      </c>
      <c r="B11" s="9" t="inlineStr">
        <is>
          <t>용의 시대 ~ 마왕의 시대</t>
        </is>
      </c>
      <c r="C11" s="9" t="inlineStr">
        <is>
          <t>고대 화염 드래곤이 죽으며 생긴 화산. 용의 핵이 아직 지하에서 타오르고 있다. 용기사단이 이곳을 성지로 여긴다.</t>
        </is>
      </c>
      <c r="D11" s="9" t="inlineStr">
        <is>
          <t>화산 최심부에 화염 드래곤의 알이 하나 남아 있다. 용의 유대도가 최대인 자만이 알을 부화시킬 수 있으며, 전설급 펫을 얻는다.</t>
        </is>
      </c>
      <c r="E11" s="9" t="inlineStr">
        <is>
          <t>용기사 레온</t>
        </is>
      </c>
      <c r="F11" s="9" t="inlineStr">
        <is>
          <t>화염 마법사, 용기사</t>
        </is>
      </c>
      <c r="G11" s="9" t="inlineStr">
        <is>
          <t>용암 결정 — 드래곤의 핵에서 에너지를 받아 형성되는 결정체. 무기에 화염 속성을 부여하는 고급 강화 재료.</t>
        </is>
      </c>
    </row>
    <row r="12">
      <c r="A12" s="8" t="inlineStr">
        <is>
          <t>영원의 빙벽</t>
        </is>
      </c>
      <c r="B12" s="8" t="inlineStr">
        <is>
          <t>창조의 시대</t>
        </is>
      </c>
      <c r="C12" s="8" t="inlineStr">
        <is>
          <t>세계 끝에 있는 거대한 빙벽. 창조의 시대에 "북쪽의 것"을 막기 위해 정령들이 세웠다고 전해진다. 빙벽 너머에 무엇이 있는지 아무도 모른다.</t>
        </is>
      </c>
      <c r="D12" s="8" t="inlineStr">
        <is>
          <t>빙벽에 특정 음률(에리카의 찬송가)을 들려주면 벽의 일부가 녹아 통로가 열린다. 내부에는 창조의 시대 정령들의 마지막 메시지가 남아 있다.</t>
        </is>
      </c>
      <c r="E12" s="8" t="inlineStr">
        <is>
          <t>사제 에리카, 빙벽 수호자</t>
        </is>
      </c>
      <c r="F12" s="8" t="inlineStr">
        <is>
          <t>빙결 마법사, 설원의 수호자</t>
        </is>
      </c>
      <c r="G12" s="8" t="inlineStr">
        <is>
          <t>영원의 얼음 — 절대 녹지 않는 빙벽의 파편. 방어구에 빙결 속성을 부여하며, 해열제와 보존 용도로도 쓰인다.</t>
        </is>
      </c>
    </row>
    <row r="13">
      <c r="A13" s="9" t="inlineStr">
        <is>
          <t>심연의 골짜기</t>
        </is>
      </c>
      <c r="B13" s="9" t="inlineStr">
        <is>
          <t>마왕의 시대</t>
        </is>
      </c>
      <c r="C13" s="9" t="inlineStr">
        <is>
          <t>마왕 벨리알이 봉인에서 깨어나며 대지가 갈라져 생긴 협곡. 어둠의 기운이 가득하며, 마왕의 군단 본거지. 일반인은 접근 불가.</t>
        </is>
      </c>
      <c r="D13" s="9" t="inlineStr">
        <is>
          <t>골짜기 가장 깊은 곳에 "심연의 탑" 입구가 있다. 탑은 지하로 100층이 이어지며, 최하층에 마왕의 옥좌가 있다.</t>
        </is>
      </c>
      <c r="E13" s="9" t="inlineStr">
        <is>
          <t>도적 카인</t>
        </is>
      </c>
      <c r="F13" s="9" t="inlineStr">
        <is>
          <t>암흑 기사, 네크로맨서</t>
        </is>
      </c>
      <c r="G13" s="9" t="inlineStr">
        <is>
          <t>심연의 수정 — 어둠의 기운이 응축된 보라색 수정. 강력한 마법 장비 제작에 필수이지만, 오래 소지하면 정신이 잠식된다.</t>
        </is>
      </c>
    </row>
    <row r="14">
      <c r="A14" s="8" t="inlineStr">
        <is>
          <t>세계수 숲</t>
        </is>
      </c>
      <c r="B14" s="8" t="inlineStr">
        <is>
          <t>창조의 시대</t>
        </is>
      </c>
      <c r="C14" s="8" t="inlineStr">
        <is>
          <t>세계의 중심에 선 거대한 세계수와 그 주변의 원시림. 창조의 시대부터 존재하며, 모든 생명의 근원. 엘프(세라핌 후예)가 숲을 지킨다.</t>
        </is>
      </c>
      <c r="D14" s="8" t="inlineStr">
        <is>
          <t>세계수 뿌리 아래에 세라핌(천사족)의 마지막 생존자가 동면하고 있다. 그녀는 마왕의 진실과 세계의 비밀을 알고 있다.</t>
        </is>
      </c>
      <c r="E14" s="8" t="inlineStr">
        <is>
          <t>세라핌, 엘프 장로</t>
        </is>
      </c>
      <c r="F14" s="8" t="inlineStr">
        <is>
          <t>엘프 궁수, 드루이드</t>
        </is>
      </c>
      <c r="G14" s="8" t="inlineStr">
        <is>
          <t>세계수 수액 — 세계수에서 1년에 한 번만 흐르는 황금빛 수액. 모든 상태이상을 치유하며, 전설급 물약의 재료.</t>
        </is>
      </c>
    </row>
    <row r="15">
      <c r="A15" s="9" t="inlineStr">
        <is>
          <t>(비밀) 시간의 틈</t>
        </is>
      </c>
      <c r="B15" s="9" t="inlineStr">
        <is>
          <t>모든 시대</t>
        </is>
      </c>
      <c r="C15" s="9" t="inlineStr">
        <is>
          <t>시공이 뒤틀린 차원의 균열. 2회차에만 접근 가능. 과거의 네 시대를 자유롭게 오갈 수 있으며, 역사를 직접 바꿀 수 있다.</t>
        </is>
      </c>
      <c r="D15" s="9" t="inlineStr">
        <is>
          <t>시간의 틈 최심부에서 "창조신의 조각"을 모으면 진엔딩이 해금된다. 창조신은 사실 마왕과 일곱 용사를 만든 존재이며, 이 모든 것이 시험이었음이 밝혀진다.</t>
        </is>
      </c>
      <c r="E15" s="9" t="inlineStr">
        <is>
          <t>시간의 관리자 (???)</t>
        </is>
      </c>
      <c r="F15" s="9" t="inlineStr">
        <is>
          <t>시간의 마법사, 차원 행자</t>
        </is>
      </c>
      <c r="G15" s="9" t="inlineStr">
        <is>
          <t>시간의 모래 — 시간의 틈에서만 채취 가능한 금빛 모래. 장비에 "시간 되감기" 효과를 부여하는 궁극의 재료.</t>
        </is>
      </c>
    </row>
  </sheetData>
  <mergeCells count="1">
    <mergeCell ref="A1:G1"/>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8" customWidth="1" min="1" max="1"/>
    <col width="22" customWidth="1" min="2" max="2"/>
    <col width="8" customWidth="1" min="3" max="3"/>
    <col width="14" customWidth="1" min="4" max="4"/>
    <col width="30" customWidth="1" min="5" max="5"/>
    <col width="20" customWidth="1" min="6" max="6"/>
    <col width="20" customWidth="1" min="7" max="7"/>
    <col width="20" customWidth="1" min="8" max="8"/>
    <col width="12" customWidth="1" min="9" max="9"/>
    <col width="12" customWidth="1" min="10" max="10"/>
  </cols>
  <sheetData>
    <row r="1">
      <c r="A1" s="6" t="inlineStr">
        <is>
          <t>장비 제작 레시피 상세</t>
        </is>
      </c>
    </row>
    <row r="3">
      <c r="A3" s="7" t="inlineStr">
        <is>
          <t>등급</t>
        </is>
      </c>
      <c r="B3" s="7" t="inlineStr">
        <is>
          <t>장비명</t>
        </is>
      </c>
      <c r="C3" s="7" t="inlineStr">
        <is>
          <t>타입</t>
        </is>
      </c>
      <c r="D3" s="7" t="inlineStr">
        <is>
          <t>ATK/DEF</t>
        </is>
      </c>
      <c r="E3" s="7" t="inlineStr">
        <is>
          <t>추가 효과</t>
        </is>
      </c>
      <c r="F3" s="7" t="inlineStr">
        <is>
          <t>재료 1</t>
        </is>
      </c>
      <c r="G3" s="7" t="inlineStr">
        <is>
          <t>재료 2</t>
        </is>
      </c>
      <c r="H3" s="7" t="inlineStr">
        <is>
          <t>재료 3</t>
        </is>
      </c>
      <c r="I3" s="7" t="inlineStr">
        <is>
          <t>제작 비용</t>
        </is>
      </c>
      <c r="J3" s="7" t="inlineStr">
        <is>
          <t>대장간 Lv</t>
        </is>
      </c>
    </row>
    <row r="4">
      <c r="A4" s="8" t="inlineStr">
        <is>
          <t>일반</t>
        </is>
      </c>
      <c r="B4" s="8" t="inlineStr">
        <is>
          <t>철제 장검</t>
        </is>
      </c>
      <c r="C4" s="8" t="inlineStr">
        <is>
          <t>무기</t>
        </is>
      </c>
      <c r="D4" s="8" t="inlineStr">
        <is>
          <t>ATK +15</t>
        </is>
      </c>
      <c r="E4" s="8" t="inlineStr">
        <is>
          <t>없음</t>
        </is>
      </c>
      <c r="F4" s="8" t="inlineStr">
        <is>
          <t>철 광석 x5</t>
        </is>
      </c>
      <c r="G4" s="8" t="inlineStr">
        <is>
          <t>가죽 끈 x2</t>
        </is>
      </c>
      <c r="H4" s="8" t="inlineStr"/>
      <c r="I4" s="8" t="inlineStr">
        <is>
          <t>200G</t>
        </is>
      </c>
      <c r="J4" s="8" t="inlineStr">
        <is>
          <t>Lv.1</t>
        </is>
      </c>
    </row>
    <row r="5">
      <c r="A5" s="9" t="inlineStr">
        <is>
          <t>일반</t>
        </is>
      </c>
      <c r="B5" s="9" t="inlineStr">
        <is>
          <t>가죽 경갑</t>
        </is>
      </c>
      <c r="C5" s="9" t="inlineStr">
        <is>
          <t>방어구</t>
        </is>
      </c>
      <c r="D5" s="9" t="inlineStr">
        <is>
          <t>DEF +10</t>
        </is>
      </c>
      <c r="E5" s="9" t="inlineStr">
        <is>
          <t>이동속도 +3%</t>
        </is>
      </c>
      <c r="F5" s="9" t="inlineStr">
        <is>
          <t>질긴 가죽 x6</t>
        </is>
      </c>
      <c r="G5" s="9" t="inlineStr">
        <is>
          <t>철 버클 x2</t>
        </is>
      </c>
      <c r="H5" s="9" t="inlineStr"/>
      <c r="I5" s="9" t="inlineStr">
        <is>
          <t>180G</t>
        </is>
      </c>
      <c r="J5" s="9" t="inlineStr">
        <is>
          <t>Lv.1</t>
        </is>
      </c>
    </row>
    <row r="6">
      <c r="A6" s="8" t="inlineStr">
        <is>
          <t>일반</t>
        </is>
      </c>
      <c r="B6" s="8" t="inlineStr">
        <is>
          <t>참나무 방패</t>
        </is>
      </c>
      <c r="C6" s="8" t="inlineStr">
        <is>
          <t>방어구</t>
        </is>
      </c>
      <c r="D6" s="8" t="inlineStr">
        <is>
          <t>DEF +12</t>
        </is>
      </c>
      <c r="E6" s="8" t="inlineStr">
        <is>
          <t>블록 확률 +5%</t>
        </is>
      </c>
      <c r="F6" s="8" t="inlineStr">
        <is>
          <t>참나무 판재 x4</t>
        </is>
      </c>
      <c r="G6" s="8" t="inlineStr">
        <is>
          <t>철 테두리 x2</t>
        </is>
      </c>
      <c r="H6" s="8" t="inlineStr"/>
      <c r="I6" s="8" t="inlineStr">
        <is>
          <t>220G</t>
        </is>
      </c>
      <c r="J6" s="8" t="inlineStr">
        <is>
          <t>Lv.1</t>
        </is>
      </c>
    </row>
    <row r="7">
      <c r="A7" s="9" t="inlineStr">
        <is>
          <t>일반</t>
        </is>
      </c>
      <c r="B7" s="9" t="inlineStr">
        <is>
          <t>사냥꾼의 활</t>
        </is>
      </c>
      <c r="C7" s="9" t="inlineStr">
        <is>
          <t>무기</t>
        </is>
      </c>
      <c r="D7" s="9" t="inlineStr">
        <is>
          <t>ATK +13</t>
        </is>
      </c>
      <c r="E7" s="9" t="inlineStr">
        <is>
          <t>사거리 +10%</t>
        </is>
      </c>
      <c r="F7" s="9" t="inlineStr">
        <is>
          <t>탄력 목재 x4</t>
        </is>
      </c>
      <c r="G7" s="9" t="inlineStr">
        <is>
          <t>동물 힘줄 x3</t>
        </is>
      </c>
      <c r="H7" s="9" t="inlineStr"/>
      <c r="I7" s="9" t="inlineStr">
        <is>
          <t>210G</t>
        </is>
      </c>
      <c r="J7" s="9" t="inlineStr">
        <is>
          <t>Lv.1</t>
        </is>
      </c>
    </row>
    <row r="8">
      <c r="A8" s="8" t="inlineStr">
        <is>
          <t>일반</t>
        </is>
      </c>
      <c r="B8" s="8" t="inlineStr">
        <is>
          <t>천 로브</t>
        </is>
      </c>
      <c r="C8" s="8" t="inlineStr">
        <is>
          <t>방어구</t>
        </is>
      </c>
      <c r="D8" s="8" t="inlineStr">
        <is>
          <t>DEF +8</t>
        </is>
      </c>
      <c r="E8" s="8" t="inlineStr">
        <is>
          <t>MP +50</t>
        </is>
      </c>
      <c r="F8" s="8" t="inlineStr">
        <is>
          <t>면직물 x5</t>
        </is>
      </c>
      <c r="G8" s="8" t="inlineStr">
        <is>
          <t>마력 실 x1</t>
        </is>
      </c>
      <c r="H8" s="8" t="inlineStr"/>
      <c r="I8" s="8" t="inlineStr">
        <is>
          <t>170G</t>
        </is>
      </c>
      <c r="J8" s="8" t="inlineStr">
        <is>
          <t>Lv.1</t>
        </is>
      </c>
    </row>
    <row r="9">
      <c r="A9" s="9" t="inlineStr">
        <is>
          <t>일반</t>
        </is>
      </c>
      <c r="B9" s="9" t="inlineStr">
        <is>
          <t>연습용 단검</t>
        </is>
      </c>
      <c r="C9" s="9" t="inlineStr">
        <is>
          <t>무기</t>
        </is>
      </c>
      <c r="D9" s="9" t="inlineStr">
        <is>
          <t>ATK +11</t>
        </is>
      </c>
      <c r="E9" s="9" t="inlineStr">
        <is>
          <t>공격속도 +5%</t>
        </is>
      </c>
      <c r="F9" s="9" t="inlineStr">
        <is>
          <t>철 조각 x4</t>
        </is>
      </c>
      <c r="G9" s="9" t="inlineStr">
        <is>
          <t>가죽 끈 x1</t>
        </is>
      </c>
      <c r="H9" s="9" t="inlineStr"/>
      <c r="I9" s="9" t="inlineStr">
        <is>
          <t>150G</t>
        </is>
      </c>
      <c r="J9" s="9" t="inlineStr">
        <is>
          <t>Lv.1</t>
        </is>
      </c>
    </row>
    <row r="10">
      <c r="A10" s="8" t="inlineStr">
        <is>
          <t>고급</t>
        </is>
      </c>
      <c r="B10" s="8" t="inlineStr">
        <is>
          <t>강철 대검</t>
        </is>
      </c>
      <c r="C10" s="8" t="inlineStr">
        <is>
          <t>무기</t>
        </is>
      </c>
      <c r="D10" s="8" t="inlineStr">
        <is>
          <t>ATK +32</t>
        </is>
      </c>
      <c r="E10" s="8" t="inlineStr">
        <is>
          <t>크리티컬 +5%</t>
        </is>
      </c>
      <c r="F10" s="8" t="inlineStr">
        <is>
          <t>강철 주괴 x4</t>
        </is>
      </c>
      <c r="G10" s="8" t="inlineStr">
        <is>
          <t>단단한 나무 x3</t>
        </is>
      </c>
      <c r="H10" s="8" t="inlineStr">
        <is>
          <t>연마석 x2</t>
        </is>
      </c>
      <c r="I10" s="8" t="inlineStr">
        <is>
          <t>800G</t>
        </is>
      </c>
      <c r="J10" s="8" t="inlineStr">
        <is>
          <t>Lv.2</t>
        </is>
      </c>
    </row>
    <row r="11">
      <c r="A11" s="9" t="inlineStr">
        <is>
          <t>고급</t>
        </is>
      </c>
      <c r="B11" s="9" t="inlineStr">
        <is>
          <t>쇠사슬 갑옷</t>
        </is>
      </c>
      <c r="C11" s="9" t="inlineStr">
        <is>
          <t>방어구</t>
        </is>
      </c>
      <c r="D11" s="9" t="inlineStr">
        <is>
          <t>DEF +25</t>
        </is>
      </c>
      <c r="E11" s="9" t="inlineStr">
        <is>
          <t>HP +100</t>
        </is>
      </c>
      <c r="F11" s="9" t="inlineStr">
        <is>
          <t>강철 고리 x30</t>
        </is>
      </c>
      <c r="G11" s="9" t="inlineStr">
        <is>
          <t>가죽 안감 x4</t>
        </is>
      </c>
      <c r="H11" s="9" t="inlineStr"/>
      <c r="I11" s="9" t="inlineStr">
        <is>
          <t>750G</t>
        </is>
      </c>
      <c r="J11" s="9" t="inlineStr">
        <is>
          <t>Lv.2</t>
        </is>
      </c>
    </row>
    <row r="12">
      <c r="A12" s="8" t="inlineStr">
        <is>
          <t>고급</t>
        </is>
      </c>
      <c r="B12" s="8" t="inlineStr">
        <is>
          <t>미스릴 단검</t>
        </is>
      </c>
      <c r="C12" s="8" t="inlineStr">
        <is>
          <t>무기</t>
        </is>
      </c>
      <c r="D12" s="8" t="inlineStr">
        <is>
          <t>ATK +28</t>
        </is>
      </c>
      <c r="E12" s="8" t="inlineStr">
        <is>
          <t>공격속도 +12%</t>
        </is>
      </c>
      <c r="F12" s="8" t="inlineStr">
        <is>
          <t>미스릴 조각 x3</t>
        </is>
      </c>
      <c r="G12" s="8" t="inlineStr">
        <is>
          <t>가죽 손잡이 x2</t>
        </is>
      </c>
      <c r="H12" s="8" t="inlineStr">
        <is>
          <t>독 추출물 x1</t>
        </is>
      </c>
      <c r="I12" s="8" t="inlineStr">
        <is>
          <t>900G</t>
        </is>
      </c>
      <c r="J12" s="8" t="inlineStr">
        <is>
          <t>Lv.2</t>
        </is>
      </c>
    </row>
    <row r="13">
      <c r="A13" s="9" t="inlineStr">
        <is>
          <t>고급</t>
        </is>
      </c>
      <c r="B13" s="9" t="inlineStr">
        <is>
          <t>수호자의 중갑</t>
        </is>
      </c>
      <c r="C13" s="9" t="inlineStr">
        <is>
          <t>방어구</t>
        </is>
      </c>
      <c r="D13" s="9" t="inlineStr">
        <is>
          <t>DEF +30</t>
        </is>
      </c>
      <c r="E13" s="9" t="inlineStr">
        <is>
          <t>피해감소 +5%</t>
        </is>
      </c>
      <c r="F13" s="9" t="inlineStr">
        <is>
          <t>강철 판금 x6</t>
        </is>
      </c>
      <c r="G13" s="9" t="inlineStr">
        <is>
          <t>쇠사슬 x10</t>
        </is>
      </c>
      <c r="H13" s="9" t="inlineStr">
        <is>
          <t>가죽 끈 x4</t>
        </is>
      </c>
      <c r="I13" s="9" t="inlineStr">
        <is>
          <t>1000G</t>
        </is>
      </c>
      <c r="J13" s="9" t="inlineStr">
        <is>
          <t>Lv.2</t>
        </is>
      </c>
    </row>
    <row r="14">
      <c r="A14" s="8" t="inlineStr">
        <is>
          <t>고급</t>
        </is>
      </c>
      <c r="B14" s="8" t="inlineStr">
        <is>
          <t>바람의 장궁</t>
        </is>
      </c>
      <c r="C14" s="8" t="inlineStr">
        <is>
          <t>무기</t>
        </is>
      </c>
      <c r="D14" s="8" t="inlineStr">
        <is>
          <t>ATK +30</t>
        </is>
      </c>
      <c r="E14" s="8" t="inlineStr">
        <is>
          <t>사거리 +20%, 관통</t>
        </is>
      </c>
      <c r="F14" s="8" t="inlineStr">
        <is>
          <t>탄력 목재 x5</t>
        </is>
      </c>
      <c r="G14" s="8" t="inlineStr">
        <is>
          <t>바람 정령석 x1</t>
        </is>
      </c>
      <c r="H14" s="8" t="inlineStr">
        <is>
          <t>동물 힘줄 x4</t>
        </is>
      </c>
      <c r="I14" s="8" t="inlineStr">
        <is>
          <t>950G</t>
        </is>
      </c>
      <c r="J14" s="8" t="inlineStr">
        <is>
          <t>Lv.3</t>
        </is>
      </c>
    </row>
    <row r="15">
      <c r="A15" s="9" t="inlineStr">
        <is>
          <t>고급</t>
        </is>
      </c>
      <c r="B15" s="9" t="inlineStr">
        <is>
          <t>마력 로브</t>
        </is>
      </c>
      <c r="C15" s="9" t="inlineStr">
        <is>
          <t>방어구</t>
        </is>
      </c>
      <c r="D15" s="9" t="inlineStr">
        <is>
          <t>DEF +18</t>
        </is>
      </c>
      <c r="E15" s="9" t="inlineStr">
        <is>
          <t>MP +150, 시전속도 +8%</t>
        </is>
      </c>
      <c r="F15" s="9" t="inlineStr">
        <is>
          <t>마력 천 x5</t>
        </is>
      </c>
      <c r="G15" s="9" t="inlineStr">
        <is>
          <t>은실 x3</t>
        </is>
      </c>
      <c r="H15" s="9" t="inlineStr">
        <is>
          <t>작은 마정석 x2</t>
        </is>
      </c>
      <c r="I15" s="9" t="inlineStr">
        <is>
          <t>850G</t>
        </is>
      </c>
      <c r="J15" s="9" t="inlineStr">
        <is>
          <t>Lv.2</t>
        </is>
      </c>
    </row>
    <row r="16">
      <c r="A16" s="8" t="inlineStr">
        <is>
          <t>고급</t>
        </is>
      </c>
      <c r="B16" s="8" t="inlineStr">
        <is>
          <t>강철 전투 도끼</t>
        </is>
      </c>
      <c r="C16" s="8" t="inlineStr">
        <is>
          <t>무기</t>
        </is>
      </c>
      <c r="D16" s="8" t="inlineStr">
        <is>
          <t>ATK +35</t>
        </is>
      </c>
      <c r="E16" s="8" t="inlineStr">
        <is>
          <t>범위공격 +10%</t>
        </is>
      </c>
      <c r="F16" s="8" t="inlineStr">
        <is>
          <t>강철 주괴 x5</t>
        </is>
      </c>
      <c r="G16" s="8" t="inlineStr">
        <is>
          <t>단단한 나무 x4</t>
        </is>
      </c>
      <c r="H16" s="8" t="inlineStr"/>
      <c r="I16" s="8" t="inlineStr">
        <is>
          <t>880G</t>
        </is>
      </c>
      <c r="J16" s="8" t="inlineStr">
        <is>
          <t>Lv.3</t>
        </is>
      </c>
    </row>
    <row r="17">
      <c r="A17" s="9" t="inlineStr">
        <is>
          <t>고급</t>
        </is>
      </c>
      <c r="B17" s="9" t="inlineStr">
        <is>
          <t>사막 경갑</t>
        </is>
      </c>
      <c r="C17" s="9" t="inlineStr">
        <is>
          <t>방어구</t>
        </is>
      </c>
      <c r="D17" s="9" t="inlineStr">
        <is>
          <t>DEF +22</t>
        </is>
      </c>
      <c r="E17" s="9" t="inlineStr">
        <is>
          <t>열저항 +15%, 회피 +5%</t>
        </is>
      </c>
      <c r="F17" s="9" t="inlineStr">
        <is>
          <t>사막 가죽 x5</t>
        </is>
      </c>
      <c r="G17" s="9" t="inlineStr">
        <is>
          <t>모래 철 x3</t>
        </is>
      </c>
      <c r="H17" s="9" t="inlineStr">
        <is>
          <t>향신료 오일 x1</t>
        </is>
      </c>
      <c r="I17" s="9" t="inlineStr">
        <is>
          <t>820G</t>
        </is>
      </c>
      <c r="J17" s="9" t="inlineStr">
        <is>
          <t>Lv.2</t>
        </is>
      </c>
    </row>
    <row r="18">
      <c r="A18" s="8" t="inlineStr">
        <is>
          <t>희귀</t>
        </is>
      </c>
      <c r="B18" s="8" t="inlineStr">
        <is>
          <t>룬 블레이드</t>
        </is>
      </c>
      <c r="C18" s="8" t="inlineStr">
        <is>
          <t>무기</t>
        </is>
      </c>
      <c r="D18" s="8" t="inlineStr">
        <is>
          <t>ATK +55</t>
        </is>
      </c>
      <c r="E18" s="8" t="inlineStr">
        <is>
          <t>크리티컬 +12%, 마법 피해 +10%</t>
        </is>
      </c>
      <c r="F18" s="8" t="inlineStr">
        <is>
          <t>마력 강철 x4</t>
        </is>
      </c>
      <c r="G18" s="8" t="inlineStr">
        <is>
          <t>고대 룬석 x2</t>
        </is>
      </c>
      <c r="H18" s="8" t="inlineStr">
        <is>
          <t>용린석 x1</t>
        </is>
      </c>
      <c r="I18" s="8" t="inlineStr">
        <is>
          <t>2500G</t>
        </is>
      </c>
      <c r="J18" s="8" t="inlineStr">
        <is>
          <t>Lv.4</t>
        </is>
      </c>
    </row>
    <row r="19">
      <c r="A19" s="9" t="inlineStr">
        <is>
          <t>희귀</t>
        </is>
      </c>
      <c r="B19" s="9" t="inlineStr">
        <is>
          <t>성기사의 판금갑</t>
        </is>
      </c>
      <c r="C19" s="9" t="inlineStr">
        <is>
          <t>방어구</t>
        </is>
      </c>
      <c r="D19" s="9" t="inlineStr">
        <is>
          <t>DEF +48</t>
        </is>
      </c>
      <c r="E19" s="9" t="inlineStr">
        <is>
          <t>HP +300, 언데드 피해 +15%</t>
        </is>
      </c>
      <c r="F19" s="9" t="inlineStr">
        <is>
          <t>축복받은 강철 x6</t>
        </is>
      </c>
      <c r="G19" s="9" t="inlineStr">
        <is>
          <t>성수 x3</t>
        </is>
      </c>
      <c r="H19" s="9" t="inlineStr">
        <is>
          <t>은 십자가 x1</t>
        </is>
      </c>
      <c r="I19" s="9" t="inlineStr">
        <is>
          <t>2800G</t>
        </is>
      </c>
      <c r="J19" s="9" t="inlineStr">
        <is>
          <t>Lv.4</t>
        </is>
      </c>
    </row>
    <row r="20">
      <c r="A20" s="8" t="inlineStr">
        <is>
          <t>희귀</t>
        </is>
      </c>
      <c r="B20" s="8" t="inlineStr">
        <is>
          <t>흡혈의 낫</t>
        </is>
      </c>
      <c r="C20" s="8" t="inlineStr">
        <is>
          <t>무기</t>
        </is>
      </c>
      <c r="D20" s="8" t="inlineStr">
        <is>
          <t>ATK +50</t>
        </is>
      </c>
      <c r="E20" s="8" t="inlineStr">
        <is>
          <t>흡혈 +8%, 출혈 부여</t>
        </is>
      </c>
      <c r="F20" s="8" t="inlineStr">
        <is>
          <t>저주받은 철 x5</t>
        </is>
      </c>
      <c r="G20" s="8" t="inlineStr">
        <is>
          <t>피의 수정 x2</t>
        </is>
      </c>
      <c r="H20" s="8" t="inlineStr">
        <is>
          <t>뼈 손잡이 x1</t>
        </is>
      </c>
      <c r="I20" s="8" t="inlineStr">
        <is>
          <t>2600G</t>
        </is>
      </c>
      <c r="J20" s="8" t="inlineStr">
        <is>
          <t>Lv.4</t>
        </is>
      </c>
    </row>
    <row r="21">
      <c r="A21" s="9" t="inlineStr">
        <is>
          <t>희귀</t>
        </is>
      </c>
      <c r="B21" s="9" t="inlineStr">
        <is>
          <t>정령의 외투</t>
        </is>
      </c>
      <c r="C21" s="9" t="inlineStr">
        <is>
          <t>방어구</t>
        </is>
      </c>
      <c r="D21" s="9" t="inlineStr">
        <is>
          <t>DEF +35</t>
        </is>
      </c>
      <c r="E21" s="9" t="inlineStr">
        <is>
          <t>전속성 저항 +10%, MP +200</t>
        </is>
      </c>
      <c r="F21" s="9" t="inlineStr">
        <is>
          <t>정령 천 x4</t>
        </is>
      </c>
      <c r="G21" s="9" t="inlineStr">
        <is>
          <t>바람 정령석 x2</t>
        </is>
      </c>
      <c r="H21" s="9" t="inlineStr">
        <is>
          <t>세계수 잎 x1</t>
        </is>
      </c>
      <c r="I21" s="9" t="inlineStr">
        <is>
          <t>2700G</t>
        </is>
      </c>
      <c r="J21" s="9" t="inlineStr">
        <is>
          <t>Lv.5</t>
        </is>
      </c>
    </row>
    <row r="22">
      <c r="A22" s="8" t="inlineStr">
        <is>
          <t>희귀</t>
        </is>
      </c>
      <c r="B22" s="8" t="inlineStr">
        <is>
          <t>뇌전의 창</t>
        </is>
      </c>
      <c r="C22" s="8" t="inlineStr">
        <is>
          <t>무기</t>
        </is>
      </c>
      <c r="D22" s="8" t="inlineStr">
        <is>
          <t>ATK +52</t>
        </is>
      </c>
      <c r="E22" s="8" t="inlineStr">
        <is>
          <t>번개 추가 피해 +20%, 감전 확률 15%</t>
        </is>
      </c>
      <c r="F22" s="8" t="inlineStr">
        <is>
          <t>미스릴 주괴 x3</t>
        </is>
      </c>
      <c r="G22" s="8" t="inlineStr">
        <is>
          <t>번개 정수 x2</t>
        </is>
      </c>
      <c r="H22" s="8" t="inlineStr">
        <is>
          <t>용린석 x1</t>
        </is>
      </c>
      <c r="I22" s="8" t="inlineStr">
        <is>
          <t>2900G</t>
        </is>
      </c>
      <c r="J22" s="8" t="inlineStr">
        <is>
          <t>Lv.5</t>
        </is>
      </c>
    </row>
    <row r="23">
      <c r="A23" s="9" t="inlineStr">
        <is>
          <t>희귀</t>
        </is>
      </c>
      <c r="B23" s="9" t="inlineStr">
        <is>
          <t>심연의 로브</t>
        </is>
      </c>
      <c r="C23" s="9" t="inlineStr">
        <is>
          <t>방어구</t>
        </is>
      </c>
      <c r="D23" s="9" t="inlineStr">
        <is>
          <t>DEF +40</t>
        </is>
      </c>
      <c r="E23" s="9" t="inlineStr">
        <is>
          <t>암흑 마법 +15%, MP +250</t>
        </is>
      </c>
      <c r="F23" s="9" t="inlineStr">
        <is>
          <t>심연의 천 x4</t>
        </is>
      </c>
      <c r="G23" s="9" t="inlineStr">
        <is>
          <t>심연의 수정 x2</t>
        </is>
      </c>
      <c r="H23" s="9" t="inlineStr">
        <is>
          <t>어둠 실 x3</t>
        </is>
      </c>
      <c r="I23" s="9" t="inlineStr">
        <is>
          <t>3000G</t>
        </is>
      </c>
      <c r="J23" s="9" t="inlineStr">
        <is>
          <t>Lv.5</t>
        </is>
      </c>
    </row>
    <row r="24">
      <c r="A24" s="8" t="inlineStr">
        <is>
          <t>희귀</t>
        </is>
      </c>
      <c r="B24" s="8" t="inlineStr">
        <is>
          <t>사냥꾼의 복합궁</t>
        </is>
      </c>
      <c r="C24" s="8" t="inlineStr">
        <is>
          <t>무기</t>
        </is>
      </c>
      <c r="D24" s="8" t="inlineStr">
        <is>
          <t>ATK +48</t>
        </is>
      </c>
      <c r="E24" s="8" t="inlineStr">
        <is>
          <t>크리티컬 +15%, 이중사격 10%</t>
        </is>
      </c>
      <c r="F24" s="8" t="inlineStr">
        <is>
          <t>정령 나무 x4</t>
        </is>
      </c>
      <c r="G24" s="8" t="inlineStr">
        <is>
          <t>미스릴 줄 x2</t>
        </is>
      </c>
      <c r="H24" s="8" t="inlineStr">
        <is>
          <t>매의 깃털 x3</t>
        </is>
      </c>
      <c r="I24" s="8" t="inlineStr">
        <is>
          <t>2400G</t>
        </is>
      </c>
      <c r="J24" s="8" t="inlineStr">
        <is>
          <t>Lv.4</t>
        </is>
      </c>
    </row>
    <row r="25">
      <c r="A25" s="9" t="inlineStr">
        <is>
          <t>희귀</t>
        </is>
      </c>
      <c r="B25" s="9" t="inlineStr">
        <is>
          <t>빙결의 중갑</t>
        </is>
      </c>
      <c r="C25" s="9" t="inlineStr">
        <is>
          <t>방어구</t>
        </is>
      </c>
      <c r="D25" s="9" t="inlineStr">
        <is>
          <t>DEF +45</t>
        </is>
      </c>
      <c r="E25" s="9" t="inlineStr">
        <is>
          <t>빙결 반사 8%, 냉기저항 +25%</t>
        </is>
      </c>
      <c r="F25" s="9" t="inlineStr">
        <is>
          <t>영원의 얼음 x3</t>
        </is>
      </c>
      <c r="G25" s="9" t="inlineStr">
        <is>
          <t>미스릴 판금 x4</t>
        </is>
      </c>
      <c r="H25" s="9" t="inlineStr">
        <is>
          <t>빙결 핵 x1</t>
        </is>
      </c>
      <c r="I25" s="9" t="inlineStr">
        <is>
          <t>3100G</t>
        </is>
      </c>
      <c r="J25" s="9" t="inlineStr">
        <is>
          <t>Lv.5</t>
        </is>
      </c>
    </row>
    <row r="26">
      <c r="A26" s="8" t="inlineStr">
        <is>
          <t>영웅</t>
        </is>
      </c>
      <c r="B26" s="8" t="inlineStr">
        <is>
          <t>드래곤 슬레이어</t>
        </is>
      </c>
      <c r="C26" s="8" t="inlineStr">
        <is>
          <t>무기</t>
        </is>
      </c>
      <c r="D26" s="8" t="inlineStr">
        <is>
          <t>ATK +88</t>
        </is>
      </c>
      <c r="E26" s="8" t="inlineStr">
        <is>
          <t>드래곤계 +30%, 크리티컬 +18%</t>
        </is>
      </c>
      <c r="F26" s="8" t="inlineStr">
        <is>
          <t>용린석 x8</t>
        </is>
      </c>
      <c r="G26" s="8" t="inlineStr">
        <is>
          <t>용의 송곳니 x2</t>
        </is>
      </c>
      <c r="H26" s="8" t="inlineStr">
        <is>
          <t>전설의 주괴 x3</t>
        </is>
      </c>
      <c r="I26" s="8" t="inlineStr">
        <is>
          <t>8000G</t>
        </is>
      </c>
      <c r="J26" s="8" t="inlineStr">
        <is>
          <t>Lv.7</t>
        </is>
      </c>
    </row>
    <row r="27">
      <c r="A27" s="9" t="inlineStr">
        <is>
          <t>영웅</t>
        </is>
      </c>
      <c r="B27" s="9" t="inlineStr">
        <is>
          <t>신성 판금 풀세트</t>
        </is>
      </c>
      <c r="C27" s="9" t="inlineStr">
        <is>
          <t>방어구</t>
        </is>
      </c>
      <c r="D27" s="9" t="inlineStr">
        <is>
          <t>DEF +75</t>
        </is>
      </c>
      <c r="E27" s="9" t="inlineStr">
        <is>
          <t>HP +500, 신성 보호막(5초/60초)</t>
        </is>
      </c>
      <c r="F27" s="9" t="inlineStr">
        <is>
          <t>축복받은 미스릴 x6</t>
        </is>
      </c>
      <c r="G27" s="9" t="inlineStr">
        <is>
          <t>세계수 수액 x2</t>
        </is>
      </c>
      <c r="H27" s="9" t="inlineStr">
        <is>
          <t>성수 x5</t>
        </is>
      </c>
      <c r="I27" s="9" t="inlineStr">
        <is>
          <t>9000G</t>
        </is>
      </c>
      <c r="J27" s="9" t="inlineStr">
        <is>
          <t>Lv.7</t>
        </is>
      </c>
    </row>
    <row r="28">
      <c r="A28" s="8" t="inlineStr">
        <is>
          <t>영웅</t>
        </is>
      </c>
      <c r="B28" s="8" t="inlineStr">
        <is>
          <t>폭풍의 쌍검</t>
        </is>
      </c>
      <c r="C28" s="8" t="inlineStr">
        <is>
          <t>무기</t>
        </is>
      </c>
      <c r="D28" s="8" t="inlineStr">
        <is>
          <t>ATK +80</t>
        </is>
      </c>
      <c r="E28" s="8" t="inlineStr">
        <is>
          <t>공격속도 +25%, 회오리 발생 15%</t>
        </is>
      </c>
      <c r="F28" s="8" t="inlineStr">
        <is>
          <t>바람 정령 핵 x2</t>
        </is>
      </c>
      <c r="G28" s="8" t="inlineStr">
        <is>
          <t>미스릴 주괴 x5</t>
        </is>
      </c>
      <c r="H28" s="8" t="inlineStr">
        <is>
          <t>용린석 x3</t>
        </is>
      </c>
      <c r="I28" s="8" t="inlineStr">
        <is>
          <t>8500G</t>
        </is>
      </c>
      <c r="J28" s="8" t="inlineStr">
        <is>
          <t>Lv.7</t>
        </is>
      </c>
    </row>
    <row r="29">
      <c r="A29" s="9" t="inlineStr">
        <is>
          <t>영웅</t>
        </is>
      </c>
      <c r="B29" s="9" t="inlineStr">
        <is>
          <t>암흑의 대방패</t>
        </is>
      </c>
      <c r="C29" s="9" t="inlineStr">
        <is>
          <t>방어구</t>
        </is>
      </c>
      <c r="D29" s="9" t="inlineStr">
        <is>
          <t>DEF +70</t>
        </is>
      </c>
      <c r="E29" s="9" t="inlineStr">
        <is>
          <t>피해 흡수 +12%, 반사 8%</t>
        </is>
      </c>
      <c r="F29" s="9" t="inlineStr">
        <is>
          <t>심연의 수정 x5</t>
        </is>
      </c>
      <c r="G29" s="9" t="inlineStr">
        <is>
          <t>저주받은 미스릴 x4</t>
        </is>
      </c>
      <c r="H29" s="9" t="inlineStr">
        <is>
          <t>어둠 용의 비늘 x2</t>
        </is>
      </c>
      <c r="I29" s="9" t="inlineStr">
        <is>
          <t>8200G</t>
        </is>
      </c>
      <c r="J29" s="9" t="inlineStr">
        <is>
          <t>Lv.8</t>
        </is>
      </c>
    </row>
    <row r="30">
      <c r="A30" s="8" t="inlineStr">
        <is>
          <t>영웅</t>
        </is>
      </c>
      <c r="B30" s="8" t="inlineStr">
        <is>
          <t>세라핌의 지팡이</t>
        </is>
      </c>
      <c r="C30" s="8" t="inlineStr">
        <is>
          <t>무기</t>
        </is>
      </c>
      <c r="D30" s="8" t="inlineStr">
        <is>
          <t>ATK +75</t>
        </is>
      </c>
      <c r="E30" s="8" t="inlineStr">
        <is>
          <t>힐 +30%, 부활 쿨감 50%, 신성 +20%</t>
        </is>
      </c>
      <c r="F30" s="8" t="inlineStr">
        <is>
          <t>세계수 가지 x1</t>
        </is>
      </c>
      <c r="G30" s="8" t="inlineStr">
        <is>
          <t>세라핌의 깃털 x1</t>
        </is>
      </c>
      <c r="H30" s="8" t="inlineStr">
        <is>
          <t>별빛 소금 x10</t>
        </is>
      </c>
      <c r="I30" s="8" t="inlineStr">
        <is>
          <t>9500G</t>
        </is>
      </c>
      <c r="J30" s="8" t="inlineStr">
        <is>
          <t>Lv.8</t>
        </is>
      </c>
    </row>
    <row r="31">
      <c r="A31" s="9" t="inlineStr">
        <is>
          <t>전설</t>
        </is>
      </c>
      <c r="B31" s="9" t="inlineStr">
        <is>
          <t>천공의 성검 엑스칼리버</t>
        </is>
      </c>
      <c r="C31" s="9" t="inlineStr">
        <is>
          <t>무기</t>
        </is>
      </c>
      <c r="D31" s="9" t="inlineStr">
        <is>
          <t>ATK +130</t>
        </is>
      </c>
      <c r="E31" s="9" t="inlineStr">
        <is>
          <t>전체 스탯 +10%, 성검 오라(주변 아군 ATK +15%)</t>
        </is>
      </c>
      <c r="F31" s="9" t="inlineStr">
        <is>
          <t>용의 심장 x1</t>
        </is>
      </c>
      <c r="G31" s="9" t="inlineStr">
        <is>
          <t>세계수 수액 x3</t>
        </is>
      </c>
      <c r="H31" s="9" t="inlineStr">
        <is>
          <t>시간의 모래 x5</t>
        </is>
      </c>
      <c r="I31" s="9" t="inlineStr">
        <is>
          <t>25000G</t>
        </is>
      </c>
      <c r="J31" s="9" t="inlineStr">
        <is>
          <t>Lv.10</t>
        </is>
      </c>
    </row>
    <row r="32">
      <c r="A32" s="8" t="inlineStr">
        <is>
          <t>전설</t>
        </is>
      </c>
      <c r="B32" s="8" t="inlineStr">
        <is>
          <t>마왕의 흑갑 아포칼립스</t>
        </is>
      </c>
      <c r="C32" s="8" t="inlineStr">
        <is>
          <t>방어구</t>
        </is>
      </c>
      <c r="D32" s="8" t="inlineStr">
        <is>
          <t>DEF +120</t>
        </is>
      </c>
      <c r="E32" s="8" t="inlineStr">
        <is>
          <t>피해감소 +20%, 사망 시 1회 부활, 어둠 오라</t>
        </is>
      </c>
      <c r="F32" s="8" t="inlineStr">
        <is>
          <t>마왕의 봉인석 조각 x3</t>
        </is>
      </c>
      <c r="G32" s="8" t="inlineStr">
        <is>
          <t>심연의 수정 x10</t>
        </is>
      </c>
      <c r="H32" s="8" t="inlineStr">
        <is>
          <t>영원의 얼음 x5</t>
        </is>
      </c>
      <c r="I32" s="8" t="inlineStr">
        <is>
          <t>28000G</t>
        </is>
      </c>
      <c r="J32" s="8" t="inlineStr">
        <is>
          <t>Lv.10</t>
        </is>
      </c>
    </row>
    <row r="33">
      <c r="A33" s="9" t="inlineStr">
        <is>
          <t>전설</t>
        </is>
      </c>
      <c r="B33" s="9" t="inlineStr">
        <is>
          <t>시간의 쌍검 크로노스</t>
        </is>
      </c>
      <c r="C33" s="9" t="inlineStr">
        <is>
          <t>무기</t>
        </is>
      </c>
      <c r="D33" s="9" t="inlineStr">
        <is>
          <t>ATK +125</t>
        </is>
      </c>
      <c r="E33" s="9" t="inlineStr">
        <is>
          <t>시간 되감기(30초 전 상태 복귀/180초CD), 공격속도 +30%</t>
        </is>
      </c>
      <c r="F33" s="9" t="inlineStr">
        <is>
          <t>시간의 모래 x10</t>
        </is>
      </c>
      <c r="G33" s="9" t="inlineStr">
        <is>
          <t>창조신의 조각 x1</t>
        </is>
      </c>
      <c r="H33" s="9" t="inlineStr">
        <is>
          <t>미스릴 주괴 x10</t>
        </is>
      </c>
      <c r="I33" s="9" t="inlineStr">
        <is>
          <t>30000G</t>
        </is>
      </c>
      <c r="J33" s="9" t="inlineStr">
        <is>
          <t>Lv.10</t>
        </is>
      </c>
    </row>
  </sheetData>
  <mergeCells count="1">
    <mergeCell ref="A1:J1"/>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cols>
    <col width="14" customWidth="1" min="1" max="1"/>
    <col width="8"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6" t="inlineStr">
        <is>
          <t>용병 대사 전문 60종</t>
        </is>
      </c>
    </row>
    <row r="3">
      <c r="A3" s="7" t="inlineStr">
        <is>
          <t>이름</t>
        </is>
      </c>
      <c r="B3" s="7" t="inlineStr">
        <is>
          <t>등급</t>
        </is>
      </c>
      <c r="C3" s="7" t="inlineStr">
        <is>
          <t>소환 시</t>
        </is>
      </c>
      <c r="D3" s="7" t="inlineStr">
        <is>
          <t>전투 시작</t>
        </is>
      </c>
      <c r="E3" s="7" t="inlineStr">
        <is>
          <t>스킬 사용</t>
        </is>
      </c>
      <c r="F3" s="7" t="inlineStr">
        <is>
          <t>킬 획득</t>
        </is>
      </c>
      <c r="G3" s="7" t="inlineStr">
        <is>
          <t>사망 시</t>
        </is>
      </c>
      <c r="H3" s="7" t="inlineStr">
        <is>
          <t>부활 시</t>
        </is>
      </c>
      <c r="I3" s="7" t="inlineStr">
        <is>
          <t>각성 시</t>
        </is>
      </c>
      <c r="J3" s="7" t="inlineStr">
        <is>
          <t>대기 중(랜덤)</t>
        </is>
      </c>
    </row>
    <row r="4">
      <c r="A4" s="8" t="inlineStr">
        <is>
          <t>보병</t>
        </is>
      </c>
      <c r="B4" s="8" t="inlineStr">
        <is>
          <t>일반</t>
        </is>
      </c>
      <c r="C4" s="8" t="inlineStr">
        <is>
          <t>보병, 전열에 섭니다!</t>
        </is>
      </c>
      <c r="D4" s="8" t="inlineStr">
        <is>
          <t>방패 올려! 돌격이다!</t>
        </is>
      </c>
      <c r="E4" s="8" t="inlineStr">
        <is>
          <t>받아라!</t>
        </is>
      </c>
      <c r="F4" s="8" t="inlineStr">
        <is>
          <t>하나 처리했다!</t>
        </is>
      </c>
      <c r="G4" s="8" t="inlineStr">
        <is>
          <t>크윽… 여기서…</t>
        </is>
      </c>
      <c r="H4" s="8" t="inlineStr">
        <is>
          <t>다시 일어선다!</t>
        </is>
      </c>
      <c r="I4" s="8" t="inlineStr">
        <is>
          <t>이 힘… 강철의 의지!</t>
        </is>
      </c>
      <c r="J4" s="8" t="inlineStr">
        <is>
          <t>언제 밥 먹냐…</t>
        </is>
      </c>
    </row>
    <row r="5">
      <c r="A5" s="9" t="inlineStr">
        <is>
          <t>궁수</t>
        </is>
      </c>
      <c r="B5" s="9" t="inlineStr">
        <is>
          <t>일반</t>
        </is>
      </c>
      <c r="C5" s="9" t="inlineStr">
        <is>
          <t>활시위를 당깁니다.</t>
        </is>
      </c>
      <c r="D5" s="9" t="inlineStr">
        <is>
          <t>바람을 읽어라.</t>
        </is>
      </c>
      <c r="E5" s="9" t="inlineStr">
        <is>
          <t>정조준, 발사!</t>
        </is>
      </c>
      <c r="F5" s="9" t="inlineStr">
        <is>
          <t>명중이야!</t>
        </is>
      </c>
      <c r="G5" s="9" t="inlineStr">
        <is>
          <t>화살이… 떨어졌어…</t>
        </is>
      </c>
      <c r="H5" s="9" t="inlineStr">
        <is>
          <t>다시 쏠 수 있다!</t>
        </is>
      </c>
      <c r="I5" s="9" t="inlineStr">
        <is>
          <t>바람이 내 편이다!</t>
        </is>
      </c>
      <c r="J5" s="9" t="inlineStr">
        <is>
          <t>시위 점검 중…</t>
        </is>
      </c>
    </row>
    <row r="6">
      <c r="A6" s="8" t="inlineStr">
        <is>
          <t>수습 사제</t>
        </is>
      </c>
      <c r="B6" s="8" t="inlineStr">
        <is>
          <t>일반</t>
        </is>
      </c>
      <c r="C6" s="8" t="inlineStr">
        <is>
          <t>미, 미숙하지만 해볼게요!</t>
        </is>
      </c>
      <c r="D6" s="8" t="inlineStr">
        <is>
          <t>치유의 빛이여!</t>
        </is>
      </c>
      <c r="E6" s="8" t="inlineStr">
        <is>
          <t>빛이여, 보살펴주소서!</t>
        </is>
      </c>
      <c r="F6" s="8" t="inlineStr">
        <is>
          <t>저, 저도 할 수 있어요!</t>
        </is>
      </c>
      <c r="G6" s="8" t="inlineStr">
        <is>
          <t>아직… 부족했나요…</t>
        </is>
      </c>
      <c r="H6" s="8" t="inlineStr">
        <is>
          <t>포기하지 않을 거예요!</t>
        </is>
      </c>
      <c r="I6" s="8" t="inlineStr">
        <is>
          <t>신의 축복이 가득해요!</t>
        </is>
      </c>
      <c r="J6" s="8" t="inlineStr">
        <is>
          <t>기도서 읽는 중이에요.</t>
        </is>
      </c>
    </row>
    <row r="7">
      <c r="A7" s="9" t="inlineStr">
        <is>
          <t>창병</t>
        </is>
      </c>
      <c r="B7" s="9" t="inlineStr">
        <is>
          <t>일반</t>
        </is>
      </c>
      <c r="C7" s="9" t="inlineStr">
        <is>
          <t>창끝에 충성을 담는다!</t>
        </is>
      </c>
      <c r="D7" s="9" t="inlineStr">
        <is>
          <t>진형을 유지하라!</t>
        </is>
      </c>
      <c r="E7" s="9" t="inlineStr">
        <is>
          <t>관통한다!</t>
        </is>
      </c>
      <c r="F7" s="9" t="inlineStr">
        <is>
          <t>이 창에 끝이 없다!</t>
        </is>
      </c>
      <c r="G7" s="9" t="inlineStr">
        <is>
          <t>밀렸다…</t>
        </is>
      </c>
      <c r="H7" s="9" t="inlineStr">
        <is>
          <t>다시 세운다, 이 창을!</t>
        </is>
      </c>
      <c r="I7" s="9" t="inlineStr">
        <is>
          <t>천리를 꿰뚫는 창!</t>
        </is>
      </c>
      <c r="J7" s="9" t="inlineStr">
        <is>
          <t>창날 좀 갈아야겠군.</t>
        </is>
      </c>
    </row>
    <row r="8">
      <c r="A8" s="8" t="inlineStr">
        <is>
          <t>수도승</t>
        </is>
      </c>
      <c r="B8" s="8" t="inlineStr">
        <is>
          <t>일반</t>
        </is>
      </c>
      <c r="C8" s="8" t="inlineStr">
        <is>
          <t>무아의 경지로 나아갑니다.</t>
        </is>
      </c>
      <c r="D8" s="8" t="inlineStr">
        <is>
          <t>호흡을 가다듬자.</t>
        </is>
      </c>
      <c r="E8" s="8" t="inlineStr">
        <is>
          <t>하압!</t>
        </is>
      </c>
      <c r="F8" s="8" t="inlineStr">
        <is>
          <t>번뇌를 덜었다.</t>
        </is>
      </c>
      <c r="G8" s="8" t="inlineStr">
        <is>
          <t>수행이… 부족했구나.</t>
        </is>
      </c>
      <c r="H8" s="8" t="inlineStr">
        <is>
          <t>정신은 꺾이지 않는다.</t>
        </is>
      </c>
      <c r="I8" s="8" t="inlineStr">
        <is>
          <t>만물이 보인다!</t>
        </is>
      </c>
      <c r="J8" s="8" t="inlineStr">
        <is>
          <t>명상 중입니다.</t>
        </is>
      </c>
    </row>
    <row r="9">
      <c r="A9" s="9" t="inlineStr">
        <is>
          <t>도둑</t>
        </is>
      </c>
      <c r="B9" s="9" t="inlineStr">
        <is>
          <t>일반</t>
        </is>
      </c>
      <c r="C9" s="9" t="inlineStr">
        <is>
          <t>헤헤, 불렀어?</t>
        </is>
      </c>
      <c r="D9" s="9" t="inlineStr">
        <is>
          <t>주머니 조심해라~</t>
        </is>
      </c>
      <c r="E9" s="9" t="inlineStr">
        <is>
          <t>칼날 춤!</t>
        </is>
      </c>
      <c r="F9" s="9" t="inlineStr">
        <is>
          <t>금화도 챙겼지!</t>
        </is>
      </c>
      <c r="G9" s="9" t="inlineStr">
        <is>
          <t>재수 없었을 뿐이야…</t>
        </is>
      </c>
      <c r="H9" s="9" t="inlineStr">
        <is>
          <t>도둑은 안 죽어!</t>
        </is>
      </c>
      <c r="I9" s="9" t="inlineStr">
        <is>
          <t>그림자가 곧 나다!</t>
        </is>
      </c>
      <c r="J9" s="9" t="inlineStr">
        <is>
          <t>뭐 좀 훔칠 거 없나?</t>
        </is>
      </c>
    </row>
    <row r="10">
      <c r="A10" s="8" t="inlineStr">
        <is>
          <t>농부 전사</t>
        </is>
      </c>
      <c r="B10" s="8" t="inlineStr">
        <is>
          <t>일반</t>
        </is>
      </c>
      <c r="C10" s="8" t="inlineStr">
        <is>
          <t>괭이 대신 검을 들었소!</t>
        </is>
      </c>
      <c r="D10" s="8" t="inlineStr">
        <is>
          <t>씨앗 뿌리듯 돌격!</t>
        </is>
      </c>
      <c r="E10" s="8" t="inlineStr">
        <is>
          <t>잡초 베기!</t>
        </is>
      </c>
      <c r="F10" s="8" t="inlineStr">
        <is>
          <t>추수 완료다!</t>
        </is>
      </c>
      <c r="G10" s="8" t="inlineStr">
        <is>
          <t>밭으로 돌아가고 싶다…</t>
        </is>
      </c>
      <c r="H10" s="8" t="inlineStr">
        <is>
          <t>대지가 살려줬어!</t>
        </is>
      </c>
      <c r="I10" s="8" t="inlineStr">
        <is>
          <t>대지의 분노를 봐라!</t>
        </is>
      </c>
      <c r="J10" s="8" t="inlineStr">
        <is>
          <t>올해 농사 걱정이야…</t>
        </is>
      </c>
    </row>
    <row r="11">
      <c r="A11" s="9" t="inlineStr">
        <is>
          <t>기사</t>
        </is>
      </c>
      <c r="B11" s="9" t="inlineStr">
        <is>
          <t>고급</t>
        </is>
      </c>
      <c r="C11" s="9" t="inlineStr">
        <is>
          <t>기사도에 맹세하겠습니다!</t>
        </is>
      </c>
      <c r="D11" s="9" t="inlineStr">
        <is>
          <t>명예를 걸고 싸운다!</t>
        </is>
      </c>
      <c r="E11" s="9" t="inlineStr">
        <is>
          <t>성스러운 일격!</t>
        </is>
      </c>
      <c r="F11" s="9" t="inlineStr">
        <is>
          <t>기사의 명예로 쓰러뜨렸다!</t>
        </is>
      </c>
      <c r="G11" s="9" t="inlineStr">
        <is>
          <t>이 갑옷이… 무겁구나…</t>
        </is>
      </c>
      <c r="H11" s="9" t="inlineStr">
        <is>
          <t>명예는 죽지 않는다!</t>
        </is>
      </c>
      <c r="I11" s="9" t="inlineStr">
        <is>
          <t>빛나는 검이여, 인도하라!</t>
        </is>
      </c>
      <c r="J11" s="9" t="inlineStr">
        <is>
          <t>갑옷 광택 중이야.</t>
        </is>
      </c>
    </row>
    <row r="12">
      <c r="A12" s="8" t="inlineStr">
        <is>
          <t>레인저</t>
        </is>
      </c>
      <c r="B12" s="8" t="inlineStr">
        <is>
          <t>고급</t>
        </is>
      </c>
      <c r="C12" s="8" t="inlineStr">
        <is>
          <t>숲이 부른 곳에 갑니다.</t>
        </is>
      </c>
      <c r="D12" s="8" t="inlineStr">
        <is>
          <t>자연의 감각을 믿어라.</t>
        </is>
      </c>
      <c r="E12" s="8" t="inlineStr">
        <is>
          <t>독화살!</t>
        </is>
      </c>
      <c r="F12" s="8" t="inlineStr">
        <is>
          <t>숲이 심판했다.</t>
        </is>
      </c>
      <c r="G12" s="8" t="inlineStr">
        <is>
          <t>풀 냄새가… 그립다…</t>
        </is>
      </c>
      <c r="H12" s="8" t="inlineStr">
        <is>
          <t>자연이 치유해줬어.</t>
        </is>
      </c>
      <c r="I12" s="8" t="inlineStr">
        <is>
          <t>숲 전체가 나의 영역이다!</t>
        </is>
      </c>
      <c r="J12" s="8" t="inlineStr">
        <is>
          <t>동물 발자국 추적 중.</t>
        </is>
      </c>
    </row>
    <row r="13">
      <c r="A13" s="9" t="inlineStr">
        <is>
          <t>마법사</t>
        </is>
      </c>
      <c r="B13" s="9" t="inlineStr">
        <is>
          <t>고급</t>
        </is>
      </c>
      <c r="C13" s="9" t="inlineStr">
        <is>
          <t>마나를 응집합니다.</t>
        </is>
      </c>
      <c r="D13" s="9" t="inlineStr">
        <is>
          <t>주문 시전 개시!</t>
        </is>
      </c>
      <c r="E13" s="9" t="inlineStr">
        <is>
          <t>불꽃 폭발!</t>
        </is>
      </c>
      <c r="F13" s="9" t="inlineStr">
        <is>
          <t>마법의 우위를 입증했다.</t>
        </is>
      </c>
      <c r="G13" s="9" t="inlineStr">
        <is>
          <t>마나가… 소진됐어…</t>
        </is>
      </c>
      <c r="H13" s="9" t="inlineStr">
        <is>
          <t>마나 충전 완료!</t>
        </is>
      </c>
      <c r="I13" s="9" t="inlineStr">
        <is>
          <t>오의를 깨달았다!</t>
        </is>
      </c>
      <c r="J13" s="9" t="inlineStr">
        <is>
          <t>마법서 읽는 중…</t>
        </is>
      </c>
    </row>
    <row r="14">
      <c r="A14" s="8" t="inlineStr">
        <is>
          <t>광전사</t>
        </is>
      </c>
      <c r="B14" s="8" t="inlineStr">
        <is>
          <t>고급</t>
        </is>
      </c>
      <c r="C14" s="8" t="inlineStr">
        <is>
          <t>피가 끓어오른다!</t>
        </is>
      </c>
      <c r="D14" s="8" t="inlineStr">
        <is>
          <t>으아아아! 돌격!</t>
        </is>
      </c>
      <c r="E14" s="8" t="inlineStr">
        <is>
          <t>부숴버리겠다!</t>
        </is>
      </c>
      <c r="F14" s="8" t="inlineStr">
        <is>
          <t>더 싸우게 해줘!</t>
        </is>
      </c>
      <c r="G14" s="8" t="inlineStr">
        <is>
          <t>아직… 분노가… 남았는데…</t>
        </is>
      </c>
      <c r="H14" s="8" t="inlineStr">
        <is>
          <t>분노는 끝나지 않는다!</t>
        </is>
      </c>
      <c r="I14" s="8" t="inlineStr">
        <is>
          <t>이성 따윈 필요 없다!</t>
        </is>
      </c>
      <c r="J14" s="8" t="inlineStr">
        <is>
          <t>크르릉…</t>
        </is>
      </c>
    </row>
    <row r="15">
      <c r="A15" s="9" t="inlineStr">
        <is>
          <t>음유시인</t>
        </is>
      </c>
      <c r="B15" s="9" t="inlineStr">
        <is>
          <t>고급</t>
        </is>
      </c>
      <c r="C15" s="9" t="inlineStr">
        <is>
          <t>노래 한 곡 선사하죠~</t>
        </is>
      </c>
      <c r="D15" s="9" t="inlineStr">
        <is>
          <t>전장의 발라드를 시작한다!</t>
        </is>
      </c>
      <c r="E15" s="9" t="inlineStr">
        <is>
          <t>영감의 선율~♪</t>
        </is>
      </c>
      <c r="F15" s="9" t="inlineStr">
        <is>
          <t>이것도 노래 소재다!</t>
        </is>
      </c>
      <c r="G15" s="9" t="inlineStr">
        <is>
          <t>마지막… 음… 하나…</t>
        </is>
      </c>
      <c r="H15" s="9" t="inlineStr">
        <is>
          <t>앙코르 요청이 있어서~</t>
        </is>
      </c>
      <c r="I15" s="9" t="inlineStr">
        <is>
          <t>전설의 교향곡이 완성됐다!</t>
        </is>
      </c>
      <c r="J15" s="9" t="inlineStr">
        <is>
          <t>새 곡 작곡 중~</t>
        </is>
      </c>
    </row>
    <row r="16">
      <c r="A16" s="8" t="inlineStr">
        <is>
          <t>기마병</t>
        </is>
      </c>
      <c r="B16" s="8" t="inlineStr">
        <is>
          <t>고급</t>
        </is>
      </c>
      <c r="C16" s="8" t="inlineStr">
        <is>
          <t>돌격 준비 완료!</t>
        </is>
      </c>
      <c r="D16" s="8" t="inlineStr">
        <is>
          <t>질풍처럼 달린다!</t>
        </is>
      </c>
      <c r="E16" s="8" t="inlineStr">
        <is>
          <t>기마 돌격!</t>
        </is>
      </c>
      <c r="F16" s="8" t="inlineStr">
        <is>
          <t>말발굽 아래 적은 없다!</t>
        </is>
      </c>
      <c r="G16" s="8" t="inlineStr">
        <is>
          <t>말이… 쓰러졌다…</t>
        </is>
      </c>
      <c r="H16" s="8" t="inlineStr">
        <is>
          <t>다시 말에 올라탄다!</t>
        </is>
      </c>
      <c r="I16" s="8" t="inlineStr">
        <is>
          <t>천마가 하늘을 달린다!</t>
        </is>
      </c>
      <c r="J16" s="8" t="inlineStr">
        <is>
          <t>말 먹이 주는 중.</t>
        </is>
      </c>
    </row>
    <row r="17">
      <c r="A17" s="9" t="inlineStr">
        <is>
          <t>석궁병</t>
        </is>
      </c>
      <c r="B17" s="9" t="inlineStr">
        <is>
          <t>고급</t>
        </is>
      </c>
      <c r="C17" s="9" t="inlineStr">
        <is>
          <t>석궁 장전 완료.</t>
        </is>
      </c>
      <c r="D17" s="9" t="inlineStr">
        <is>
          <t>조준, 사격 개시!</t>
        </is>
      </c>
      <c r="E17" s="9" t="inlineStr">
        <is>
          <t>관통 볼트!</t>
        </is>
      </c>
      <c r="F17" s="9" t="inlineStr">
        <is>
          <t>정확히 맞았다.</t>
        </is>
      </c>
      <c r="G17" s="9" t="inlineStr">
        <is>
          <t>장전이… 간당간당…</t>
        </is>
      </c>
      <c r="H17" s="9" t="inlineStr">
        <is>
          <t>한 발 더 남았다!</t>
        </is>
      </c>
      <c r="I17" s="9" t="inlineStr">
        <is>
          <t>연속 사격 시스템 가동!</t>
        </is>
      </c>
      <c r="J17" s="9" t="inlineStr">
        <is>
          <t>석궁 기름칠 중.</t>
        </is>
      </c>
    </row>
    <row r="18">
      <c r="A18" s="8" t="inlineStr">
        <is>
          <t>주술사</t>
        </is>
      </c>
      <c r="B18" s="8" t="inlineStr">
        <is>
          <t>고급</t>
        </is>
      </c>
      <c r="C18" s="8" t="inlineStr">
        <is>
          <t>부두 인형을 꺼냅니다~</t>
        </is>
      </c>
      <c r="D18" s="8" t="inlineStr">
        <is>
          <t>저주의 안개가 퍼진다!</t>
        </is>
      </c>
      <c r="E18" s="8" t="inlineStr">
        <is>
          <t>저주받아라!</t>
        </is>
      </c>
      <c r="F18" s="8" t="inlineStr">
        <is>
          <t>인형이 효과를 봤군.</t>
        </is>
      </c>
      <c r="G18" s="8" t="inlineStr">
        <is>
          <t>저주가… 역류했어…</t>
        </is>
      </c>
      <c r="H18" s="8" t="inlineStr">
        <is>
          <t>저승에서 다시 왔다!</t>
        </is>
      </c>
      <c r="I18" s="8" t="inlineStr">
        <is>
          <t>만 가지 저주가 깨어난다!</t>
        </is>
      </c>
      <c r="J18" s="8" t="inlineStr">
        <is>
          <t>인형 바느질 중.</t>
        </is>
      </c>
    </row>
    <row r="19">
      <c r="A19" s="9" t="inlineStr">
        <is>
          <t>무희</t>
        </is>
      </c>
      <c r="B19" s="9" t="inlineStr">
        <is>
          <t>고급</t>
        </is>
      </c>
      <c r="C19" s="9" t="inlineStr">
        <is>
          <t>춤으로 모든 걸 표현하죠.</t>
        </is>
      </c>
      <c r="D19" s="9" t="inlineStr">
        <is>
          <t>전투의 무도회를 시작해요!</t>
        </is>
      </c>
      <c r="E19" s="9" t="inlineStr">
        <is>
          <t>칼날의 왈츠!</t>
        </is>
      </c>
      <c r="F19" s="9" t="inlineStr">
        <is>
          <t>아름다운 마무리~</t>
        </is>
      </c>
      <c r="G19" s="9" t="inlineStr">
        <is>
          <t>마지막 스텝이… 어긋났어…</t>
        </is>
      </c>
      <c r="H19" s="9" t="inlineStr">
        <is>
          <t>다시 무대에 서요!</t>
        </is>
      </c>
      <c r="I19" s="9" t="inlineStr">
        <is>
          <t>신들의 춤을 보여줄게요!</t>
        </is>
      </c>
      <c r="J19" s="9" t="inlineStr">
        <is>
          <t>스트레칭 하는 중~</t>
        </is>
      </c>
    </row>
    <row r="20">
      <c r="A20" s="8" t="inlineStr">
        <is>
          <t>해적</t>
        </is>
      </c>
      <c r="B20" s="8" t="inlineStr">
        <is>
          <t>고급</t>
        </is>
      </c>
      <c r="C20" s="8" t="inlineStr">
        <is>
          <t>요호! 보물을 찾아서!</t>
        </is>
      </c>
      <c r="D20" s="8" t="inlineStr">
        <is>
          <t>닻 올려라!</t>
        </is>
      </c>
      <c r="E20" s="8" t="inlineStr">
        <is>
          <t>포격 개시!</t>
        </is>
      </c>
      <c r="F20" s="8" t="inlineStr">
        <is>
          <t>전리품은 내 거다!</t>
        </is>
      </c>
      <c r="G20" s="8" t="inlineStr">
        <is>
          <t>바다에… 수장되는 건가…</t>
        </is>
      </c>
      <c r="H20" s="8" t="inlineStr">
        <is>
          <t>해적은 가라앉지 않아!</t>
        </is>
      </c>
      <c r="I20" s="8" t="inlineStr">
        <is>
          <t>대해적 시대를 열겠다!</t>
        </is>
      </c>
      <c r="J20" s="8" t="inlineStr">
        <is>
          <t>럼주 한 잔 중~</t>
        </is>
      </c>
    </row>
    <row r="21">
      <c r="A21" s="9" t="inlineStr">
        <is>
          <t>성전사</t>
        </is>
      </c>
      <c r="B21" s="9" t="inlineStr">
        <is>
          <t>희귀</t>
        </is>
      </c>
      <c r="C21" s="9" t="inlineStr">
        <is>
          <t>신의 뜻에 따라 나아갑니다!</t>
        </is>
      </c>
      <c r="D21" s="9" t="inlineStr">
        <is>
          <t>이단을 심판하라!</t>
        </is>
      </c>
      <c r="E21" s="9" t="inlineStr">
        <is>
          <t>신성한 심판!</t>
        </is>
      </c>
      <c r="F21" s="9" t="inlineStr">
        <is>
          <t>신이 원하신 결과다.</t>
        </is>
      </c>
      <c r="G21" s="9" t="inlineStr">
        <is>
          <t>신이시여… 왜…</t>
        </is>
      </c>
      <c r="H21" s="9" t="inlineStr">
        <is>
          <t>부활은 신의 은총!</t>
        </is>
      </c>
      <c r="I21" s="9" t="inlineStr">
        <is>
          <t>신의 전사로 다시 태어난다!</t>
        </is>
      </c>
      <c r="J21" s="9" t="inlineStr">
        <is>
          <t>성경 구절 읽는 중.</t>
        </is>
      </c>
    </row>
    <row r="22">
      <c r="A22" s="8" t="inlineStr">
        <is>
          <t>성기사</t>
        </is>
      </c>
      <c r="B22" s="8" t="inlineStr">
        <is>
          <t>희귀</t>
        </is>
      </c>
      <c r="C22" s="8" t="inlineStr">
        <is>
          <t>성광이여, 이 검을 인도하소서!</t>
        </is>
      </c>
      <c r="D22" s="8" t="inlineStr">
        <is>
          <t>빛으로 어둠을 몰아친다!</t>
        </is>
      </c>
      <c r="E22" s="8" t="inlineStr">
        <is>
          <t>홀리 스매시!</t>
        </is>
      </c>
      <c r="F22" s="8" t="inlineStr">
        <is>
          <t>정의는 실현되었다!</t>
        </is>
      </c>
      <c r="G22" s="8" t="inlineStr">
        <is>
          <t>빛이… 흐려진다…</t>
        </is>
      </c>
      <c r="H22" s="8" t="inlineStr">
        <is>
          <t>성광이 다시 비춘다!</t>
        </is>
      </c>
      <c r="I22" s="8" t="inlineStr">
        <is>
          <t>천상의 성기사로 거듭난다!</t>
        </is>
      </c>
      <c r="J22" s="8" t="inlineStr">
        <is>
          <t>성검 기도 중.</t>
        </is>
      </c>
    </row>
    <row r="23">
      <c r="A23" s="9" t="inlineStr">
        <is>
          <t>암살자</t>
        </is>
      </c>
      <c r="B23" s="9" t="inlineStr">
        <is>
          <t>희귀</t>
        </is>
      </c>
      <c r="C23" s="9" t="inlineStr">
        <is>
          <t>그림자에서 왔다.</t>
        </is>
      </c>
      <c r="D23" s="9" t="inlineStr">
        <is>
          <t>표적 확인.</t>
        </is>
      </c>
      <c r="E23" s="9" t="inlineStr">
        <is>
          <t>급소 타격!</t>
        </is>
      </c>
      <c r="F23" s="9" t="inlineStr">
        <is>
          <t>조용히 처리했다.</t>
        </is>
      </c>
      <c r="G23" s="9" t="inlineStr">
        <is>
          <t>실수했군…</t>
        </is>
      </c>
      <c r="H23" s="9" t="inlineStr">
        <is>
          <t>어둠은 두 번의 기회를 준다.</t>
        </is>
      </c>
      <c r="I23" s="9" t="inlineStr">
        <is>
          <t>존재 자체가 암살이다.</t>
        </is>
      </c>
      <c r="J23" s="9" t="inlineStr">
        <is>
          <t>독 바르는 중.</t>
        </is>
      </c>
    </row>
    <row r="24">
      <c r="A24" s="8" t="inlineStr">
        <is>
          <t>사제</t>
        </is>
      </c>
      <c r="B24" s="8" t="inlineStr">
        <is>
          <t>희귀</t>
        </is>
      </c>
      <c r="C24" s="8" t="inlineStr">
        <is>
          <t>빛의 가호가 함께합니다.</t>
        </is>
      </c>
      <c r="D24" s="8" t="inlineStr">
        <is>
          <t>치유의 손길을 내립니다!</t>
        </is>
      </c>
      <c r="E24" s="8" t="inlineStr">
        <is>
          <t>대치유!</t>
        </is>
      </c>
      <c r="F24" s="8" t="inlineStr">
        <is>
          <t>빛으로 정화했습니다.</t>
        </is>
      </c>
      <c r="G24" s="8" t="inlineStr">
        <is>
          <t>아직… 할 일이 남았는데…</t>
        </is>
      </c>
      <c r="H24" s="8" t="inlineStr">
        <is>
          <t>신의 부름에 응답합니다!</t>
        </is>
      </c>
      <c r="I24" s="8" t="inlineStr">
        <is>
          <t>대사제의 빛이 임했습니다!</t>
        </is>
      </c>
      <c r="J24" s="8" t="inlineStr">
        <is>
          <t>축복을 내리는 중.</t>
        </is>
      </c>
    </row>
    <row r="25">
      <c r="A25" s="9" t="inlineStr">
        <is>
          <t>흑마법사</t>
        </is>
      </c>
      <c r="B25" s="9" t="inlineStr">
        <is>
          <t>희귀</t>
        </is>
      </c>
      <c r="C25" s="9" t="inlineStr">
        <is>
          <t>어둠이 속삭인다…</t>
        </is>
      </c>
      <c r="D25" s="9" t="inlineStr">
        <is>
          <t>공포를 맛봐라.</t>
        </is>
      </c>
      <c r="E25" s="9" t="inlineStr">
        <is>
          <t>영혼 수확!</t>
        </is>
      </c>
      <c r="F25" s="9" t="inlineStr">
        <is>
          <t>영혼 하나 추가.</t>
        </is>
      </c>
      <c r="G25" s="9" t="inlineStr">
        <is>
          <t>어둠이… 나를 삼키는가…</t>
        </is>
      </c>
      <c r="H25" s="9" t="inlineStr">
        <is>
          <t>죽음을 초월했다.</t>
        </is>
      </c>
      <c r="I25" s="9" t="inlineStr">
        <is>
          <t>심연의 주인이 되었다!</t>
        </is>
      </c>
      <c r="J25" s="9" t="inlineStr">
        <is>
          <t>마도서 해독 중.</t>
        </is>
      </c>
    </row>
    <row r="26">
      <c r="A26" s="8" t="inlineStr">
        <is>
          <t>닌자</t>
        </is>
      </c>
      <c r="B26" s="8" t="inlineStr">
        <is>
          <t>희귀</t>
        </is>
      </c>
      <c r="C26" s="8" t="inlineStr">
        <is>
          <t>참상!</t>
        </is>
      </c>
      <c r="D26" s="8" t="inlineStr">
        <is>
          <t>은밀하게 간다.</t>
        </is>
      </c>
      <c r="E26" s="8" t="inlineStr">
        <is>
          <t>분신술!</t>
        </is>
      </c>
      <c r="F26" s="8" t="inlineStr">
        <is>
          <t>소리 없이 끝났다.</t>
        </is>
      </c>
      <c r="G26" s="8" t="inlineStr">
        <is>
          <t>닌자에게 패배란…</t>
        </is>
      </c>
      <c r="H26" s="8" t="inlineStr">
        <is>
          <t>연막 속에서 돌아왔다!</t>
        </is>
      </c>
      <c r="I26" s="8" t="inlineStr">
        <is>
          <t>인법 최종오의 해방!</t>
        </is>
      </c>
      <c r="J26" s="8" t="inlineStr">
        <is>
          <t>수리검 연마 중.</t>
        </is>
      </c>
    </row>
    <row r="27">
      <c r="A27" s="9" t="inlineStr">
        <is>
          <t>강령술사</t>
        </is>
      </c>
      <c r="B27" s="9" t="inlineStr">
        <is>
          <t>희귀</t>
        </is>
      </c>
      <c r="C27" s="9" t="inlineStr">
        <is>
          <t>죽은 자들이여, 일어나라.</t>
        </is>
      </c>
      <c r="D27" s="9" t="inlineStr">
        <is>
          <t>언데드 군단, 전진!</t>
        </is>
      </c>
      <c r="E27" s="9" t="inlineStr">
        <is>
          <t>죽음의 손길!</t>
        </is>
      </c>
      <c r="F27" s="9" t="inlineStr">
        <is>
          <t>좋은 재료가 생겼군.</t>
        </is>
      </c>
      <c r="G27" s="9" t="inlineStr">
        <is>
          <t>내가… 언데드가 되는 건가…</t>
        </is>
      </c>
      <c r="H27" s="9" t="inlineStr">
        <is>
          <t>죽음조차 나를 거부한다.</t>
        </is>
      </c>
      <c r="I27" s="9" t="inlineStr">
        <is>
          <t>만 개의 해골이 깨어난다!</t>
        </is>
      </c>
      <c r="J27" s="9" t="inlineStr">
        <is>
          <t>해골 분류 중.</t>
        </is>
      </c>
    </row>
    <row r="28">
      <c r="A28" s="8" t="inlineStr">
        <is>
          <t>발키리</t>
        </is>
      </c>
      <c r="B28" s="8" t="inlineStr">
        <is>
          <t>희귀</t>
        </is>
      </c>
      <c r="C28" s="8" t="inlineStr">
        <is>
          <t>전장의 여신이 참전합니다!</t>
        </is>
      </c>
      <c r="D28" s="8" t="inlineStr">
        <is>
          <t>영웅의 혼을 인도한다!</t>
        </is>
      </c>
      <c r="E28" s="8" t="inlineStr">
        <is>
          <t>천공의 창!</t>
        </is>
      </c>
      <c r="F28" s="8" t="inlineStr">
        <is>
          <t>발할라에 초대한다!</t>
        </is>
      </c>
      <c r="G28" s="8" t="inlineStr">
        <is>
          <t>오딘이시여…</t>
        </is>
      </c>
      <c r="H28" s="8" t="inlineStr">
        <is>
          <t>발할라에서 돌아왔다!</t>
        </is>
      </c>
      <c r="I28" s="8" t="inlineStr">
        <is>
          <t>전쟁의 여신으로 각성한다!</t>
        </is>
      </c>
      <c r="J28" s="8" t="inlineStr">
        <is>
          <t>깃털 손질 중.</t>
        </is>
      </c>
    </row>
    <row r="29">
      <c r="A29" s="9" t="inlineStr">
        <is>
          <t>사무라이</t>
        </is>
      </c>
      <c r="B29" s="9" t="inlineStr">
        <is>
          <t>희귀</t>
        </is>
      </c>
      <c r="C29" s="9" t="inlineStr">
        <is>
          <t>검은 하나면 족하다.</t>
        </is>
      </c>
      <c r="D29" s="9" t="inlineStr">
        <is>
          <t>발도 준비.</t>
        </is>
      </c>
      <c r="E29" s="9" t="inlineStr">
        <is>
          <t>일섬!</t>
        </is>
      </c>
      <c r="F29" s="9" t="inlineStr">
        <is>
          <t>무념무상.</t>
        </is>
      </c>
      <c r="G29" s="9" t="inlineStr">
        <is>
          <t>이 검이… 부러지다니…</t>
        </is>
      </c>
      <c r="H29" s="9" t="inlineStr">
        <is>
          <t>무사는 두 번 죽지 않는다.</t>
        </is>
      </c>
      <c r="I29" s="9" t="inlineStr">
        <is>
          <t>만 번의 참격이 하나가 된다!</t>
        </is>
      </c>
      <c r="J29" s="9" t="inlineStr">
        <is>
          <t>검집 닦는 중.</t>
        </is>
      </c>
    </row>
    <row r="30">
      <c r="A30" s="8" t="inlineStr">
        <is>
          <t>저격수</t>
        </is>
      </c>
      <c r="B30" s="8" t="inlineStr">
        <is>
          <t>희귀</t>
        </is>
      </c>
      <c r="C30" s="8" t="inlineStr">
        <is>
          <t>스코프 조준 완료.</t>
        </is>
      </c>
      <c r="D30" s="8" t="inlineStr">
        <is>
          <t>바람, 거리, 습도 계산 중.</t>
        </is>
      </c>
      <c r="E30" s="8" t="inlineStr">
        <is>
          <t>헤드샷!</t>
        </is>
      </c>
      <c r="F30" s="8" t="inlineStr">
        <is>
          <t>원킬.</t>
        </is>
      </c>
      <c r="G30" s="8" t="inlineStr">
        <is>
          <t>위치가… 노출됐나…</t>
        </is>
      </c>
      <c r="H30" s="8" t="inlineStr">
        <is>
          <t>사격 위치 재설정.</t>
        </is>
      </c>
      <c r="I30" s="8" t="inlineStr">
        <is>
          <t>신의 눈을 얻었다!</t>
        </is>
      </c>
      <c r="J30" s="8" t="inlineStr">
        <is>
          <t>총기 분해 정비 중.</t>
        </is>
      </c>
    </row>
    <row r="31">
      <c r="A31" s="9" t="inlineStr">
        <is>
          <t>드루이드</t>
        </is>
      </c>
      <c r="B31" s="9" t="inlineStr">
        <is>
          <t>영웅</t>
        </is>
      </c>
      <c r="C31" s="9" t="inlineStr">
        <is>
          <t>자연의 순환 속에 섭니다.</t>
        </is>
      </c>
      <c r="D31" s="9" t="inlineStr">
        <is>
          <t>대지여, 힘을 빌려다오!</t>
        </is>
      </c>
      <c r="E31" s="9" t="inlineStr">
        <is>
          <t>자연의 분노!</t>
        </is>
      </c>
      <c r="F31" s="9" t="inlineStr">
        <is>
          <t>자연으로 돌아가거라.</t>
        </is>
      </c>
      <c r="G31" s="9" t="inlineStr">
        <is>
          <t>자연의… 일부로 돌아간다…</t>
        </is>
      </c>
      <c r="H31" s="9" t="inlineStr">
        <is>
          <t>자연이 나를 되살렸다!</t>
        </is>
      </c>
      <c r="I31" s="9" t="inlineStr">
        <is>
          <t>세계수의 힘이 깨어난다!</t>
        </is>
      </c>
      <c r="J31" s="9" t="inlineStr">
        <is>
          <t>약초 채집 중.</t>
        </is>
      </c>
    </row>
    <row r="32">
      <c r="A32" s="8" t="inlineStr">
        <is>
          <t>화염술사</t>
        </is>
      </c>
      <c r="B32" s="8" t="inlineStr">
        <is>
          <t>영웅</t>
        </is>
      </c>
      <c r="C32" s="8" t="inlineStr">
        <is>
          <t>불꽃이 춤춘다!</t>
        </is>
      </c>
      <c r="D32" s="8" t="inlineStr">
        <is>
          <t>모든 것을 태워버려라!</t>
        </is>
      </c>
      <c r="E32" s="8" t="inlineStr">
        <is>
          <t>폭렬화염!</t>
        </is>
      </c>
      <c r="F32" s="8" t="inlineStr">
        <is>
          <t>재가 되어라!</t>
        </is>
      </c>
      <c r="G32" s="8" t="inlineStr">
        <is>
          <t>꺼지지… 않아…</t>
        </is>
      </c>
      <c r="H32" s="8" t="inlineStr">
        <is>
          <t>불사조처럼 타오른다!</t>
        </is>
      </c>
      <c r="I32" s="8" t="inlineStr">
        <is>
          <t>태양을 손에 쥐었다!</t>
        </is>
      </c>
      <c r="J32" s="8" t="inlineStr">
        <is>
          <t>촛불로 장난 중.</t>
        </is>
      </c>
    </row>
    <row r="33">
      <c r="A33" s="9" t="inlineStr">
        <is>
          <t>연금술사</t>
        </is>
      </c>
      <c r="B33" s="9" t="inlineStr">
        <is>
          <t>영웅</t>
        </is>
      </c>
      <c r="C33" s="9" t="inlineStr">
        <is>
          <t>완벽한 조합을 찾겠습니다.</t>
        </is>
      </c>
      <c r="D33" s="9" t="inlineStr">
        <is>
          <t>실험을 시작한다!</t>
        </is>
      </c>
      <c r="E33" s="9" t="inlineStr">
        <is>
          <t>비약 투척!</t>
        </is>
      </c>
      <c r="F33" s="9" t="inlineStr">
        <is>
          <t>가설이 증명됐다!</t>
        </is>
      </c>
      <c r="G33" s="9" t="inlineStr">
        <is>
          <t>실험 실패… 기록은 남긴다…</t>
        </is>
      </c>
      <c r="H33" s="9" t="inlineStr">
        <is>
          <t>부활약 비축분 사용!</t>
        </is>
      </c>
      <c r="I33" s="9" t="inlineStr">
        <is>
          <t>현자의 돌을 완성했다!</t>
        </is>
      </c>
      <c r="J33" s="9" t="inlineStr">
        <is>
          <t>시약 혼합 중.</t>
        </is>
      </c>
    </row>
    <row r="34">
      <c r="A34" s="8" t="inlineStr">
        <is>
          <t>맹수 조련사</t>
        </is>
      </c>
      <c r="B34" s="8" t="inlineStr">
        <is>
          <t>영웅</t>
        </is>
      </c>
      <c r="C34" s="8" t="inlineStr">
        <is>
          <t>내 짐승들이 배고파하는군!</t>
        </is>
      </c>
      <c r="D34" s="8" t="inlineStr">
        <is>
          <t>사냥을 시작한다!</t>
        </is>
      </c>
      <c r="E34" s="8" t="inlineStr">
        <is>
          <t>전원 돌격!</t>
        </is>
      </c>
      <c r="F34" s="8" t="inlineStr">
        <is>
          <t>좋은 먹이감이었다!</t>
        </is>
      </c>
      <c r="G34" s="8" t="inlineStr">
        <is>
          <t>미안… 지켜주지 못해서…</t>
        </is>
      </c>
      <c r="H34" s="8" t="inlineStr">
        <is>
          <t>짐승들이 날 찾아왔다!</t>
        </is>
      </c>
      <c r="I34" s="8" t="inlineStr">
        <is>
          <t>만수의 왕으로 군림한다!</t>
        </is>
      </c>
      <c r="J34" s="8" t="inlineStr">
        <is>
          <t>동물 밥 주는 중.</t>
        </is>
      </c>
    </row>
    <row r="35">
      <c r="A35" s="9" t="inlineStr">
        <is>
          <t>드래곤나이트</t>
        </is>
      </c>
      <c r="B35" s="9" t="inlineStr">
        <is>
          <t>영웅</t>
        </is>
      </c>
      <c r="C35" s="9" t="inlineStr">
        <is>
          <t>드래곤의 등에 올라탄다!</t>
        </is>
      </c>
      <c r="D35" s="9" t="inlineStr">
        <is>
          <t>하늘에서 내려다본다!</t>
        </is>
      </c>
      <c r="E35" s="9" t="inlineStr">
        <is>
          <t>용의 숨결!</t>
        </is>
      </c>
      <c r="F35" s="9" t="inlineStr">
        <is>
          <t>드래곤이 심판했다!</t>
        </is>
      </c>
      <c r="G35" s="9" t="inlineStr">
        <is>
          <t>용이여… 먼저 가라…</t>
        </is>
      </c>
      <c r="H35" s="9" t="inlineStr">
        <is>
          <t>용과 기사는 함께 돌아온다!</t>
        </is>
      </c>
      <c r="I35" s="9" t="inlineStr">
        <is>
          <t>용기사 최종형태 해방!</t>
        </is>
      </c>
      <c r="J35" s="9" t="inlineStr">
        <is>
          <t>드래곤 비늘 광택 중.</t>
        </is>
      </c>
    </row>
    <row r="36">
      <c r="A36" s="8" t="inlineStr">
        <is>
          <t>대마법사</t>
        </is>
      </c>
      <c r="B36" s="8" t="inlineStr">
        <is>
          <t>영웅</t>
        </is>
      </c>
      <c r="C36" s="8" t="inlineStr">
        <is>
          <t>마나의 근원에 접속합니다.</t>
        </is>
      </c>
      <c r="D36" s="8" t="inlineStr">
        <is>
          <t>주문 연쇄 시전!</t>
        </is>
      </c>
      <c r="E36" s="8" t="inlineStr">
        <is>
          <t>메테오 스트라이크!</t>
        </is>
      </c>
      <c r="F36" s="8" t="inlineStr">
        <is>
          <t>마법의 정점을 보여주마.</t>
        </is>
      </c>
      <c r="G36" s="8" t="inlineStr">
        <is>
          <t>마나가 완전히…</t>
        </is>
      </c>
      <c r="H36" s="8" t="inlineStr">
        <is>
          <t>마나가 세계에서 나를 불렀다.</t>
        </is>
      </c>
      <c r="I36" s="8" t="inlineStr">
        <is>
          <t>오메가 마법 해금!</t>
        </is>
      </c>
      <c r="J36" s="8" t="inlineStr">
        <is>
          <t>마법 논문 집필 중.</t>
        </is>
      </c>
    </row>
    <row r="37">
      <c r="A37" s="9" t="inlineStr">
        <is>
          <t>그림자 군주</t>
        </is>
      </c>
      <c r="B37" s="9" t="inlineStr">
        <is>
          <t>영웅</t>
        </is>
      </c>
      <c r="C37" s="9" t="inlineStr">
        <is>
          <t>어둠이 지배한다.</t>
        </is>
      </c>
      <c r="D37" s="9" t="inlineStr">
        <is>
          <t>공포에 떨어라.</t>
        </is>
      </c>
      <c r="E37" s="9" t="inlineStr">
        <is>
          <t>심연의 포옹!</t>
        </is>
      </c>
      <c r="F37" s="9" t="inlineStr">
        <is>
          <t>어둠 속으로 사라져라.</t>
        </is>
      </c>
      <c r="G37" s="9" t="inlineStr">
        <is>
          <t>그림자가… 흩어진다…</t>
        </is>
      </c>
      <c r="H37" s="9" t="inlineStr">
        <is>
          <t>어둠은 영원하다.</t>
        </is>
      </c>
      <c r="I37" s="9" t="inlineStr">
        <is>
          <t>만물의 그림자를 지배한다!</t>
        </is>
      </c>
      <c r="J37" s="9" t="inlineStr">
        <is>
          <t>그림자 놀이 중.</t>
        </is>
      </c>
    </row>
    <row r="38">
      <c r="A38" s="8" t="inlineStr">
        <is>
          <t>불사조 기사</t>
        </is>
      </c>
      <c r="B38" s="8" t="inlineStr">
        <is>
          <t>영웅</t>
        </is>
      </c>
      <c r="C38" s="8" t="inlineStr">
        <is>
          <t>재 속에서 타오른다!</t>
        </is>
      </c>
      <c r="D38" s="8" t="inlineStr">
        <is>
          <t>불꽃의 날개를 펼친다!</t>
        </is>
      </c>
      <c r="E38" s="8" t="inlineStr">
        <is>
          <t>피닉스 스트라이크!</t>
        </is>
      </c>
      <c r="F38" s="8" t="inlineStr">
        <is>
          <t>영원히 타오르는 불꽃!</t>
        </is>
      </c>
      <c r="G38" s="8" t="inlineStr">
        <is>
          <t>재가 되어… 다시…</t>
        </is>
      </c>
      <c r="H38" s="8" t="inlineStr">
        <is>
          <t>재에서 부활한다!</t>
        </is>
      </c>
      <c r="I38" s="8" t="inlineStr">
        <is>
          <t>영원의 불사조가 되었다!</t>
        </is>
      </c>
      <c r="J38" s="8" t="inlineStr">
        <is>
          <t>깃털에서 불꽃 놀이 중.</t>
        </is>
      </c>
    </row>
    <row r="39">
      <c r="A39" s="9" t="inlineStr">
        <is>
          <t>서리 여왕</t>
        </is>
      </c>
      <c r="B39" s="9" t="inlineStr">
        <is>
          <t>영웅</t>
        </is>
      </c>
      <c r="C39" s="9" t="inlineStr">
        <is>
          <t>만물이 얼어붙을 것이다.</t>
        </is>
      </c>
      <c r="D39" s="9" t="inlineStr">
        <is>
          <t>영겁의 겨울이 온다.</t>
        </is>
      </c>
      <c r="E39" s="9" t="inlineStr">
        <is>
          <t>절대영도!</t>
        </is>
      </c>
      <c r="F39" s="9" t="inlineStr">
        <is>
          <t>얼음 조각이 되어라.</t>
        </is>
      </c>
      <c r="G39" s="9" t="inlineStr">
        <is>
          <t>이 추위에도… 지다니…</t>
        </is>
      </c>
      <c r="H39" s="9" t="inlineStr">
        <is>
          <t>영원히 녹지 않는다.</t>
        </is>
      </c>
      <c r="I39" s="9" t="inlineStr">
        <is>
          <t>빙하기를 불러온다!</t>
        </is>
      </c>
      <c r="J39" s="9" t="inlineStr">
        <is>
          <t>눈꽃 만드는 중.</t>
        </is>
      </c>
    </row>
    <row r="40">
      <c r="A40" s="8" t="inlineStr">
        <is>
          <t>마왕</t>
        </is>
      </c>
      <c r="B40" s="8" t="inlineStr">
        <is>
          <t>영웅</t>
        </is>
      </c>
      <c r="C40" s="8" t="inlineStr">
        <is>
          <t>마왕이 강림했다!</t>
        </is>
      </c>
      <c r="D40" s="8" t="inlineStr">
        <is>
          <t>이 세계를 지배한다!</t>
        </is>
      </c>
      <c r="E40" s="8" t="inlineStr">
        <is>
          <t>종말의 일격!</t>
        </is>
      </c>
      <c r="F40" s="8" t="inlineStr">
        <is>
          <t>무릎 꿇어라!</t>
        </is>
      </c>
      <c r="G40" s="8" t="inlineStr">
        <is>
          <t>마왕이… 쓰러지다니…</t>
        </is>
      </c>
      <c r="H40" s="8" t="inlineStr">
        <is>
          <t>지옥에서 돌아왔다!</t>
        </is>
      </c>
      <c r="I40" s="8" t="inlineStr">
        <is>
          <t>진정한 마왕으로 각성한다!</t>
        </is>
      </c>
      <c r="J40" s="8" t="inlineStr">
        <is>
          <t>마왕성 인테리어 구상 중.</t>
        </is>
      </c>
    </row>
    <row r="41">
      <c r="A41" s="9" t="inlineStr">
        <is>
          <t>수호천사</t>
        </is>
      </c>
      <c r="B41" s="9" t="inlineStr">
        <is>
          <t>영웅</t>
        </is>
      </c>
      <c r="C41" s="9" t="inlineStr">
        <is>
          <t>하늘의 가호를 내립니다.</t>
        </is>
      </c>
      <c r="D41" s="9" t="inlineStr">
        <is>
          <t>날개를 펼쳐 아군을 감쌉니다.</t>
        </is>
      </c>
      <c r="E41" s="9" t="inlineStr">
        <is>
          <t>천상의 방패!</t>
        </is>
      </c>
      <c r="F41" s="9" t="inlineStr">
        <is>
          <t>빛으로 정화했습니다.</t>
        </is>
      </c>
      <c r="G41" s="9" t="inlineStr">
        <is>
          <t>날개가… 꺾이다니…</t>
        </is>
      </c>
      <c r="H41" s="9" t="inlineStr">
        <is>
          <t>천국에서 돌아왔습니다.</t>
        </is>
      </c>
      <c r="I41" s="9" t="inlineStr">
        <is>
          <t>대천사로 승격합니다!</t>
        </is>
      </c>
      <c r="J41" s="9" t="inlineStr">
        <is>
          <t>깃털 정리 중.</t>
        </is>
      </c>
    </row>
    <row r="42">
      <c r="A42" s="8" t="inlineStr">
        <is>
          <t>검성</t>
        </is>
      </c>
      <c r="B42" s="8" t="inlineStr">
        <is>
          <t>영웅</t>
        </is>
      </c>
      <c r="C42" s="8" t="inlineStr">
        <is>
          <t>검이 곧 나이며, 내가 곧 검이다.</t>
        </is>
      </c>
      <c r="D42" s="8" t="inlineStr">
        <is>
          <t>일합에 끝낸다.</t>
        </is>
      </c>
      <c r="E42" s="8" t="inlineStr">
        <is>
          <t>무한검류 오의!</t>
        </is>
      </c>
      <c r="F42" s="8" t="inlineStr">
        <is>
          <t>검 끝에 진리가 있었다.</t>
        </is>
      </c>
      <c r="G42" s="8" t="inlineStr">
        <is>
          <t>아직… 검의 끝을 보지 못했다…</t>
        </is>
      </c>
      <c r="H42" s="8" t="inlineStr">
        <is>
          <t>검의 길에 끝은 없다.</t>
        </is>
      </c>
      <c r="I42" s="8" t="inlineStr">
        <is>
          <t>만검귀일!</t>
        </is>
      </c>
      <c r="J42" s="8" t="inlineStr">
        <is>
          <t>검 천 자루 관리 중.</t>
        </is>
      </c>
    </row>
    <row r="43">
      <c r="A43" s="9" t="inlineStr">
        <is>
          <t>시간 마법사</t>
        </is>
      </c>
      <c r="B43" s="9" t="inlineStr">
        <is>
          <t>영웅</t>
        </is>
      </c>
      <c r="C43" s="9" t="inlineStr">
        <is>
          <t>시간의 틈새에서 왔습니다.</t>
        </is>
      </c>
      <c r="D43" s="9" t="inlineStr">
        <is>
          <t>시간을 멈추겠다.</t>
        </is>
      </c>
      <c r="E43" s="9" t="inlineStr">
        <is>
          <t>크로노 브레이크!</t>
        </is>
      </c>
      <c r="F43" s="9" t="inlineStr">
        <is>
          <t>너의 시간은 끝이다.</t>
        </is>
      </c>
      <c r="G43" s="9" t="inlineStr">
        <is>
          <t>내 시간이… 역행한다…</t>
        </is>
      </c>
      <c r="H43" s="9" t="inlineStr">
        <is>
          <t>시간을 되돌렸다.</t>
        </is>
      </c>
      <c r="I43" s="9" t="inlineStr">
        <is>
          <t>시간의 지배자가 되었다!</t>
        </is>
      </c>
      <c r="J43" s="9" t="inlineStr">
        <is>
          <t>시계 수리 중.</t>
        </is>
      </c>
    </row>
    <row r="44">
      <c r="A44" s="8" t="inlineStr">
        <is>
          <t>구미호</t>
        </is>
      </c>
      <c r="B44" s="8" t="inlineStr">
        <is>
          <t>영웅</t>
        </is>
      </c>
      <c r="C44" s="8" t="inlineStr">
        <is>
          <t>후후, 홀려볼까?</t>
        </is>
      </c>
      <c r="D44" s="8" t="inlineStr">
        <is>
          <t>아홉 꼬리를 펼친다!</t>
        </is>
      </c>
      <c r="E44" s="8" t="inlineStr">
        <is>
          <t>매혹의 불꽃!</t>
        </is>
      </c>
      <c r="F44" s="8" t="inlineStr">
        <is>
          <t>제 매력에 빠졌군요~</t>
        </is>
      </c>
      <c r="G44" s="8" t="inlineStr">
        <is>
          <t>꼬리 하나가… 사라져…</t>
        </is>
      </c>
      <c r="H44" s="8" t="inlineStr">
        <is>
          <t>천 년 묵은 여우는 안 죽어~</t>
        </is>
      </c>
      <c r="I44" s="8" t="inlineStr">
        <is>
          <t>구미 전부 해방!</t>
        </is>
      </c>
      <c r="J44" s="8" t="inlineStr">
        <is>
          <t>여우비 내리게 하는 중.</t>
        </is>
      </c>
    </row>
    <row r="45">
      <c r="A45" s="9" t="inlineStr">
        <is>
          <t>해신</t>
        </is>
      </c>
      <c r="B45" s="9" t="inlineStr">
        <is>
          <t>영웅</t>
        </is>
      </c>
      <c r="C45" s="9" t="inlineStr">
        <is>
          <t>바다의 주인이 강림했다!</t>
        </is>
      </c>
      <c r="D45" s="9" t="inlineStr">
        <is>
          <t>파도여, 일어나라!</t>
        </is>
      </c>
      <c r="E45" s="9" t="inlineStr">
        <is>
          <t>해일!</t>
        </is>
      </c>
      <c r="F45" s="9" t="inlineStr">
        <is>
          <t>바다 밑으로 잠들어라.</t>
        </is>
      </c>
      <c r="G45" s="9" t="inlineStr">
        <is>
          <t>바다가… 나를 거부하는가…</t>
        </is>
      </c>
      <c r="H45" s="9" t="inlineStr">
        <is>
          <t>바다는 영원하다.</t>
        </is>
      </c>
      <c r="I45" s="9" t="inlineStr">
        <is>
          <t>대양 전체를 지배한다!</t>
        </is>
      </c>
      <c r="J45" s="9" t="inlineStr">
        <is>
          <t>산호 정원 가꾸는 중.</t>
        </is>
      </c>
    </row>
    <row r="46">
      <c r="A46" s="8" t="inlineStr">
        <is>
          <t>엘프 궁수</t>
        </is>
      </c>
      <c r="B46" s="8" t="inlineStr">
        <is>
          <t>전설</t>
        </is>
      </c>
      <c r="C46" s="8" t="inlineStr">
        <is>
          <t>천 년의 활을 들었습니다.</t>
        </is>
      </c>
      <c r="D46" s="8" t="inlineStr">
        <is>
          <t>바람의 가호를 받아라.</t>
        </is>
      </c>
      <c r="E46" s="8" t="inlineStr">
        <is>
          <t>별빛 화살!</t>
        </is>
      </c>
      <c r="F46" s="8" t="inlineStr">
        <is>
          <t>숲의 심판이다.</t>
        </is>
      </c>
      <c r="G46" s="8" t="inlineStr">
        <is>
          <t>세계수의… 잎이 진다…</t>
        </is>
      </c>
      <c r="H46" s="8" t="inlineStr">
        <is>
          <t>세계수가 살려주셨다.</t>
        </is>
      </c>
      <c r="I46" s="8" t="inlineStr">
        <is>
          <t>정령왕의 활이 깨어난다!</t>
        </is>
      </c>
      <c r="J46" s="8" t="inlineStr">
        <is>
          <t>세계수에 물 주는 중.</t>
        </is>
      </c>
    </row>
    <row r="47">
      <c r="A47" s="9" t="inlineStr">
        <is>
          <t>죽음의 기사</t>
        </is>
      </c>
      <c r="B47" s="9" t="inlineStr">
        <is>
          <t>전설</t>
        </is>
      </c>
      <c r="C47" s="9" t="inlineStr">
        <is>
          <t>또다시… 싸우라는 건가.</t>
        </is>
      </c>
      <c r="D47" s="9" t="inlineStr">
        <is>
          <t>끝나지 않는 전쟁이다.</t>
        </is>
      </c>
      <c r="E47" s="9" t="inlineStr">
        <is>
          <t>영혼 참격!</t>
        </is>
      </c>
      <c r="F47" s="9" t="inlineStr">
        <is>
          <t>…미안하다.</t>
        </is>
      </c>
      <c r="G47" s="9" t="inlineStr">
        <is>
          <t>드디어… 쉴 수 있는가…</t>
        </is>
      </c>
      <c r="H47" s="9" t="inlineStr">
        <is>
          <t>또 일어나야 하는군.</t>
        </is>
      </c>
      <c r="I47" s="9" t="inlineStr">
        <is>
          <t>이 저주… 이제는 힘이다.</t>
        </is>
      </c>
      <c r="J47" s="9" t="inlineStr">
        <is>
          <t>지겹지도 않은 전장이야…</t>
        </is>
      </c>
    </row>
    <row r="48">
      <c r="A48" s="8" t="inlineStr">
        <is>
          <t>세라핌</t>
        </is>
      </c>
      <c r="B48" s="8" t="inlineStr">
        <is>
          <t>전설</t>
        </is>
      </c>
      <c r="C48" s="8" t="inlineStr">
        <is>
          <t>하늘의 뜻을 전합니다.</t>
        </is>
      </c>
      <c r="D48" s="8" t="inlineStr">
        <is>
          <t>날개 여섯을 펼칩니다.</t>
        </is>
      </c>
      <c r="E48" s="8" t="inlineStr">
        <is>
          <t>성스러운 빛의 세례!</t>
        </is>
      </c>
      <c r="F48" s="8" t="inlineStr">
        <is>
          <t>평안히 잠드세요.</t>
        </is>
      </c>
      <c r="G48" s="8" t="inlineStr">
        <is>
          <t>빛이… 사라져도… 희망은…</t>
        </is>
      </c>
      <c r="H48" s="8" t="inlineStr">
        <is>
          <t>빛은 꺼지지 않습니다.</t>
        </is>
      </c>
      <c r="I48" s="8" t="inlineStr">
        <is>
          <t>천상의 빛 그 자체가 되었습니다!</t>
        </is>
      </c>
      <c r="J48" s="8" t="inlineStr">
        <is>
          <t>찬송가 부르는 중.</t>
        </is>
      </c>
    </row>
    <row r="49">
      <c r="A49" s="9" t="inlineStr">
        <is>
          <t>천상의 기사</t>
        </is>
      </c>
      <c r="B49" s="9" t="inlineStr">
        <is>
          <t>전설</t>
        </is>
      </c>
      <c r="C49" s="9" t="inlineStr">
        <is>
          <t>신에게 검을 받았습니다!</t>
        </is>
      </c>
      <c r="D49" s="9" t="inlineStr">
        <is>
          <t>천상의 기사도로 싸운다!</t>
        </is>
      </c>
      <c r="E49" s="9" t="inlineStr">
        <is>
          <t>천벌!</t>
        </is>
      </c>
      <c r="F49" s="9" t="inlineStr">
        <is>
          <t>신의 심판을 대리했다.</t>
        </is>
      </c>
      <c r="G49" s="9" t="inlineStr">
        <is>
          <t>신이시여… 아직 때가 아닌가요…</t>
        </is>
      </c>
      <c r="H49" s="9" t="inlineStr">
        <is>
          <t>부활은 신의 명령이다.</t>
        </is>
      </c>
      <c r="I49" s="9" t="inlineStr">
        <is>
          <t>신의 대리인으로 각성!</t>
        </is>
      </c>
      <c r="J49" s="9" t="inlineStr">
        <is>
          <t>성검에 기도 중.</t>
        </is>
      </c>
    </row>
    <row r="50">
      <c r="A50" s="8" t="inlineStr">
        <is>
          <t>세계수 정령</t>
        </is>
      </c>
      <c r="B50" s="8" t="inlineStr">
        <is>
          <t>전설</t>
        </is>
      </c>
      <c r="C50" s="8" t="inlineStr">
        <is>
          <t>세계수의 의지입니다.</t>
        </is>
      </c>
      <c r="D50" s="8" t="inlineStr">
        <is>
          <t>자연의 순환을 지킵니다.</t>
        </is>
      </c>
      <c r="E50" s="8" t="inlineStr">
        <is>
          <t>생명의 폭풍!</t>
        </is>
      </c>
      <c r="F50" s="8" t="inlineStr">
        <is>
          <t>대지로 돌아가세요.</t>
        </is>
      </c>
      <c r="G50" s="8" t="inlineStr">
        <is>
          <t>뿌리가… 흔들려요…</t>
        </is>
      </c>
      <c r="H50" s="8" t="inlineStr">
        <is>
          <t>세계수가 다시 싹을 틔웠어요.</t>
        </is>
      </c>
      <c r="I50" s="8" t="inlineStr">
        <is>
          <t>세계수 그 자체가 되었습니다!</t>
        </is>
      </c>
      <c r="J50" s="8" t="inlineStr">
        <is>
          <t>꽃을 피우는 중.</t>
        </is>
      </c>
    </row>
    <row r="51">
      <c r="A51" s="9" t="inlineStr">
        <is>
          <t>공허의 왕</t>
        </is>
      </c>
      <c r="B51" s="9" t="inlineStr">
        <is>
          <t>전설</t>
        </is>
      </c>
      <c r="C51" s="9" t="inlineStr">
        <is>
          <t>무(無)에서 왔다.</t>
        </is>
      </c>
      <c r="D51" s="9" t="inlineStr">
        <is>
          <t>존재를 지워주마.</t>
        </is>
      </c>
      <c r="E51" s="9" t="inlineStr">
        <is>
          <t>차원 붕괴!</t>
        </is>
      </c>
      <c r="F51" s="9" t="inlineStr">
        <is>
          <t>공허로 돌아가라.</t>
        </is>
      </c>
      <c r="G51" s="9" t="inlineStr">
        <is>
          <t>공허조차… 사라지는가…</t>
        </is>
      </c>
      <c r="H51" s="9" t="inlineStr">
        <is>
          <t>무에서 다시 태어난다.</t>
        </is>
      </c>
      <c r="I51" s="9" t="inlineStr">
        <is>
          <t>만물을 공허로 되돌린다!</t>
        </is>
      </c>
      <c r="J51" s="9" t="inlineStr">
        <is>
          <t>허공을 응시하는 중.</t>
        </is>
      </c>
    </row>
    <row r="52">
      <c r="A52" s="8" t="inlineStr">
        <is>
          <t>검황</t>
        </is>
      </c>
      <c r="B52" s="8" t="inlineStr">
        <is>
          <t>전설</t>
        </is>
      </c>
      <c r="C52" s="8" t="inlineStr">
        <is>
          <t>천하에 이 검 하나면 족하다.</t>
        </is>
      </c>
      <c r="D52" s="8" t="inlineStr">
        <is>
          <t>만검이 울린다.</t>
        </is>
      </c>
      <c r="E52" s="8" t="inlineStr">
        <is>
          <t>제왕검류 오의!</t>
        </is>
      </c>
      <c r="F52" s="8" t="inlineStr">
        <is>
          <t>검 앞에 왕도 무릎 꿇는다.</t>
        </is>
      </c>
      <c r="G52" s="8" t="inlineStr">
        <is>
          <t>이 검이… 울고 있다…</t>
        </is>
      </c>
      <c r="H52" s="8" t="inlineStr">
        <is>
          <t>검의 제왕은 쓰러지지 않는다.</t>
        </is>
      </c>
      <c r="I52" s="8" t="inlineStr">
        <is>
          <t>만 개의 검이 나의 왕관이다!</t>
        </is>
      </c>
      <c r="J52" s="8" t="inlineStr">
        <is>
          <t>검 수집 품평 중.</t>
        </is>
      </c>
    </row>
    <row r="53">
      <c r="A53" s="9" t="inlineStr">
        <is>
          <t>태초의 마녀</t>
        </is>
      </c>
      <c r="B53" s="9" t="inlineStr">
        <is>
          <t>전설</t>
        </is>
      </c>
      <c r="C53" s="9" t="inlineStr">
        <is>
          <t>아주 오래전부터 지켜보았지.</t>
        </is>
      </c>
      <c r="D53" s="9" t="inlineStr">
        <is>
          <t>마법의 근원을 보여주마.</t>
        </is>
      </c>
      <c r="E53" s="9" t="inlineStr">
        <is>
          <t>원초의 저주!</t>
        </is>
      </c>
      <c r="F53" s="9" t="inlineStr">
        <is>
          <t>재미있는 실험이었어.</t>
        </is>
      </c>
      <c r="G53" s="9" t="inlineStr">
        <is>
          <t>이 늙은 몸이… 한계인가…</t>
        </is>
      </c>
      <c r="H53" s="9" t="inlineStr">
        <is>
          <t>마녀는 쉽게 죽지 않아.</t>
        </is>
      </c>
      <c r="I53" s="9" t="inlineStr">
        <is>
          <t>세상 모든 마법의 어머니!</t>
        </is>
      </c>
      <c r="J53" s="9" t="inlineStr">
        <is>
          <t>비약 끓이는 중.</t>
        </is>
      </c>
    </row>
    <row r="54">
      <c r="A54" s="8" t="inlineStr">
        <is>
          <t>혼돈의 군주</t>
        </is>
      </c>
      <c r="B54" s="8" t="inlineStr">
        <is>
          <t>신화</t>
        </is>
      </c>
      <c r="C54" s="8" t="inlineStr">
        <is>
          <t>카오스가 세상에 풀려난다.</t>
        </is>
      </c>
      <c r="D54" s="8" t="inlineStr">
        <is>
          <t>질서 따위 무너뜨려라!</t>
        </is>
      </c>
      <c r="E54" s="8" t="inlineStr">
        <is>
          <t>혼돈의 소용돌이!</t>
        </is>
      </c>
      <c r="F54" s="8" t="inlineStr">
        <is>
          <t>혼돈 앞에 모든 것은 무의미하다.</t>
        </is>
      </c>
      <c r="G54" s="8" t="inlineStr">
        <is>
          <t>혼돈이… 잠시 멈추는가…</t>
        </is>
      </c>
      <c r="H54" s="8" t="inlineStr">
        <is>
          <t>혼돈은 멈추지 않는다.</t>
        </is>
      </c>
      <c r="I54" s="8" t="inlineStr">
        <is>
          <t>우주의 혼돈을 지배한다!</t>
        </is>
      </c>
      <c r="J54" s="8" t="inlineStr">
        <is>
          <t>확률 장난 치는 중.</t>
        </is>
      </c>
    </row>
    <row r="55">
      <c r="A55" s="9" t="inlineStr">
        <is>
          <t>늑대왕</t>
        </is>
      </c>
      <c r="B55" s="9" t="inlineStr">
        <is>
          <t>신화</t>
        </is>
      </c>
      <c r="C55" s="9" t="inlineStr">
        <is>
          <t>울부짖음이 대지를 흔든다!</t>
        </is>
      </c>
      <c r="D55" s="9" t="inlineStr">
        <is>
          <t>사냥을 시작한다!</t>
        </is>
      </c>
      <c r="E55" s="9" t="inlineStr">
        <is>
          <t>월광 포효!</t>
        </is>
      </c>
      <c r="F55" s="9" t="inlineStr">
        <is>
          <t>먹이사슬의 정점이다.</t>
        </is>
      </c>
      <c r="G55" s="9" t="inlineStr">
        <is>
          <t>왕이… 쓰러지다니…</t>
        </is>
      </c>
      <c r="H55" s="9" t="inlineStr">
        <is>
          <t>달이 왕을 불러냈다.</t>
        </is>
      </c>
      <c r="I55" s="9" t="inlineStr">
        <is>
          <t>만수의 군주로 각성한다!</t>
        </is>
      </c>
      <c r="J55" s="9" t="inlineStr">
        <is>
          <t>달 보고 하울링 중.</t>
        </is>
      </c>
    </row>
    <row r="56">
      <c r="A56" s="8" t="inlineStr">
        <is>
          <t>용왕 바하무트</t>
        </is>
      </c>
      <c r="B56" s="8" t="inlineStr">
        <is>
          <t>신화</t>
        </is>
      </c>
      <c r="C56" s="8" t="inlineStr">
        <is>
          <t>태초의 용이 깨어났다.</t>
        </is>
      </c>
      <c r="D56" s="8" t="inlineStr">
        <is>
          <t>이 세계를 심판한다.</t>
        </is>
      </c>
      <c r="E56" s="8" t="inlineStr">
        <is>
          <t>종말의 브레스!</t>
        </is>
      </c>
      <c r="F56" s="8" t="inlineStr">
        <is>
          <t>티끌이여, 사라져라.</t>
        </is>
      </c>
      <c r="G56" s="8" t="inlineStr">
        <is>
          <t>영겁의 잠에… 다시…</t>
        </is>
      </c>
      <c r="H56" s="8" t="inlineStr">
        <is>
          <t>영원은 끝나지 않는다.</t>
        </is>
      </c>
      <c r="I56" s="8" t="inlineStr">
        <is>
          <t>우주를 삼키는 용!</t>
        </is>
      </c>
      <c r="J56" s="8" t="inlineStr">
        <is>
          <t>화산에서 낮잠 중.</t>
        </is>
      </c>
    </row>
    <row r="57">
      <c r="A57" s="9" t="inlineStr">
        <is>
          <t>전쟁의 신</t>
        </is>
      </c>
      <c r="B57" s="9" t="inlineStr">
        <is>
          <t>신화</t>
        </is>
      </c>
      <c r="C57" s="9" t="inlineStr">
        <is>
          <t>전장이 곧 나의 신전이다.</t>
        </is>
      </c>
      <c r="D57" s="9" t="inlineStr">
        <is>
          <t>모든 전쟁은 나에게 봉헌된다.</t>
        </is>
      </c>
      <c r="E57" s="9" t="inlineStr">
        <is>
          <t>전멸의 창!</t>
        </is>
      </c>
      <c r="F57" s="9" t="inlineStr">
        <is>
          <t>전쟁은 끝나지 않는다.</t>
        </is>
      </c>
      <c r="G57" s="9" t="inlineStr">
        <is>
          <t>신도… 지는 날이 있는가…</t>
        </is>
      </c>
      <c r="H57" s="9" t="inlineStr">
        <is>
          <t>전쟁이 있는 한 나는 영원하다.</t>
        </is>
      </c>
      <c r="I57" s="9" t="inlineStr">
        <is>
          <t>만물의 전쟁을 지배한다!</t>
        </is>
      </c>
      <c r="J57" s="9" t="inlineStr">
        <is>
          <t>전쟁사 기록 중.</t>
        </is>
      </c>
    </row>
    <row r="58">
      <c r="A58" s="8" t="inlineStr">
        <is>
          <t>세계의 끝</t>
        </is>
      </c>
      <c r="B58" s="8" t="inlineStr">
        <is>
          <t>신화</t>
        </is>
      </c>
      <c r="C58" s="8" t="inlineStr">
        <is>
          <t>종말이 시작되었다.</t>
        </is>
      </c>
      <c r="D58" s="8" t="inlineStr">
        <is>
          <t>끝을 보여주마.</t>
        </is>
      </c>
      <c r="E58" s="8" t="inlineStr">
        <is>
          <t>아포칼립스!</t>
        </is>
      </c>
      <c r="F58" s="8" t="inlineStr">
        <is>
          <t>끝은 언제나 오는 법이다.</t>
        </is>
      </c>
      <c r="G58" s="8" t="inlineStr">
        <is>
          <t>끝의… 끝이란…</t>
        </is>
      </c>
      <c r="H58" s="8" t="inlineStr">
        <is>
          <t>종말은 반복된다.</t>
        </is>
      </c>
      <c r="I58" s="8" t="inlineStr">
        <is>
          <t>이 세계의 종장을 쓴다!</t>
        </is>
      </c>
      <c r="J58" s="8" t="inlineStr">
        <is>
          <t>새 세계 설계 중.</t>
        </is>
      </c>
    </row>
    <row r="59">
      <c r="A59" s="9" t="inlineStr">
        <is>
          <t>원소의 왕</t>
        </is>
      </c>
      <c r="B59" s="9" t="inlineStr">
        <is>
          <t>신화</t>
        </is>
      </c>
      <c r="C59" s="9" t="inlineStr">
        <is>
          <t>사원소가 하나로 모인다.</t>
        </is>
      </c>
      <c r="D59" s="9" t="inlineStr">
        <is>
          <t>불, 물, 바람, 땅이여!</t>
        </is>
      </c>
      <c r="E59" s="9" t="inlineStr">
        <is>
          <t>원소 합일!</t>
        </is>
      </c>
      <c r="F59" s="9" t="inlineStr">
        <is>
          <t>원소로 돌아가거라.</t>
        </is>
      </c>
      <c r="G59" s="9" t="inlineStr">
        <is>
          <t>원소가… 흩어진다…</t>
        </is>
      </c>
      <c r="H59" s="9" t="inlineStr">
        <is>
          <t>원소는 사라지지 않는다.</t>
        </is>
      </c>
      <c r="I59" s="9" t="inlineStr">
        <is>
          <t>만물의 근원을 지배한다!</t>
        </is>
      </c>
      <c r="J59" s="9" t="inlineStr">
        <is>
          <t>원소 밸런스 조정 중.</t>
        </is>
      </c>
    </row>
    <row r="60">
      <c r="A60" s="8" t="inlineStr">
        <is>
          <t>태초의 존재</t>
        </is>
      </c>
      <c r="B60" s="8" t="inlineStr">
        <is>
          <t>신화</t>
        </is>
      </c>
      <c r="C60" s="8" t="inlineStr">
        <is>
          <t>처음이자 끝, 내가 여기 있다.</t>
        </is>
      </c>
      <c r="D60" s="8" t="inlineStr">
        <is>
          <t>존재 자체가 전쟁이다.</t>
        </is>
      </c>
      <c r="E60" s="8" t="inlineStr">
        <is>
          <t>존재의 일격!</t>
        </is>
      </c>
      <c r="F60" s="8" t="inlineStr">
        <is>
          <t>너는 처음부터 없었다.</t>
        </is>
      </c>
      <c r="G60" s="8" t="inlineStr">
        <is>
          <t>존재가… 흐려진다…</t>
        </is>
      </c>
      <c r="H60" s="8" t="inlineStr">
        <is>
          <t>존재는 소멸하지 않는다.</t>
        </is>
      </c>
      <c r="I60" s="8" t="inlineStr">
        <is>
          <t>우주의 시작과 끝을 관장한다!</t>
        </is>
      </c>
      <c r="J60" s="8" t="inlineStr">
        <is>
          <t>우주 관측 중.</t>
        </is>
      </c>
    </row>
    <row r="61">
      <c r="A61" s="9" t="inlineStr">
        <is>
          <t>창조신</t>
        </is>
      </c>
      <c r="B61" s="9" t="inlineStr">
        <is>
          <t>신화</t>
        </is>
      </c>
      <c r="C61" s="9" t="inlineStr">
        <is>
          <t>무에서 유를 만든다.</t>
        </is>
      </c>
      <c r="D61" s="9" t="inlineStr">
        <is>
          <t>새 세계를 열겠다.</t>
        </is>
      </c>
      <c r="E61" s="9" t="inlineStr">
        <is>
          <t>창세의 빛!</t>
        </is>
      </c>
      <c r="F61" s="9" t="inlineStr">
        <is>
          <t>내가 만든 것을 거두마.</t>
        </is>
      </c>
      <c r="G61" s="9" t="inlineStr">
        <is>
          <t>창조마저… 끝이 있는가…</t>
        </is>
      </c>
      <c r="H61" s="9" t="inlineStr">
        <is>
          <t>다시 만들면 된다.</t>
        </is>
      </c>
      <c r="I61" s="9" t="inlineStr">
        <is>
          <t>만물을 창조하고 소멸시킨다!</t>
        </is>
      </c>
      <c r="J61" s="9" t="inlineStr">
        <is>
          <t>새 별 설계 중.</t>
        </is>
      </c>
    </row>
    <row r="62">
      <c r="A62" s="8" t="inlineStr">
        <is>
          <t>심판자</t>
        </is>
      </c>
      <c r="B62" s="8" t="inlineStr">
        <is>
          <t>신화</t>
        </is>
      </c>
      <c r="C62" s="8" t="inlineStr">
        <is>
          <t>심판의 시간이다.</t>
        </is>
      </c>
      <c r="D62" s="8" t="inlineStr">
        <is>
          <t>모든 자에게 공평한 끝을 준다.</t>
        </is>
      </c>
      <c r="E62" s="8" t="inlineStr">
        <is>
          <t>최후의 심판!</t>
        </is>
      </c>
      <c r="F62" s="8" t="inlineStr">
        <is>
          <t>판결은 내려졌다.</t>
        </is>
      </c>
      <c r="G62" s="8" t="inlineStr">
        <is>
          <t>심판자도… 심판받는가…</t>
        </is>
      </c>
      <c r="H62" s="8" t="inlineStr">
        <is>
          <t>법칙은 영원하다.</t>
        </is>
      </c>
      <c r="I62" s="8" t="inlineStr">
        <is>
          <t>우주의 법칙 그 자체가 되었다!</t>
        </is>
      </c>
      <c r="J62" s="8" t="inlineStr">
        <is>
          <t>판결문 작성 중.</t>
        </is>
      </c>
    </row>
    <row r="63">
      <c r="A63" s="9" t="inlineStr">
        <is>
          <t>운명의 직조자</t>
        </is>
      </c>
      <c r="B63" s="9" t="inlineStr">
        <is>
          <t>신화</t>
        </is>
      </c>
      <c r="C63" s="9" t="inlineStr">
        <is>
          <t>모든 운명의 실이 보인다.</t>
        </is>
      </c>
      <c r="D63" s="9" t="inlineStr">
        <is>
          <t>네 운명은 이미 짜여졌다.</t>
        </is>
      </c>
      <c r="E63" s="9" t="inlineStr">
        <is>
          <t>운명 절단!</t>
        </is>
      </c>
      <c r="F63" s="9" t="inlineStr">
        <is>
          <t>이것이 네 운명이었다.</t>
        </is>
      </c>
      <c r="G63" s="9" t="inlineStr">
        <is>
          <t>내 운명마저… 끊어지다니…</t>
        </is>
      </c>
      <c r="H63" s="9" t="inlineStr">
        <is>
          <t>운명은 다시 이어진다.</t>
        </is>
      </c>
      <c r="I63" s="9" t="inlineStr">
        <is>
          <t>만물의 운명을 직조한다!</t>
        </is>
      </c>
      <c r="J63" s="9" t="inlineStr">
        <is>
          <t>운명의 실 정리 중.</t>
        </is>
      </c>
    </row>
  </sheetData>
  <mergeCells count="1">
    <mergeCell ref="A1:J1"/>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14" customWidth="1" min="1" max="1"/>
    <col width="14" customWidth="1" min="2" max="2"/>
    <col width="16" customWidth="1" min="3" max="3"/>
    <col width="16" customWidth="1" min="4" max="4"/>
    <col width="16" customWidth="1" min="5" max="5"/>
    <col width="16" customWidth="1" min="6" max="6"/>
    <col width="16" customWidth="1" min="7" max="7"/>
    <col width="30" customWidth="1" min="8" max="8"/>
    <col width="35" customWidth="1" min="9" max="9"/>
    <col width="22" customWidth="1" min="10" max="10"/>
    <col width="35" customWidth="1" min="11" max="11"/>
  </cols>
  <sheetData>
    <row r="1">
      <c r="A1" s="6" t="inlineStr">
        <is>
          <t>포획 몬스터 상세 15종</t>
        </is>
      </c>
    </row>
    <row r="3">
      <c r="A3" s="7" t="inlineStr">
        <is>
          <t>몬스터</t>
        </is>
      </c>
      <c r="B3" s="7" t="inlineStr">
        <is>
          <t>1단계</t>
        </is>
      </c>
      <c r="C3" s="7" t="inlineStr">
        <is>
          <t>HP/ATK</t>
        </is>
      </c>
      <c r="D3" s="7" t="inlineStr">
        <is>
          <t>2단계(Lv10)</t>
        </is>
      </c>
      <c r="E3" s="7" t="inlineStr">
        <is>
          <t>HP/ATK</t>
        </is>
      </c>
      <c r="F3" s="7" t="inlineStr">
        <is>
          <t>3단계(Lv25)</t>
        </is>
      </c>
      <c r="G3" s="7" t="inlineStr">
        <is>
          <t>HP/ATK</t>
        </is>
      </c>
      <c r="H3" s="7" t="inlineStr">
        <is>
          <t>고유 능력</t>
        </is>
      </c>
      <c r="I3" s="7" t="inlineStr">
        <is>
          <t>성격 효과</t>
        </is>
      </c>
      <c r="J3" s="7" t="inlineStr">
        <is>
          <t>교배 조합</t>
        </is>
      </c>
      <c r="K3" s="7" t="inlineStr">
        <is>
          <t>IO 변신 스킬</t>
        </is>
      </c>
    </row>
    <row r="4">
      <c r="A4" s="8" t="inlineStr">
        <is>
          <t>슬라임</t>
        </is>
      </c>
      <c r="B4" s="8" t="inlineStr">
        <is>
          <t>아기 슬라임</t>
        </is>
      </c>
      <c r="C4" s="8" t="inlineStr">
        <is>
          <t>HP 50 / ATK 5</t>
        </is>
      </c>
      <c r="D4" s="8" t="inlineStr">
        <is>
          <t>슬라임</t>
        </is>
      </c>
      <c r="E4" s="8" t="inlineStr">
        <is>
          <t>HP 200 / ATK 20</t>
        </is>
      </c>
      <c r="F4" s="8" t="inlineStr">
        <is>
          <t>킹 슬라임</t>
        </is>
      </c>
      <c r="G4" s="8" t="inlineStr">
        <is>
          <t>HP 800 / ATK 80</t>
        </is>
      </c>
      <c r="H4" s="8" t="inlineStr">
        <is>
          <t>분열: 사망 시 소형 슬라임 2마리 소환</t>
        </is>
      </c>
      <c r="I4" s="8" t="inlineStr">
        <is>
          <t>용맹: ATK +10% | 신중: DEF +10% | 민첩: 이속 +15% | 강인: HP +15% | 영리: 스킬 쿨감 10%</t>
        </is>
      </c>
      <c r="J4" s="8" t="inlineStr">
        <is>
          <t>슬라임 + 번개 정령 = 플라즈마 슬라임</t>
        </is>
      </c>
      <c r="K4" s="8" t="inlineStr">
        <is>
          <t>젤리 바운스: 주변 적 넉백 + 둔화 3초</t>
        </is>
      </c>
    </row>
    <row r="5">
      <c r="A5" s="9" t="inlineStr">
        <is>
          <t>늑대</t>
        </is>
      </c>
      <c r="B5" s="9" t="inlineStr">
        <is>
          <t>늑대 새끼</t>
        </is>
      </c>
      <c r="C5" s="9" t="inlineStr">
        <is>
          <t>HP 80 / ATK 12</t>
        </is>
      </c>
      <c r="D5" s="9" t="inlineStr">
        <is>
          <t>회색 늑대</t>
        </is>
      </c>
      <c r="E5" s="9" t="inlineStr">
        <is>
          <t>HP 350 / ATK 45</t>
        </is>
      </c>
      <c r="F5" s="9" t="inlineStr">
        <is>
          <t>알파 울프</t>
        </is>
      </c>
      <c r="G5" s="9" t="inlineStr">
        <is>
          <t>HP 1200 / ATK 150</t>
        </is>
      </c>
      <c r="H5" s="9" t="inlineStr">
        <is>
          <t>팩 헌팅: 아군 늑대 1마리당 ATK +5%</t>
        </is>
      </c>
      <c r="I5" s="9" t="inlineStr">
        <is>
          <t>용맹: ATK +15% | 신중: 회피 +8% | 민첩: 치명타 +10% | 강인: HP +12% | 영리: 감지 범위 +30%</t>
        </is>
      </c>
      <c r="J5" s="9" t="inlineStr">
        <is>
          <t>늑대 + 독수리 = 그리폰</t>
        </is>
      </c>
      <c r="K5" s="9" t="inlineStr">
        <is>
          <t>늑대 돌진: 직선 돌진 후 물기, 출혈 5초</t>
        </is>
      </c>
    </row>
    <row r="6">
      <c r="A6" s="8" t="inlineStr">
        <is>
          <t>박쥐</t>
        </is>
      </c>
      <c r="B6" s="8" t="inlineStr">
        <is>
          <t>아기 박쥐</t>
        </is>
      </c>
      <c r="C6" s="8" t="inlineStr">
        <is>
          <t>HP 40 / ATK 8</t>
        </is>
      </c>
      <c r="D6" s="8" t="inlineStr">
        <is>
          <t>뱀파이어 박쥐</t>
        </is>
      </c>
      <c r="E6" s="8" t="inlineStr">
        <is>
          <t>HP 180 / ATK 35</t>
        </is>
      </c>
      <c r="F6" s="8" t="inlineStr">
        <is>
          <t>노스페라투</t>
        </is>
      </c>
      <c r="G6" s="8" t="inlineStr">
        <is>
          <t>HP 700 / ATK 120</t>
        </is>
      </c>
      <c r="H6" s="8" t="inlineStr">
        <is>
          <t>흡혈: 공격 시 피해량의 10% HP 회복</t>
        </is>
      </c>
      <c r="I6" s="8" t="inlineStr">
        <is>
          <t>용맹: 흡혈 +5% | 신중: 회피 +12% | 민첩: 공속 +15% | 강인: HP +10% | 영리: 흡혈 범위화</t>
        </is>
      </c>
      <c r="J6" s="8" t="inlineStr">
        <is>
          <t>없음</t>
        </is>
      </c>
      <c r="K6" s="8" t="inlineStr">
        <is>
          <t>초음파 비명: 범위 내 적 혼란 3초 + 회피 감소</t>
        </is>
      </c>
    </row>
    <row r="7">
      <c r="A7" s="9" t="inlineStr">
        <is>
          <t>거미</t>
        </is>
      </c>
      <c r="B7" s="9" t="inlineStr">
        <is>
          <t>새끼 거미</t>
        </is>
      </c>
      <c r="C7" s="9" t="inlineStr">
        <is>
          <t>HP 45 / ATK 10</t>
        </is>
      </c>
      <c r="D7" s="9" t="inlineStr">
        <is>
          <t>독거미</t>
        </is>
      </c>
      <c r="E7" s="9" t="inlineStr">
        <is>
          <t>HP 220 / ATK 40</t>
        </is>
      </c>
      <c r="F7" s="9" t="inlineStr">
        <is>
          <t>여왕 거미</t>
        </is>
      </c>
      <c r="G7" s="9" t="inlineStr">
        <is>
          <t>HP 900 / ATK 130</t>
        </is>
      </c>
      <c r="H7" s="9" t="inlineStr">
        <is>
          <t>거미줄: 공격 시 20% 확률로 이속 감소 50% (3초)</t>
        </is>
      </c>
      <c r="I7" s="9" t="inlineStr">
        <is>
          <t>용맹: 독 데미지 +20% | 신중: 거미줄 범위 +30% | 민첩: 공속 +12% | 강인: HP +10% | 영리: 감속 확률 +15%</t>
        </is>
      </c>
      <c r="J7" s="9" t="inlineStr">
        <is>
          <t>없음</t>
        </is>
      </c>
      <c r="K7" s="9" t="inlineStr">
        <is>
          <t>거미줄 폭풍: 광역 속박 4초 + 독 데미지</t>
        </is>
      </c>
    </row>
    <row r="8">
      <c r="A8" s="8" t="inlineStr">
        <is>
          <t>트렌트</t>
        </is>
      </c>
      <c r="B8" s="8" t="inlineStr">
        <is>
          <t>묘목</t>
        </is>
      </c>
      <c r="C8" s="8" t="inlineStr">
        <is>
          <t>HP 100 / ATK 6</t>
        </is>
      </c>
      <c r="D8" s="8" t="inlineStr">
        <is>
          <t>트렌트</t>
        </is>
      </c>
      <c r="E8" s="8" t="inlineStr">
        <is>
          <t>HP 500 / ATK 30</t>
        </is>
      </c>
      <c r="F8" s="8" t="inlineStr">
        <is>
          <t>고대 트렌트</t>
        </is>
      </c>
      <c r="G8" s="8" t="inlineStr">
        <is>
          <t>HP 2000 / ATK 60</t>
        </is>
      </c>
      <c r="H8" s="8" t="inlineStr">
        <is>
          <t>뿌리 재생: 매 5초 HP 3% 회복</t>
        </is>
      </c>
      <c r="I8" s="8" t="inlineStr">
        <is>
          <t>용맹: 반격 확률 +15% | 신중: DEF +20% | 민첩: 회복 주기 -1초 | 강인: HP +20% | 영리: 아군 회복 오라</t>
        </is>
      </c>
      <c r="J8" s="8" t="inlineStr">
        <is>
          <t>트렌트 + 세계수 정령 = 세계수 묘</t>
        </is>
      </c>
      <c r="K8" s="8" t="inlineStr">
        <is>
          <t>대지 융기: 범위 내 적 공중 띄우기 + 아군 HP 회복</t>
        </is>
      </c>
    </row>
    <row r="9">
      <c r="A9" s="9" t="inlineStr">
        <is>
          <t>아기 드래곤</t>
        </is>
      </c>
      <c r="B9" s="9" t="inlineStr">
        <is>
          <t>드래곤 알</t>
        </is>
      </c>
      <c r="C9" s="9" t="inlineStr">
        <is>
          <t>HP 60 / ATK 15</t>
        </is>
      </c>
      <c r="D9" s="9" t="inlineStr">
        <is>
          <t>어린 드래곤</t>
        </is>
      </c>
      <c r="E9" s="9" t="inlineStr">
        <is>
          <t>HP 400 / ATK 60</t>
        </is>
      </c>
      <c r="F9" s="9" t="inlineStr">
        <is>
          <t>드래곤</t>
        </is>
      </c>
      <c r="G9" s="9" t="inlineStr">
        <is>
          <t>HP 1800 / ATK 200</t>
        </is>
      </c>
      <c r="H9" s="9" t="inlineStr">
        <is>
          <t>브레스: 스킬 사용 시 직선 범위 화염</t>
        </is>
      </c>
      <c r="I9" s="9" t="inlineStr">
        <is>
          <t>용맹: 브레스 피해 +20% | 신중: 화염 저항 +30% | 민첩: 비행 이속 +20% | 강인: HP +15% | 영리: 브레스 쿨감 20%</t>
        </is>
      </c>
      <c r="J9" s="9" t="inlineStr">
        <is>
          <t>드래곤 + 유령 = 고스트 드래곤</t>
        </is>
      </c>
      <c r="K9" s="9" t="inlineStr">
        <is>
          <t>용의 포효: 범위 내 적 공포 4초 + ATK 감소 20%</t>
        </is>
      </c>
    </row>
    <row r="10">
      <c r="A10" s="8" t="inlineStr">
        <is>
          <t>유령</t>
        </is>
      </c>
      <c r="B10" s="8" t="inlineStr">
        <is>
          <t>약한 유령</t>
        </is>
      </c>
      <c r="C10" s="8" t="inlineStr">
        <is>
          <t>HP 30 / ATK 12</t>
        </is>
      </c>
      <c r="D10" s="8" t="inlineStr">
        <is>
          <t>원혼</t>
        </is>
      </c>
      <c r="E10" s="8" t="inlineStr">
        <is>
          <t>HP 160 / ATK 45</t>
        </is>
      </c>
      <c r="F10" s="8" t="inlineStr">
        <is>
          <t>리치</t>
        </is>
      </c>
      <c r="G10" s="8" t="inlineStr">
        <is>
          <t>HP 600 / ATK 140</t>
        </is>
      </c>
      <c r="H10" s="8" t="inlineStr">
        <is>
          <t>비실체: 물리 공격 30% 확률 회피</t>
        </is>
      </c>
      <c r="I10" s="8" t="inlineStr">
        <is>
          <t>용맹: 저주 데미지 +15% | 신중: 회피 +10% | 민첩: 이동 시 투명 | 강인: 비실체 확률 +10% | 영리: 마법 피해 +15%</t>
        </is>
      </c>
      <c r="J10" s="8" t="inlineStr">
        <is>
          <t>유령 + 아기 드래곤 = 고스트 드래곤</t>
        </is>
      </c>
      <c r="K10" s="8" t="inlineStr">
        <is>
          <t>영혼 포식: 적 HP 흡수 + 자신 최대 HP 임시 증가</t>
        </is>
      </c>
    </row>
    <row r="11">
      <c r="A11" s="9" t="inlineStr">
        <is>
          <t>독수리</t>
        </is>
      </c>
      <c r="B11" s="9" t="inlineStr">
        <is>
          <t>독수리 새끼</t>
        </is>
      </c>
      <c r="C11" s="9" t="inlineStr">
        <is>
          <t>HP 55 / ATK 11</t>
        </is>
      </c>
      <c r="D11" s="9" t="inlineStr">
        <is>
          <t>전투 독수리</t>
        </is>
      </c>
      <c r="E11" s="9" t="inlineStr">
        <is>
          <t>HP 250 / ATK 50</t>
        </is>
      </c>
      <c r="F11" s="9" t="inlineStr">
        <is>
          <t>뇌조</t>
        </is>
      </c>
      <c r="G11" s="9" t="inlineStr">
        <is>
          <t>HP 1000 / ATK 160</t>
        </is>
      </c>
      <c r="H11" s="9" t="inlineStr">
        <is>
          <t>급강하: 첫 공격 크리티컬 확정</t>
        </is>
      </c>
      <c r="I11" s="9" t="inlineStr">
        <is>
          <t>용맹: 크리티컬 데미지 +25% | 신중: 시야 +50% | 민첩: 공속 +15% | 강인: HP +10% | 영리: 급강하 쿨감 30%</t>
        </is>
      </c>
      <c r="J11" s="9" t="inlineStr">
        <is>
          <t>독수리 + 늑대 = 그리폰</t>
        </is>
      </c>
      <c r="K11" s="9" t="inlineStr">
        <is>
          <t>천공 급습: 전장 어디든 급강하, 범위 피해 + 기절</t>
        </is>
      </c>
    </row>
    <row r="12">
      <c r="A12" s="8" t="inlineStr">
        <is>
          <t>뱀</t>
        </is>
      </c>
      <c r="B12" s="8" t="inlineStr">
        <is>
          <t>새끼 뱀</t>
        </is>
      </c>
      <c r="C12" s="8" t="inlineStr">
        <is>
          <t>HP 35 / ATK 9</t>
        </is>
      </c>
      <c r="D12" s="8" t="inlineStr">
        <is>
          <t>킹 코브라</t>
        </is>
      </c>
      <c r="E12" s="8" t="inlineStr">
        <is>
          <t>HP 200 / ATK 42</t>
        </is>
      </c>
      <c r="F12" s="8" t="inlineStr">
        <is>
          <t>히드라</t>
        </is>
      </c>
      <c r="G12" s="8" t="inlineStr">
        <is>
          <t>HP 1500 / ATK 170</t>
        </is>
      </c>
      <c r="H12" s="8" t="inlineStr">
        <is>
          <t>맹독: 공격 시 독 부여 (3초간 HP 2% 감소)</t>
        </is>
      </c>
      <c r="I12" s="8" t="inlineStr">
        <is>
          <t>용맹: 독 데미지 +25% | 신중: 독 지속 +2초 | 민첩: 공속 +12% | 강인: HP +10% | 영리: 독 중첩 가능 (최대 3)</t>
        </is>
      </c>
      <c r="J12" s="8" t="inlineStr">
        <is>
          <t>없음</t>
        </is>
      </c>
      <c r="K12" s="8" t="inlineStr">
        <is>
          <t>히드라 머리: 머리 3개로 분화, 각각 독립 공격 5초</t>
        </is>
      </c>
    </row>
    <row r="13">
      <c r="A13" s="9" t="inlineStr">
        <is>
          <t>번개 정령</t>
        </is>
      </c>
      <c r="B13" s="9" t="inlineStr">
        <is>
          <t>전기 불꽃</t>
        </is>
      </c>
      <c r="C13" s="9" t="inlineStr">
        <is>
          <t>HP 25 / ATK 18</t>
        </is>
      </c>
      <c r="D13" s="9" t="inlineStr">
        <is>
          <t>번개 정령</t>
        </is>
      </c>
      <c r="E13" s="9" t="inlineStr">
        <is>
          <t>HP 150 / ATK 55</t>
        </is>
      </c>
      <c r="F13" s="9" t="inlineStr">
        <is>
          <t>뇌신</t>
        </is>
      </c>
      <c r="G13" s="9" t="inlineStr">
        <is>
          <t>HP 650 / ATK 180</t>
        </is>
      </c>
      <c r="H13" s="9" t="inlineStr">
        <is>
          <t>감전: 공격 시 30% 확률로 적 1초 기절</t>
        </is>
      </c>
      <c r="I13" s="9" t="inlineStr">
        <is>
          <t>용맹: 감전 확률 +15% | 신중: 전기 저항 +30% | 민첩: 공속 +20% | 강인: HP +15% | 영리: 연쇄 번개 (2체 추가)</t>
        </is>
      </c>
      <c r="J13" s="9" t="inlineStr">
        <is>
          <t>번개 정령 + 슬라임 = 플라즈마 슬라임</t>
        </is>
      </c>
      <c r="K13" s="9" t="inlineStr">
        <is>
          <t>뇌전 폭풍: 광역 지속 번개, 5초간 매초 피해 + 감전</t>
        </is>
      </c>
    </row>
    <row r="14">
      <c r="A14" s="8" t="inlineStr">
        <is>
          <t>그리폰</t>
        </is>
      </c>
      <c r="B14" s="8" t="inlineStr">
        <is>
          <t>그리폰 새끼</t>
        </is>
      </c>
      <c r="C14" s="8" t="inlineStr">
        <is>
          <t>HP 120 / ATK 22</t>
        </is>
      </c>
      <c r="D14" s="8" t="inlineStr">
        <is>
          <t>전투 그리폰</t>
        </is>
      </c>
      <c r="E14" s="8" t="inlineStr">
        <is>
          <t>HP 550 / ATK 80</t>
        </is>
      </c>
      <c r="F14" s="8" t="inlineStr">
        <is>
          <t>신성 그리폰</t>
        </is>
      </c>
      <c r="G14" s="8" t="inlineStr">
        <is>
          <t>HP 2200 / ATK 220</t>
        </is>
      </c>
      <c r="H14" s="8" t="inlineStr">
        <is>
          <t>비행 돌격: 공격 사거리 +50%, 돌격 시 넉백</t>
        </is>
      </c>
      <c r="I14" s="8" t="inlineStr">
        <is>
          <t>용맹: 돌격 피해 +20% | 신중: 비행 시 회피 +15% | 민첩: 이속 +25% | 강인: HP +15% | 영리: 아군 이속 버프 오라</t>
        </is>
      </c>
      <c r="J14" s="8" t="inlineStr">
        <is>
          <t>늑대 + 독수리</t>
        </is>
      </c>
      <c r="K14" s="8" t="inlineStr">
        <is>
          <t>왕의 급강하: 하늘에서 광역 돌진, 넉백 + ATK 버프</t>
        </is>
      </c>
    </row>
    <row r="15">
      <c r="A15" s="9" t="inlineStr">
        <is>
          <t>고스트 드래곤</t>
        </is>
      </c>
      <c r="B15" s="9" t="inlineStr">
        <is>
          <t>유령 드래곤 알</t>
        </is>
      </c>
      <c r="C15" s="9" t="inlineStr">
        <is>
          <t>HP 90 / ATK 25</t>
        </is>
      </c>
      <c r="D15" s="9" t="inlineStr">
        <is>
          <t>망령 드래곤</t>
        </is>
      </c>
      <c r="E15" s="9" t="inlineStr">
        <is>
          <t>HP 450 / ATK 75</t>
        </is>
      </c>
      <c r="F15" s="9" t="inlineStr">
        <is>
          <t>사령룡</t>
        </is>
      </c>
      <c r="G15" s="9" t="inlineStr">
        <is>
          <t>HP 1800 / ATK 240</t>
        </is>
      </c>
      <c r="H15" s="9" t="inlineStr">
        <is>
          <t>사령 브레스: 브레스에 HP 흡수 효과 추가</t>
        </is>
      </c>
      <c r="I15" s="9" t="inlineStr">
        <is>
          <t>용맹: 브레스 +20% | 신중: 비실체 +15% | 민첩: 비행 +20% | 강인: 흡혈 +10% | 영리: 언데드 소환 추가</t>
        </is>
      </c>
      <c r="J15" s="9" t="inlineStr">
        <is>
          <t>아기 드래곤 + 유령</t>
        </is>
      </c>
      <c r="K15" s="9" t="inlineStr">
        <is>
          <t>영혼 브레스: 광역 영혼 화염, 피해 + 적 부활 불가 10초</t>
        </is>
      </c>
    </row>
    <row r="16">
      <c r="A16" s="8" t="inlineStr">
        <is>
          <t>플라즈마 슬라임</t>
        </is>
      </c>
      <c r="B16" s="8" t="inlineStr">
        <is>
          <t>전기 슬라임</t>
        </is>
      </c>
      <c r="C16" s="8" t="inlineStr">
        <is>
          <t>HP 60 / ATK 20</t>
        </is>
      </c>
      <c r="D16" s="8" t="inlineStr">
        <is>
          <t>플라즈마 슬라임</t>
        </is>
      </c>
      <c r="E16" s="8" t="inlineStr">
        <is>
          <t>HP 280 / ATK 55</t>
        </is>
      </c>
      <c r="F16" s="8" t="inlineStr">
        <is>
          <t>플라즈마 킹</t>
        </is>
      </c>
      <c r="G16" s="8" t="inlineStr">
        <is>
          <t>HP 1100 / ATK 160</t>
        </is>
      </c>
      <c r="H16" s="8" t="inlineStr">
        <is>
          <t>전기 분열: 사망 시 감전 폭발 + 소형 2마리</t>
        </is>
      </c>
      <c r="I16" s="8" t="inlineStr">
        <is>
          <t>용맹: 폭발 범위 +30% | 신중: 전기 저항 +25% | 민첩: 공속 +15% | 강인: HP +15% | 영리: 분열체도 감전 보유</t>
        </is>
      </c>
      <c r="J16" s="8" t="inlineStr">
        <is>
          <t>슬라임 + 번개 정령</t>
        </is>
      </c>
      <c r="K16" s="8" t="inlineStr">
        <is>
          <t>플라즈마 노바: 자폭 후 광역 감전 + 분열체 4마리 소환</t>
        </is>
      </c>
    </row>
    <row r="17">
      <c r="A17" s="9" t="inlineStr">
        <is>
          <t>세계수 묘</t>
        </is>
      </c>
      <c r="B17" s="9" t="inlineStr">
        <is>
          <t>세계수 새싹</t>
        </is>
      </c>
      <c r="C17" s="9" t="inlineStr">
        <is>
          <t>HP 150 / ATK 8</t>
        </is>
      </c>
      <c r="D17" s="9" t="inlineStr">
        <is>
          <t>세계수 묘목</t>
        </is>
      </c>
      <c r="E17" s="9" t="inlineStr">
        <is>
          <t>HP 700 / ATK 25</t>
        </is>
      </c>
      <c r="F17" s="9" t="inlineStr">
        <is>
          <t>소세계수</t>
        </is>
      </c>
      <c r="G17" s="9" t="inlineStr">
        <is>
          <t>HP 3000 / ATK 50</t>
        </is>
      </c>
      <c r="H17" s="9" t="inlineStr">
        <is>
          <t>생명의 오라: 주변 아군 매 3초 HP 5% 회복</t>
        </is>
      </c>
      <c r="I17" s="9" t="inlineStr">
        <is>
          <t>용맹: 반격 +10% | 신중: 오라 범위 +40% | 민첩: 회복 주기 -1초 | 강인: HP +25% | 영리: 사망 시 씨앗 (30초 후 부활)</t>
        </is>
      </c>
      <c r="J17" s="9" t="inlineStr">
        <is>
          <t>트렌트 + 세계수 정령</t>
        </is>
      </c>
      <c r="K17" s="9" t="inlineStr">
        <is>
          <t>세계수 결계: 광역 보호막 + 지속 회복, 아군 전원 10초</t>
        </is>
      </c>
    </row>
    <row r="18">
      <c r="A18" s="8" t="inlineStr">
        <is>
          <t>환상의 짐승</t>
        </is>
      </c>
      <c r="B18" s="8" t="inlineStr">
        <is>
          <t>키메라 새끼</t>
        </is>
      </c>
      <c r="C18" s="8" t="inlineStr">
        <is>
          <t>HP 100 / ATK 20</t>
        </is>
      </c>
      <c r="D18" s="8" t="inlineStr">
        <is>
          <t>키메라</t>
        </is>
      </c>
      <c r="E18" s="8" t="inlineStr">
        <is>
          <t>HP 480 / ATK 70</t>
        </is>
      </c>
      <c r="F18" s="8" t="inlineStr">
        <is>
          <t>환상의 짐승</t>
        </is>
      </c>
      <c r="G18" s="8" t="inlineStr">
        <is>
          <t>HP 2000 / ATK 200</t>
        </is>
      </c>
      <c r="H18" s="8" t="inlineStr">
        <is>
          <t>다중 머리: 매 공격 시 랜덤 속성 (화/빙/독/전)</t>
        </is>
      </c>
      <c r="I18" s="8" t="inlineStr">
        <is>
          <t>용맹: 전속성 +10% | 신중: 속성 저항 +15% | 민첩: 공속 +15% | 강인: HP +15% | 영리: 약점 속성 자동 선택</t>
        </is>
      </c>
      <c r="J18" s="8" t="inlineStr">
        <is>
          <t>그리폰 + 고스트 드래곤</t>
        </is>
      </c>
      <c r="K18" s="8" t="inlineStr">
        <is>
          <t>키메라 폭주: 전속성 동시 브레스, 5초간 광역 혼돈</t>
        </is>
      </c>
    </row>
  </sheetData>
  <mergeCells count="1">
    <mergeCell ref="A1:K1"/>
  </mergeCell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cols>
    <col width="5" customWidth="1" min="1" max="1"/>
    <col width="10" customWidth="1" min="2" max="2"/>
    <col width="20" customWidth="1" min="3" max="3"/>
    <col width="28" customWidth="1" min="4" max="4"/>
    <col width="18" customWidth="1" min="5" max="5"/>
    <col width="6" customWidth="1" min="6" max="6"/>
  </cols>
  <sheetData>
    <row r="1">
      <c r="A1" s="6" t="inlineStr">
        <is>
          <t>업적 전체 목록 100선</t>
        </is>
      </c>
    </row>
    <row r="3">
      <c r="A3" s="7" t="inlineStr">
        <is>
          <t>#</t>
        </is>
      </c>
      <c r="B3" s="7" t="inlineStr">
        <is>
          <t>카테고리</t>
        </is>
      </c>
      <c r="C3" s="7" t="inlineStr">
        <is>
          <t>업적명</t>
        </is>
      </c>
      <c r="D3" s="7" t="inlineStr">
        <is>
          <t>조건</t>
        </is>
      </c>
      <c r="E3" s="7" t="inlineStr">
        <is>
          <t>보상</t>
        </is>
      </c>
      <c r="F3" s="7" t="inlineStr">
        <is>
          <t>히든</t>
        </is>
      </c>
    </row>
    <row r="4">
      <c r="A4" s="8" t="n">
        <v>1</v>
      </c>
      <c r="B4" s="8" t="inlineStr">
        <is>
          <t>전투</t>
        </is>
      </c>
      <c r="C4" s="8" t="inlineStr">
        <is>
          <t>첫 번째 처치</t>
        </is>
      </c>
      <c r="D4" s="8" t="inlineStr">
        <is>
          <t>적을 1회 처치</t>
        </is>
      </c>
      <c r="E4" s="8" t="inlineStr">
        <is>
          <t>골드 500</t>
        </is>
      </c>
      <c r="F4" s="8" t="inlineStr"/>
    </row>
    <row r="5">
      <c r="A5" s="9" t="n">
        <v>2</v>
      </c>
      <c r="B5" s="9" t="inlineStr">
        <is>
          <t>전투</t>
        </is>
      </c>
      <c r="C5" s="9" t="inlineStr">
        <is>
          <t>백인대장</t>
        </is>
      </c>
      <c r="D5" s="9" t="inlineStr">
        <is>
          <t>적을 100회 처치</t>
        </is>
      </c>
      <c r="E5" s="9" t="inlineStr">
        <is>
          <t>골드 5,000</t>
        </is>
      </c>
      <c r="F5" s="9" t="inlineStr"/>
    </row>
    <row r="6">
      <c r="A6" s="8" t="n">
        <v>3</v>
      </c>
      <c r="B6" s="8" t="inlineStr">
        <is>
          <t>전투</t>
        </is>
      </c>
      <c r="C6" s="8" t="inlineStr">
        <is>
          <t>천살의 전사</t>
        </is>
      </c>
      <c r="D6" s="8" t="inlineStr">
        <is>
          <t>적을 1,000회 처치</t>
        </is>
      </c>
      <c r="E6" s="8" t="inlineStr">
        <is>
          <t>칭호: 천살의 전사</t>
        </is>
      </c>
      <c r="F6" s="8" t="inlineStr"/>
    </row>
    <row r="7">
      <c r="A7" s="9" t="n">
        <v>4</v>
      </c>
      <c r="B7" s="9" t="inlineStr">
        <is>
          <t>전투</t>
        </is>
      </c>
      <c r="C7" s="9" t="inlineStr">
        <is>
          <t>PvP 첫 승리</t>
        </is>
      </c>
      <c r="D7" s="9" t="inlineStr">
        <is>
          <t>PvP에서 첫 승리</t>
        </is>
      </c>
      <c r="E7" s="9" t="inlineStr">
        <is>
          <t>골드 1,000</t>
        </is>
      </c>
      <c r="F7" s="9" t="inlineStr"/>
    </row>
    <row r="8">
      <c r="A8" s="8" t="n">
        <v>5</v>
      </c>
      <c r="B8" s="8" t="inlineStr">
        <is>
          <t>전투</t>
        </is>
      </c>
      <c r="C8" s="8" t="inlineStr">
        <is>
          <t>보스 솔로킬</t>
        </is>
      </c>
      <c r="D8" s="8" t="inlineStr">
        <is>
          <t>보스를 혼자 처치</t>
        </is>
      </c>
      <c r="E8" s="8" t="inlineStr">
        <is>
          <t>스킬 포인트 3</t>
        </is>
      </c>
      <c r="F8" s="8" t="inlineStr"/>
    </row>
    <row r="9">
      <c r="A9" s="9" t="n">
        <v>6</v>
      </c>
      <c r="B9" s="9" t="inlineStr">
        <is>
          <t>전투</t>
        </is>
      </c>
      <c r="C9" s="9" t="inlineStr">
        <is>
          <t>무쌍 연전</t>
        </is>
      </c>
      <c r="D9" s="9" t="inlineStr">
        <is>
          <t>10연전 승리</t>
        </is>
      </c>
      <c r="E9" s="9" t="inlineStr">
        <is>
          <t>골드 3,000</t>
        </is>
      </c>
      <c r="F9" s="9" t="inlineStr"/>
    </row>
    <row r="10">
      <c r="A10" s="8" t="n">
        <v>7</v>
      </c>
      <c r="B10" s="8" t="inlineStr">
        <is>
          <t>전투</t>
        </is>
      </c>
      <c r="C10" s="8" t="inlineStr">
        <is>
          <t>한 칼에</t>
        </is>
      </c>
      <c r="D10" s="8" t="inlineStr">
        <is>
          <t>적을 일격에 처치</t>
        </is>
      </c>
      <c r="E10" s="8" t="inlineStr">
        <is>
          <t>칭호: 한 칼에</t>
        </is>
      </c>
      <c r="F10" s="8" t="inlineStr"/>
    </row>
    <row r="11">
      <c r="A11" s="9" t="n">
        <v>8</v>
      </c>
      <c r="B11" s="9" t="inlineStr">
        <is>
          <t>전투</t>
        </is>
      </c>
      <c r="C11" s="9" t="inlineStr">
        <is>
          <t>반격의 달인</t>
        </is>
      </c>
      <c r="D11" s="9" t="inlineStr">
        <is>
          <t>반격으로 10회 처치</t>
        </is>
      </c>
      <c r="E11" s="9" t="inlineStr">
        <is>
          <t>골드 2,000</t>
        </is>
      </c>
      <c r="F11" s="9" t="inlineStr"/>
    </row>
    <row r="12">
      <c r="A12" s="8" t="n">
        <v>9</v>
      </c>
      <c r="B12" s="8" t="inlineStr">
        <is>
          <t>전투</t>
        </is>
      </c>
      <c r="C12" s="8" t="inlineStr">
        <is>
          <t>연속 처치</t>
        </is>
      </c>
      <c r="D12" s="8" t="inlineStr">
        <is>
          <t>5연속 처치 달성</t>
        </is>
      </c>
      <c r="E12" s="8" t="inlineStr">
        <is>
          <t>다이아 50</t>
        </is>
      </c>
      <c r="F12" s="8" t="inlineStr"/>
    </row>
    <row r="13">
      <c r="A13" s="9" t="n">
        <v>10</v>
      </c>
      <c r="B13" s="9" t="inlineStr">
        <is>
          <t>전투</t>
        </is>
      </c>
      <c r="C13" s="9" t="inlineStr">
        <is>
          <t>불사신</t>
        </is>
      </c>
      <c r="D13" s="9" t="inlineStr">
        <is>
          <t>전투 중 HP 1%에서 생존</t>
        </is>
      </c>
      <c r="E13" s="9" t="inlineStr">
        <is>
          <t>칭호: 불사신</t>
        </is>
      </c>
      <c r="F13" s="9" t="inlineStr"/>
    </row>
    <row r="14">
      <c r="A14" s="8" t="n">
        <v>11</v>
      </c>
      <c r="B14" s="8" t="inlineStr">
        <is>
          <t>전투</t>
        </is>
      </c>
      <c r="C14" s="8" t="inlineStr">
        <is>
          <t>만렙 달성</t>
        </is>
      </c>
      <c r="D14" s="8" t="inlineStr">
        <is>
          <t>캐릭터 최대 레벨 도달</t>
        </is>
      </c>
      <c r="E14" s="8" t="inlineStr">
        <is>
          <t>다이아 200</t>
        </is>
      </c>
      <c r="F14" s="8" t="inlineStr"/>
    </row>
    <row r="15">
      <c r="A15" s="9" t="n">
        <v>12</v>
      </c>
      <c r="B15" s="9" t="inlineStr">
        <is>
          <t>전투</t>
        </is>
      </c>
      <c r="C15" s="9" t="inlineStr">
        <is>
          <t>무피해 클리어</t>
        </is>
      </c>
      <c r="D15" s="9" t="inlineStr">
        <is>
          <t>스테이지를 피해 없이 클리어</t>
        </is>
      </c>
      <c r="E15" s="9" t="inlineStr">
        <is>
          <t>칭호: 무적</t>
        </is>
      </c>
      <c r="F15" s="9" t="inlineStr"/>
    </row>
    <row r="16">
      <c r="A16" s="8" t="n">
        <v>13</v>
      </c>
      <c r="B16" s="8" t="inlineStr">
        <is>
          <t>전투</t>
        </is>
      </c>
      <c r="C16" s="8" t="inlineStr">
        <is>
          <t>크리티컬 마스터</t>
        </is>
      </c>
      <c r="D16" s="8" t="inlineStr">
        <is>
          <t>크리티컬로 100회 처치</t>
        </is>
      </c>
      <c r="E16" s="8" t="inlineStr">
        <is>
          <t>골드 3,000</t>
        </is>
      </c>
      <c r="F16" s="8" t="inlineStr"/>
    </row>
    <row r="17">
      <c r="A17" s="9" t="n">
        <v>14</v>
      </c>
      <c r="B17" s="9" t="inlineStr">
        <is>
          <t>전투</t>
        </is>
      </c>
      <c r="C17" s="9" t="inlineStr">
        <is>
          <t>속성 마스터</t>
        </is>
      </c>
      <c r="D17" s="9" t="inlineStr">
        <is>
          <t>모든 속성 공격으로 처치 달성</t>
        </is>
      </c>
      <c r="E17" s="9" t="inlineStr">
        <is>
          <t>스킬 포인트 5</t>
        </is>
      </c>
      <c r="F17" s="9" t="inlineStr"/>
    </row>
    <row r="18">
      <c r="A18" s="8" t="n">
        <v>15</v>
      </c>
      <c r="B18" s="8" t="inlineStr">
        <is>
          <t>전투</t>
        </is>
      </c>
      <c r="C18" s="8" t="inlineStr">
        <is>
          <t>전장의 지배자</t>
        </is>
      </c>
      <c r="D18" s="8" t="inlineStr">
        <is>
          <t>단일 전투에서 50킬 달성</t>
        </is>
      </c>
      <c r="E18" s="8" t="inlineStr">
        <is>
          <t>칭호: 지배자</t>
        </is>
      </c>
      <c r="F18" s="8" t="inlineStr"/>
    </row>
    <row r="19">
      <c r="A19" s="9" t="n">
        <v>16</v>
      </c>
      <c r="B19" s="9" t="inlineStr">
        <is>
          <t>용병</t>
        </is>
      </c>
      <c r="C19" s="9" t="inlineStr">
        <is>
          <t>첫 소환</t>
        </is>
      </c>
      <c r="D19" s="9" t="inlineStr">
        <is>
          <t>용병을 1회 소환</t>
        </is>
      </c>
      <c r="E19" s="9" t="inlineStr">
        <is>
          <t>골드 500</t>
        </is>
      </c>
      <c r="F19" s="9" t="inlineStr"/>
    </row>
    <row r="20">
      <c r="A20" s="8" t="n">
        <v>17</v>
      </c>
      <c r="B20" s="8" t="inlineStr">
        <is>
          <t>용병</t>
        </is>
      </c>
      <c r="C20" s="8" t="inlineStr">
        <is>
          <t>각성의 시작</t>
        </is>
      </c>
      <c r="D20" s="8" t="inlineStr">
        <is>
          <t>용병 첫 각성</t>
        </is>
      </c>
      <c r="E20" s="8" t="inlineStr">
        <is>
          <t>골드 1,000</t>
        </is>
      </c>
      <c r="F20" s="8" t="inlineStr"/>
    </row>
    <row r="21">
      <c r="A21" s="9" t="n">
        <v>18</v>
      </c>
      <c r="B21" s="9" t="inlineStr">
        <is>
          <t>용병</t>
        </is>
      </c>
      <c r="C21" s="9" t="inlineStr">
        <is>
          <t>초월자</t>
        </is>
      </c>
      <c r="D21" s="9" t="inlineStr">
        <is>
          <t>용병 첫 초월</t>
        </is>
      </c>
      <c r="E21" s="9" t="inlineStr">
        <is>
          <t>다이아 100</t>
        </is>
      </c>
      <c r="F21" s="9" t="inlineStr"/>
    </row>
    <row r="22">
      <c r="A22" s="8" t="n">
        <v>19</v>
      </c>
      <c r="B22" s="8" t="inlineStr">
        <is>
          <t>용병</t>
        </is>
      </c>
      <c r="C22" s="8" t="inlineStr">
        <is>
          <t>수집가: 일반</t>
        </is>
      </c>
      <c r="D22" s="8" t="inlineStr">
        <is>
          <t>일반 등급 용병 전부 수집</t>
        </is>
      </c>
      <c r="E22" s="8" t="inlineStr">
        <is>
          <t>골드 2,000</t>
        </is>
      </c>
      <c r="F22" s="8" t="inlineStr"/>
    </row>
    <row r="23">
      <c r="A23" s="9" t="n">
        <v>20</v>
      </c>
      <c r="B23" s="9" t="inlineStr">
        <is>
          <t>용병</t>
        </is>
      </c>
      <c r="C23" s="9" t="inlineStr">
        <is>
          <t>수집가: 레어</t>
        </is>
      </c>
      <c r="D23" s="9" t="inlineStr">
        <is>
          <t>레어 등급 용병 전부 수집</t>
        </is>
      </c>
      <c r="E23" s="9" t="inlineStr">
        <is>
          <t>골드 5,000</t>
        </is>
      </c>
      <c r="F23" s="9" t="inlineStr"/>
    </row>
    <row r="24">
      <c r="A24" s="8" t="n">
        <v>21</v>
      </c>
      <c r="B24" s="8" t="inlineStr">
        <is>
          <t>용병</t>
        </is>
      </c>
      <c r="C24" s="8" t="inlineStr">
        <is>
          <t>수집가: 영웅</t>
        </is>
      </c>
      <c r="D24" s="8" t="inlineStr">
        <is>
          <t>영웅 등급 용병 전부 수집</t>
        </is>
      </c>
      <c r="E24" s="8" t="inlineStr">
        <is>
          <t>다이아 100</t>
        </is>
      </c>
      <c r="F24" s="8" t="inlineStr"/>
    </row>
    <row r="25">
      <c r="A25" s="9" t="n">
        <v>22</v>
      </c>
      <c r="B25" s="9" t="inlineStr">
        <is>
          <t>용병</t>
        </is>
      </c>
      <c r="C25" s="9" t="inlineStr">
        <is>
          <t>수집가: 전설</t>
        </is>
      </c>
      <c r="D25" s="9" t="inlineStr">
        <is>
          <t>전설 등급 용병 전부 수집</t>
        </is>
      </c>
      <c r="E25" s="9" t="inlineStr">
        <is>
          <t>다이아 300</t>
        </is>
      </c>
      <c r="F25" s="9" t="inlineStr"/>
    </row>
    <row r="26">
      <c r="A26" s="8" t="n">
        <v>23</v>
      </c>
      <c r="B26" s="8" t="inlineStr">
        <is>
          <t>용병</t>
        </is>
      </c>
      <c r="C26" s="8" t="inlineStr">
        <is>
          <t>합성 첫 성공</t>
        </is>
      </c>
      <c r="D26" s="8" t="inlineStr">
        <is>
          <t>용병 합성 1회 성공</t>
        </is>
      </c>
      <c r="E26" s="8" t="inlineStr">
        <is>
          <t>골드 1,500</t>
        </is>
      </c>
      <c r="F26" s="8" t="inlineStr"/>
    </row>
    <row r="27">
      <c r="A27" s="9" t="n">
        <v>24</v>
      </c>
      <c r="B27" s="9" t="inlineStr">
        <is>
          <t>용병</t>
        </is>
      </c>
      <c r="C27" s="9" t="inlineStr">
        <is>
          <t>합성 장인</t>
        </is>
      </c>
      <c r="D27" s="9" t="inlineStr">
        <is>
          <t>용병 합성 50회 성공</t>
        </is>
      </c>
      <c r="E27" s="9" t="inlineStr">
        <is>
          <t>칭호: 합성 장인</t>
        </is>
      </c>
      <c r="F27" s="9" t="inlineStr"/>
    </row>
    <row r="28">
      <c r="A28" s="8" t="n">
        <v>25</v>
      </c>
      <c r="B28" s="8" t="inlineStr">
        <is>
          <t>용병</t>
        </is>
      </c>
      <c r="C28" s="8" t="inlineStr">
        <is>
          <t>풀 강화</t>
        </is>
      </c>
      <c r="D28" s="8" t="inlineStr">
        <is>
          <t>용병 1체 풀 강화 달성</t>
        </is>
      </c>
      <c r="E28" s="8" t="inlineStr">
        <is>
          <t>다이아 150</t>
        </is>
      </c>
      <c r="F28" s="8" t="inlineStr"/>
    </row>
    <row r="29">
      <c r="A29" s="9" t="n">
        <v>26</v>
      </c>
      <c r="B29" s="9" t="inlineStr">
        <is>
          <t>용병</t>
        </is>
      </c>
      <c r="C29" s="9" t="inlineStr">
        <is>
          <t>5성 달성</t>
        </is>
      </c>
      <c r="D29" s="9" t="inlineStr">
        <is>
          <t>용병 1체 5성 달성</t>
        </is>
      </c>
      <c r="E29" s="9" t="inlineStr">
        <is>
          <t>골드 10,000</t>
        </is>
      </c>
      <c r="F29" s="9" t="inlineStr"/>
    </row>
    <row r="30">
      <c r="A30" s="8" t="n">
        <v>27</v>
      </c>
      <c r="B30" s="8" t="inlineStr">
        <is>
          <t>용병</t>
        </is>
      </c>
      <c r="C30" s="8" t="inlineStr">
        <is>
          <t>용병 군단</t>
        </is>
      </c>
      <c r="D30" s="8" t="inlineStr">
        <is>
          <t>동시 편성 용병 최대 달성</t>
        </is>
      </c>
      <c r="E30" s="8" t="inlineStr">
        <is>
          <t>칭호: 군단장</t>
        </is>
      </c>
      <c r="F30" s="8" t="inlineStr"/>
    </row>
    <row r="31">
      <c r="A31" s="9" t="n">
        <v>28</v>
      </c>
      <c r="B31" s="9" t="inlineStr">
        <is>
          <t>용병</t>
        </is>
      </c>
      <c r="C31" s="9" t="inlineStr">
        <is>
          <t>스킬 마스터</t>
        </is>
      </c>
      <c r="D31" s="9" t="inlineStr">
        <is>
          <t>용병 스킬 전부 해금</t>
        </is>
      </c>
      <c r="E31" s="9" t="inlineStr">
        <is>
          <t>스킬 포인트 5</t>
        </is>
      </c>
      <c r="F31" s="9" t="inlineStr"/>
    </row>
    <row r="32">
      <c r="A32" s="8" t="n">
        <v>29</v>
      </c>
      <c r="B32" s="8" t="inlineStr">
        <is>
          <t>용병</t>
        </is>
      </c>
      <c r="C32" s="8" t="inlineStr">
        <is>
          <t>전 등급 수집</t>
        </is>
      </c>
      <c r="D32" s="8" t="inlineStr">
        <is>
          <t>모든 등급 용병 1체 이상 보유</t>
        </is>
      </c>
      <c r="E32" s="8" t="inlineStr">
        <is>
          <t>다이아 200</t>
        </is>
      </c>
      <c r="F32" s="8" t="inlineStr"/>
    </row>
    <row r="33">
      <c r="A33" s="9" t="n">
        <v>30</v>
      </c>
      <c r="B33" s="9" t="inlineStr">
        <is>
          <t>용병</t>
        </is>
      </c>
      <c r="C33" s="9" t="inlineStr">
        <is>
          <t>최강의 용병</t>
        </is>
      </c>
      <c r="D33" s="9" t="inlineStr">
        <is>
          <t>용병 1체 전스탯 MAX</t>
        </is>
      </c>
      <c r="E33" s="9" t="inlineStr">
        <is>
          <t>칭호: 최강의 주인</t>
        </is>
      </c>
      <c r="F33" s="9" t="inlineStr"/>
    </row>
    <row r="34">
      <c r="A34" s="8" t="n">
        <v>31</v>
      </c>
      <c r="B34" s="8" t="inlineStr">
        <is>
          <t>공성전</t>
        </is>
      </c>
      <c r="C34" s="8" t="inlineStr">
        <is>
          <t>첫 공성전</t>
        </is>
      </c>
      <c r="D34" s="8" t="inlineStr">
        <is>
          <t>공성전 1회 참여</t>
        </is>
      </c>
      <c r="E34" s="8" t="inlineStr">
        <is>
          <t>골드 1,000</t>
        </is>
      </c>
      <c r="F34" s="8" t="inlineStr"/>
    </row>
    <row r="35">
      <c r="A35" s="9" t="n">
        <v>32</v>
      </c>
      <c r="B35" s="9" t="inlineStr">
        <is>
          <t>공성전</t>
        </is>
      </c>
      <c r="C35" s="9" t="inlineStr">
        <is>
          <t>공성 10승</t>
        </is>
      </c>
      <c r="D35" s="9" t="inlineStr">
        <is>
          <t>공성전 10회 승리</t>
        </is>
      </c>
      <c r="E35" s="9" t="inlineStr">
        <is>
          <t>골드 5,000</t>
        </is>
      </c>
      <c r="F35" s="9" t="inlineStr"/>
    </row>
    <row r="36">
      <c r="A36" s="8" t="n">
        <v>33</v>
      </c>
      <c r="B36" s="8" t="inlineStr">
        <is>
          <t>공성전</t>
        </is>
      </c>
      <c r="C36" s="8" t="inlineStr">
        <is>
          <t>철벽 방어</t>
        </is>
      </c>
      <c r="D36" s="8" t="inlineStr">
        <is>
          <t>공성전 방어 성공</t>
        </is>
      </c>
      <c r="E36" s="8" t="inlineStr">
        <is>
          <t>칭호: 철벽</t>
        </is>
      </c>
      <c r="F36" s="8" t="inlineStr"/>
    </row>
    <row r="37">
      <c r="A37" s="9" t="n">
        <v>34</v>
      </c>
      <c r="B37" s="9" t="inlineStr">
        <is>
          <t>공성전</t>
        </is>
      </c>
      <c r="C37" s="9" t="inlineStr">
        <is>
          <t>왕좌 점령</t>
        </is>
      </c>
      <c r="D37" s="9" t="inlineStr">
        <is>
          <t>왕좌를 점령</t>
        </is>
      </c>
      <c r="E37" s="9" t="inlineStr">
        <is>
          <t>다이아 200</t>
        </is>
      </c>
      <c r="F37" s="9" t="inlineStr"/>
    </row>
    <row r="38">
      <c r="A38" s="8" t="n">
        <v>35</v>
      </c>
      <c r="B38" s="8" t="inlineStr">
        <is>
          <t>공성전</t>
        </is>
      </c>
      <c r="C38" s="8" t="inlineStr">
        <is>
          <t>성벽 파괴자</t>
        </is>
      </c>
      <c r="D38" s="8" t="inlineStr">
        <is>
          <t>성벽 파괴 10회</t>
        </is>
      </c>
      <c r="E38" s="8" t="inlineStr">
        <is>
          <t>골드 3,000</t>
        </is>
      </c>
      <c r="F38" s="8" t="inlineStr"/>
    </row>
    <row r="39">
      <c r="A39" s="9" t="n">
        <v>36</v>
      </c>
      <c r="B39" s="9" t="inlineStr">
        <is>
          <t>공성전</t>
        </is>
      </c>
      <c r="C39" s="9" t="inlineStr">
        <is>
          <t>수성 장군</t>
        </is>
      </c>
      <c r="D39" s="9" t="inlineStr">
        <is>
          <t>공성전 방어 10회 성공</t>
        </is>
      </c>
      <c r="E39" s="9" t="inlineStr">
        <is>
          <t>칭호: 수성 장군</t>
        </is>
      </c>
      <c r="F39" s="9" t="inlineStr"/>
    </row>
    <row r="40">
      <c r="A40" s="8" t="n">
        <v>37</v>
      </c>
      <c r="B40" s="8" t="inlineStr">
        <is>
          <t>공성전</t>
        </is>
      </c>
      <c r="C40" s="8" t="inlineStr">
        <is>
          <t>연속 점령</t>
        </is>
      </c>
      <c r="D40" s="8" t="inlineStr">
        <is>
          <t>3연속 공성 승리</t>
        </is>
      </c>
      <c r="E40" s="8" t="inlineStr">
        <is>
          <t>다이아 150</t>
        </is>
      </c>
      <c r="F40" s="8" t="inlineStr"/>
    </row>
    <row r="41">
      <c r="A41" s="9" t="n">
        <v>38</v>
      </c>
      <c r="B41" s="9" t="inlineStr">
        <is>
          <t>공성전</t>
        </is>
      </c>
      <c r="C41" s="9" t="inlineStr">
        <is>
          <t>공성 MVP</t>
        </is>
      </c>
      <c r="D41" s="9" t="inlineStr">
        <is>
          <t>공성전 MVP 획득</t>
        </is>
      </c>
      <c r="E41" s="9" t="inlineStr">
        <is>
          <t>칭호: 공성왕</t>
        </is>
      </c>
      <c r="F41" s="9" t="inlineStr"/>
    </row>
    <row r="42">
      <c r="A42" s="8" t="n">
        <v>39</v>
      </c>
      <c r="B42" s="8" t="inlineStr">
        <is>
          <t>공성전</t>
        </is>
      </c>
      <c r="C42" s="8" t="inlineStr">
        <is>
          <t>요새 건설</t>
        </is>
      </c>
      <c r="D42" s="8" t="inlineStr">
        <is>
          <t>요새 1개 완성</t>
        </is>
      </c>
      <c r="E42" s="8" t="inlineStr">
        <is>
          <t>골드 5,000</t>
        </is>
      </c>
      <c r="F42" s="8" t="inlineStr"/>
    </row>
    <row r="43">
      <c r="A43" s="9" t="n">
        <v>40</v>
      </c>
      <c r="B43" s="9" t="inlineStr">
        <is>
          <t>공성전</t>
        </is>
      </c>
      <c r="C43" s="9" t="inlineStr">
        <is>
          <t>천하통일</t>
        </is>
      </c>
      <c r="D43" s="9" t="inlineStr">
        <is>
          <t>모든 거점 동시 점령</t>
        </is>
      </c>
      <c r="E43" s="9" t="inlineStr">
        <is>
          <t>칭호: 천하통일</t>
        </is>
      </c>
      <c r="F43" s="9" t="inlineStr"/>
    </row>
    <row r="44">
      <c r="A44" s="8" t="n">
        <v>41</v>
      </c>
      <c r="B44" s="8" t="inlineStr">
        <is>
          <t>무역</t>
        </is>
      </c>
      <c r="C44" s="8" t="inlineStr">
        <is>
          <t>첫 무역</t>
        </is>
      </c>
      <c r="D44" s="8" t="inlineStr">
        <is>
          <t>무역 1회 완료</t>
        </is>
      </c>
      <c r="E44" s="8" t="inlineStr">
        <is>
          <t>골드 500</t>
        </is>
      </c>
      <c r="F44" s="8" t="inlineStr"/>
    </row>
    <row r="45">
      <c r="A45" s="9" t="n">
        <v>42</v>
      </c>
      <c r="B45" s="9" t="inlineStr">
        <is>
          <t>무역</t>
        </is>
      </c>
      <c r="C45" s="9" t="inlineStr">
        <is>
          <t>부자의 길</t>
        </is>
      </c>
      <c r="D45" s="9" t="inlineStr">
        <is>
          <t>무역 수익 10만G 달성</t>
        </is>
      </c>
      <c r="E45" s="9" t="inlineStr">
        <is>
          <t>칭호: 거상</t>
        </is>
      </c>
      <c r="F45" s="9" t="inlineStr"/>
    </row>
    <row r="46">
      <c r="A46" s="8" t="n">
        <v>43</v>
      </c>
      <c r="B46" s="8" t="inlineStr">
        <is>
          <t>무역</t>
        </is>
      </c>
      <c r="C46" s="8" t="inlineStr">
        <is>
          <t>약탈 성공</t>
        </is>
      </c>
      <c r="D46" s="8" t="inlineStr">
        <is>
          <t>무역 약탈 1회 성공</t>
        </is>
      </c>
      <c r="E46" s="8" t="inlineStr">
        <is>
          <t>골드 2,000</t>
        </is>
      </c>
      <c r="F46" s="8" t="inlineStr"/>
    </row>
    <row r="47">
      <c r="A47" s="9" t="n">
        <v>44</v>
      </c>
      <c r="B47" s="9" t="inlineStr">
        <is>
          <t>무역</t>
        </is>
      </c>
      <c r="C47" s="9" t="inlineStr">
        <is>
          <t>약탈 방어</t>
        </is>
      </c>
      <c r="D47" s="9" t="inlineStr">
        <is>
          <t>무역 약탈 방어 성공</t>
        </is>
      </c>
      <c r="E47" s="9" t="inlineStr">
        <is>
          <t>골드 2,000</t>
        </is>
      </c>
      <c r="F47" s="9" t="inlineStr"/>
    </row>
    <row r="48">
      <c r="A48" s="8" t="n">
        <v>45</v>
      </c>
      <c r="B48" s="8" t="inlineStr">
        <is>
          <t>무역</t>
        </is>
      </c>
      <c r="C48" s="8" t="inlineStr">
        <is>
          <t>장거리 무역</t>
        </is>
      </c>
      <c r="D48" s="8" t="inlineStr">
        <is>
          <t>최장거리 무역로 완주</t>
        </is>
      </c>
      <c r="E48" s="8" t="inlineStr">
        <is>
          <t>다이아 100</t>
        </is>
      </c>
      <c r="F48" s="8" t="inlineStr"/>
    </row>
    <row r="49">
      <c r="A49" s="9" t="n">
        <v>46</v>
      </c>
      <c r="B49" s="9" t="inlineStr">
        <is>
          <t>무역</t>
        </is>
      </c>
      <c r="C49" s="9" t="inlineStr">
        <is>
          <t>무역왕</t>
        </is>
      </c>
      <c r="D49" s="9" t="inlineStr">
        <is>
          <t>무역 100회 완료</t>
        </is>
      </c>
      <c r="E49" s="9" t="inlineStr">
        <is>
          <t>칭호: 무역왕</t>
        </is>
      </c>
      <c r="F49" s="9" t="inlineStr"/>
    </row>
    <row r="50">
      <c r="A50" s="8" t="n">
        <v>47</v>
      </c>
      <c r="B50" s="8" t="inlineStr">
        <is>
          <t>무역</t>
        </is>
      </c>
      <c r="C50" s="8" t="inlineStr">
        <is>
          <t>희귀 물품 거래</t>
        </is>
      </c>
      <c r="D50" s="8" t="inlineStr">
        <is>
          <t>희귀 등급 물품 거래</t>
        </is>
      </c>
      <c r="E50" s="8" t="inlineStr">
        <is>
          <t>골드 5,000</t>
        </is>
      </c>
      <c r="F50" s="8" t="inlineStr"/>
    </row>
    <row r="51">
      <c r="A51" s="9" t="n">
        <v>48</v>
      </c>
      <c r="B51" s="9" t="inlineStr">
        <is>
          <t>무역</t>
        </is>
      </c>
      <c r="C51" s="9" t="inlineStr">
        <is>
          <t>무역 길드 가입</t>
        </is>
      </c>
      <c r="D51" s="9" t="inlineStr">
        <is>
          <t>무역 길드에 가입</t>
        </is>
      </c>
      <c r="E51" s="9" t="inlineStr">
        <is>
          <t>골드 1,000</t>
        </is>
      </c>
      <c r="F51" s="9" t="inlineStr"/>
    </row>
    <row r="52">
      <c r="A52" s="8" t="n">
        <v>49</v>
      </c>
      <c r="B52" s="8" t="inlineStr">
        <is>
          <t>무역</t>
        </is>
      </c>
      <c r="C52" s="8" t="inlineStr">
        <is>
          <t>밀수꾼</t>
        </is>
      </c>
      <c r="D52" s="8" t="inlineStr">
        <is>
          <t>금지 품목 거래 성공</t>
        </is>
      </c>
      <c r="E52" s="8" t="inlineStr">
        <is>
          <t>다이아 50</t>
        </is>
      </c>
      <c r="F52" s="8" t="inlineStr">
        <is>
          <t>○</t>
        </is>
      </c>
    </row>
    <row r="53">
      <c r="A53" s="9" t="n">
        <v>50</v>
      </c>
      <c r="B53" s="9" t="inlineStr">
        <is>
          <t>무역</t>
        </is>
      </c>
      <c r="C53" s="9" t="inlineStr">
        <is>
          <t>대상단</t>
        </is>
      </c>
      <c r="D53" s="9" t="inlineStr">
        <is>
          <t>무역 캐러밴 최대 확장</t>
        </is>
      </c>
      <c r="E53" s="9" t="inlineStr">
        <is>
          <t>칭호: 대상단주</t>
        </is>
      </c>
      <c r="F53" s="9" t="inlineStr"/>
    </row>
    <row r="54">
      <c r="A54" s="8" t="n">
        <v>51</v>
      </c>
      <c r="B54" s="8" t="inlineStr">
        <is>
          <t>포획</t>
        </is>
      </c>
      <c r="C54" s="8" t="inlineStr">
        <is>
          <t>첫 포획</t>
        </is>
      </c>
      <c r="D54" s="8" t="inlineStr">
        <is>
          <t>몬스터 1마리 포획</t>
        </is>
      </c>
      <c r="E54" s="8" t="inlineStr">
        <is>
          <t>골드 500</t>
        </is>
      </c>
      <c r="F54" s="8" t="inlineStr"/>
    </row>
    <row r="55">
      <c r="A55" s="9" t="n">
        <v>52</v>
      </c>
      <c r="B55" s="9" t="inlineStr">
        <is>
          <t>포획</t>
        </is>
      </c>
      <c r="C55" s="9" t="inlineStr">
        <is>
          <t>진화 성공</t>
        </is>
      </c>
      <c r="D55" s="9" t="inlineStr">
        <is>
          <t>포획 몬스터 첫 진화</t>
        </is>
      </c>
      <c r="E55" s="9" t="inlineStr">
        <is>
          <t>골드 1,500</t>
        </is>
      </c>
      <c r="F55" s="9" t="inlineStr"/>
    </row>
    <row r="56">
      <c r="A56" s="8" t="n">
        <v>53</v>
      </c>
      <c r="B56" s="8" t="inlineStr">
        <is>
          <t>포획</t>
        </is>
      </c>
      <c r="C56" s="8" t="inlineStr">
        <is>
          <t>교배 성공</t>
        </is>
      </c>
      <c r="D56" s="8" t="inlineStr">
        <is>
          <t>몬스터 교배 1회 성공</t>
        </is>
      </c>
      <c r="E56" s="8" t="inlineStr">
        <is>
          <t>다이아 50</t>
        </is>
      </c>
      <c r="F56" s="8" t="inlineStr"/>
    </row>
    <row r="57">
      <c r="A57" s="9" t="n">
        <v>54</v>
      </c>
      <c r="B57" s="9" t="inlineStr">
        <is>
          <t>포획</t>
        </is>
      </c>
      <c r="C57" s="9" t="inlineStr">
        <is>
          <t>변신 마스터</t>
        </is>
      </c>
      <c r="D57" s="9" t="inlineStr">
        <is>
          <t>변신 몬스터 획득</t>
        </is>
      </c>
      <c r="E57" s="9" t="inlineStr">
        <is>
          <t>칭호: 변신술사</t>
        </is>
      </c>
      <c r="F57" s="9" t="inlineStr"/>
    </row>
    <row r="58">
      <c r="A58" s="8" t="n">
        <v>55</v>
      </c>
      <c r="B58" s="8" t="inlineStr">
        <is>
          <t>포획</t>
        </is>
      </c>
      <c r="C58" s="8" t="inlineStr">
        <is>
          <t>도감 10%</t>
        </is>
      </c>
      <c r="D58" s="8" t="inlineStr">
        <is>
          <t>몬스터 도감 10% 완성</t>
        </is>
      </c>
      <c r="E58" s="8" t="inlineStr">
        <is>
          <t>골드 2,000</t>
        </is>
      </c>
      <c r="F58" s="8" t="inlineStr"/>
    </row>
    <row r="59">
      <c r="A59" s="9" t="n">
        <v>56</v>
      </c>
      <c r="B59" s="9" t="inlineStr">
        <is>
          <t>포획</t>
        </is>
      </c>
      <c r="C59" s="9" t="inlineStr">
        <is>
          <t>도감 50%</t>
        </is>
      </c>
      <c r="D59" s="9" t="inlineStr">
        <is>
          <t>몬스터 도감 50% 완성</t>
        </is>
      </c>
      <c r="E59" s="9" t="inlineStr">
        <is>
          <t>다이아 100</t>
        </is>
      </c>
      <c r="F59" s="9" t="inlineStr"/>
    </row>
    <row r="60">
      <c r="A60" s="8" t="n">
        <v>57</v>
      </c>
      <c r="B60" s="8" t="inlineStr">
        <is>
          <t>포획</t>
        </is>
      </c>
      <c r="C60" s="8" t="inlineStr">
        <is>
          <t>도감 완성</t>
        </is>
      </c>
      <c r="D60" s="8" t="inlineStr">
        <is>
          <t>몬스터 도감 100% 완성</t>
        </is>
      </c>
      <c r="E60" s="8" t="inlineStr">
        <is>
          <t>칭호: 도감 마스터</t>
        </is>
      </c>
      <c r="F60" s="8" t="inlineStr"/>
    </row>
    <row r="61">
      <c r="A61" s="9" t="n">
        <v>58</v>
      </c>
      <c r="B61" s="9" t="inlineStr">
        <is>
          <t>포획</t>
        </is>
      </c>
      <c r="C61" s="9" t="inlineStr">
        <is>
          <t>전설 포획</t>
        </is>
      </c>
      <c r="D61" s="9" t="inlineStr">
        <is>
          <t>전설 등급 몬스터 포획</t>
        </is>
      </c>
      <c r="E61" s="9" t="inlineStr">
        <is>
          <t>다이아 200</t>
        </is>
      </c>
      <c r="F61" s="9" t="inlineStr"/>
    </row>
    <row r="62">
      <c r="A62" s="8" t="n">
        <v>59</v>
      </c>
      <c r="B62" s="8" t="inlineStr">
        <is>
          <t>포획</t>
        </is>
      </c>
      <c r="C62" s="8" t="inlineStr">
        <is>
          <t>최종 진화</t>
        </is>
      </c>
      <c r="D62" s="8" t="inlineStr">
        <is>
          <t>몬스터 최종 진화 달성</t>
        </is>
      </c>
      <c r="E62" s="8" t="inlineStr">
        <is>
          <t>다이아 150</t>
        </is>
      </c>
      <c r="F62" s="8" t="inlineStr"/>
    </row>
    <row r="63">
      <c r="A63" s="9" t="n">
        <v>60</v>
      </c>
      <c r="B63" s="9" t="inlineStr">
        <is>
          <t>포획</t>
        </is>
      </c>
      <c r="C63" s="9" t="inlineStr">
        <is>
          <t>몬스터 목장</t>
        </is>
      </c>
      <c r="D63" s="9" t="inlineStr">
        <is>
          <t>포획 몬스터 20마리 보유</t>
        </is>
      </c>
      <c r="E63" s="9" t="inlineStr">
        <is>
          <t>골드 5,000</t>
        </is>
      </c>
      <c r="F63" s="9" t="inlineStr"/>
    </row>
    <row r="64">
      <c r="A64" s="8" t="n">
        <v>61</v>
      </c>
      <c r="B64" s="8" t="inlineStr">
        <is>
          <t>PvP</t>
        </is>
      </c>
      <c r="C64" s="8" t="inlineStr">
        <is>
          <t>아레나 입장</t>
        </is>
      </c>
      <c r="D64" s="8" t="inlineStr">
        <is>
          <t>아레나 첫 참여</t>
        </is>
      </c>
      <c r="E64" s="8" t="inlineStr">
        <is>
          <t>골드 500</t>
        </is>
      </c>
      <c r="F64" s="8" t="inlineStr"/>
    </row>
    <row r="65">
      <c r="A65" s="9" t="n">
        <v>62</v>
      </c>
      <c r="B65" s="9" t="inlineStr">
        <is>
          <t>PvP</t>
        </is>
      </c>
      <c r="C65" s="9" t="inlineStr">
        <is>
          <t>브론즈 달성</t>
        </is>
      </c>
      <c r="D65" s="9" t="inlineStr">
        <is>
          <t>아레나 브론즈 등급 달성</t>
        </is>
      </c>
      <c r="E65" s="9" t="inlineStr">
        <is>
          <t>골드 1,000</t>
        </is>
      </c>
      <c r="F65" s="9" t="inlineStr"/>
    </row>
    <row r="66">
      <c r="A66" s="8" t="n">
        <v>63</v>
      </c>
      <c r="B66" s="8" t="inlineStr">
        <is>
          <t>PvP</t>
        </is>
      </c>
      <c r="C66" s="8" t="inlineStr">
        <is>
          <t>실버 달성</t>
        </is>
      </c>
      <c r="D66" s="8" t="inlineStr">
        <is>
          <t>아레나 실버 등급 달성</t>
        </is>
      </c>
      <c r="E66" s="8" t="inlineStr">
        <is>
          <t>골드 3,000</t>
        </is>
      </c>
      <c r="F66" s="8" t="inlineStr"/>
    </row>
    <row r="67">
      <c r="A67" s="9" t="n">
        <v>64</v>
      </c>
      <c r="B67" s="9" t="inlineStr">
        <is>
          <t>PvP</t>
        </is>
      </c>
      <c r="C67" s="9" t="inlineStr">
        <is>
          <t>골드 달성</t>
        </is>
      </c>
      <c r="D67" s="9" t="inlineStr">
        <is>
          <t>아레나 골드 등급 달성</t>
        </is>
      </c>
      <c r="E67" s="9" t="inlineStr">
        <is>
          <t>다이아 50</t>
        </is>
      </c>
      <c r="F67" s="9" t="inlineStr"/>
    </row>
    <row r="68">
      <c r="A68" s="8" t="n">
        <v>65</v>
      </c>
      <c r="B68" s="8" t="inlineStr">
        <is>
          <t>PvP</t>
        </is>
      </c>
      <c r="C68" s="8" t="inlineStr">
        <is>
          <t>플래티넘 달성</t>
        </is>
      </c>
      <c r="D68" s="8" t="inlineStr">
        <is>
          <t>아레나 플래티넘 등급 달성</t>
        </is>
      </c>
      <c r="E68" s="8" t="inlineStr">
        <is>
          <t>다이아 100</t>
        </is>
      </c>
      <c r="F68" s="8" t="inlineStr"/>
    </row>
    <row r="69">
      <c r="A69" s="9" t="n">
        <v>66</v>
      </c>
      <c r="B69" s="9" t="inlineStr">
        <is>
          <t>PvP</t>
        </is>
      </c>
      <c r="C69" s="9" t="inlineStr">
        <is>
          <t>다이아 달성</t>
        </is>
      </c>
      <c r="D69" s="9" t="inlineStr">
        <is>
          <t>아레나 다이아 등급 달성</t>
        </is>
      </c>
      <c r="E69" s="9" t="inlineStr">
        <is>
          <t>다이아 200</t>
        </is>
      </c>
      <c r="F69" s="9" t="inlineStr"/>
    </row>
    <row r="70">
      <c r="A70" s="8" t="n">
        <v>67</v>
      </c>
      <c r="B70" s="8" t="inlineStr">
        <is>
          <t>PvP</t>
        </is>
      </c>
      <c r="C70" s="8" t="inlineStr">
        <is>
          <t>챔피언</t>
        </is>
      </c>
      <c r="D70" s="8" t="inlineStr">
        <is>
          <t>아레나 챔피언 등급 달성</t>
        </is>
      </c>
      <c r="E70" s="8" t="inlineStr">
        <is>
          <t>칭호: 챔피언</t>
        </is>
      </c>
      <c r="F70" s="8" t="inlineStr"/>
    </row>
    <row r="71">
      <c r="A71" s="9" t="n">
        <v>68</v>
      </c>
      <c r="B71" s="9" t="inlineStr">
        <is>
          <t>PvP</t>
        </is>
      </c>
      <c r="C71" s="9" t="inlineStr">
        <is>
          <t>연승왕</t>
        </is>
      </c>
      <c r="D71" s="9" t="inlineStr">
        <is>
          <t>아레나 20연승 달성</t>
        </is>
      </c>
      <c r="E71" s="9" t="inlineStr">
        <is>
          <t>칭호: 연승왕</t>
        </is>
      </c>
      <c r="F71" s="9" t="inlineStr"/>
    </row>
    <row r="72">
      <c r="A72" s="8" t="n">
        <v>69</v>
      </c>
      <c r="B72" s="8" t="inlineStr">
        <is>
          <t>탐험</t>
        </is>
      </c>
      <c r="C72" s="8" t="inlineStr">
        <is>
          <t>탐험의 시작</t>
        </is>
      </c>
      <c r="D72" s="8" t="inlineStr">
        <is>
          <t>첫 번째 지역 발견</t>
        </is>
      </c>
      <c r="E72" s="8" t="inlineStr">
        <is>
          <t>골드 500</t>
        </is>
      </c>
      <c r="F72" s="8" t="inlineStr"/>
    </row>
    <row r="73">
      <c r="A73" s="9" t="n">
        <v>70</v>
      </c>
      <c r="B73" s="9" t="inlineStr">
        <is>
          <t>탐험</t>
        </is>
      </c>
      <c r="C73" s="9" t="inlineStr">
        <is>
          <t>지역 탐험가</t>
        </is>
      </c>
      <c r="D73" s="9" t="inlineStr">
        <is>
          <t>지역 10곳 발견</t>
        </is>
      </c>
      <c r="E73" s="9" t="inlineStr">
        <is>
          <t>골드 2,000</t>
        </is>
      </c>
      <c r="F73" s="9" t="inlineStr"/>
    </row>
    <row r="74">
      <c r="A74" s="8" t="n">
        <v>71</v>
      </c>
      <c r="B74" s="8" t="inlineStr">
        <is>
          <t>탐험</t>
        </is>
      </c>
      <c r="C74" s="8" t="inlineStr">
        <is>
          <t>비밀 지역 발견</t>
        </is>
      </c>
      <c r="D74" s="8" t="inlineStr">
        <is>
          <t>비밀 지역 1곳 발견</t>
        </is>
      </c>
      <c r="E74" s="8" t="inlineStr">
        <is>
          <t>다이아 100</t>
        </is>
      </c>
      <c r="F74" s="8" t="inlineStr"/>
    </row>
    <row r="75">
      <c r="A75" s="9" t="n">
        <v>72</v>
      </c>
      <c r="B75" s="9" t="inlineStr">
        <is>
          <t>탐험</t>
        </is>
      </c>
      <c r="C75" s="9" t="inlineStr">
        <is>
          <t>모든 지역 발견</t>
        </is>
      </c>
      <c r="D75" s="9" t="inlineStr">
        <is>
          <t>전체 지역 발견 완료</t>
        </is>
      </c>
      <c r="E75" s="9" t="inlineStr">
        <is>
          <t>칭호: 대탐험가</t>
        </is>
      </c>
      <c r="F75" s="9" t="inlineStr"/>
    </row>
    <row r="76">
      <c r="A76" s="8" t="n">
        <v>73</v>
      </c>
      <c r="B76" s="8" t="inlineStr">
        <is>
          <t>탐험</t>
        </is>
      </c>
      <c r="C76" s="8" t="inlineStr">
        <is>
          <t>던전 클리어</t>
        </is>
      </c>
      <c r="D76" s="8" t="inlineStr">
        <is>
          <t>던전 첫 클리어</t>
        </is>
      </c>
      <c r="E76" s="8" t="inlineStr">
        <is>
          <t>골드 1,500</t>
        </is>
      </c>
      <c r="F76" s="8" t="inlineStr"/>
    </row>
    <row r="77">
      <c r="A77" s="9" t="n">
        <v>74</v>
      </c>
      <c r="B77" s="9" t="inlineStr">
        <is>
          <t>탐험</t>
        </is>
      </c>
      <c r="C77" s="9" t="inlineStr">
        <is>
          <t>숨겨진 보스</t>
        </is>
      </c>
      <c r="D77" s="9" t="inlineStr">
        <is>
          <t>히든 보스 발견</t>
        </is>
      </c>
      <c r="E77" s="9" t="inlineStr">
        <is>
          <t>다이아 50</t>
        </is>
      </c>
      <c r="F77" s="9" t="inlineStr">
        <is>
          <t>○</t>
        </is>
      </c>
    </row>
    <row r="78">
      <c r="A78" s="8" t="n">
        <v>75</v>
      </c>
      <c r="B78" s="8" t="inlineStr">
        <is>
          <t>탐험</t>
        </is>
      </c>
      <c r="C78" s="8" t="inlineStr">
        <is>
          <t>세계의 끝</t>
        </is>
      </c>
      <c r="D78" s="8" t="inlineStr">
        <is>
          <t>맵 끝자리 도달</t>
        </is>
      </c>
      <c r="E78" s="8" t="inlineStr">
        <is>
          <t>칭호: 세계의 끝</t>
        </is>
      </c>
      <c r="F78" s="8" t="inlineStr">
        <is>
          <t>○</t>
        </is>
      </c>
    </row>
    <row r="79">
      <c r="A79" s="9" t="n">
        <v>76</v>
      </c>
      <c r="B79" s="9" t="inlineStr">
        <is>
          <t>탐험</t>
        </is>
      </c>
      <c r="C79" s="9" t="inlineStr">
        <is>
          <t>지하 탐사</t>
        </is>
      </c>
      <c r="D79" s="9" t="inlineStr">
        <is>
          <t>지하 던전 전층 클리어</t>
        </is>
      </c>
      <c r="E79" s="9" t="inlineStr">
        <is>
          <t>다이아 150</t>
        </is>
      </c>
      <c r="F79" s="9" t="inlineStr"/>
    </row>
    <row r="80">
      <c r="A80" s="8" t="n">
        <v>77</v>
      </c>
      <c r="B80" s="8" t="inlineStr">
        <is>
          <t>스토리</t>
        </is>
      </c>
      <c r="C80" s="8" t="inlineStr">
        <is>
          <t>서막</t>
        </is>
      </c>
      <c r="D80" s="8" t="inlineStr">
        <is>
          <t>프롤로그 완료</t>
        </is>
      </c>
      <c r="E80" s="8" t="inlineStr">
        <is>
          <t>골드 500</t>
        </is>
      </c>
      <c r="F80" s="8" t="inlineStr"/>
    </row>
    <row r="81">
      <c r="A81" s="9" t="n">
        <v>78</v>
      </c>
      <c r="B81" s="9" t="inlineStr">
        <is>
          <t>스토리</t>
        </is>
      </c>
      <c r="C81" s="9" t="inlineStr">
        <is>
          <t>1장 완료</t>
        </is>
      </c>
      <c r="D81" s="9" t="inlineStr">
        <is>
          <t>메인 퀘스트 1장 완료</t>
        </is>
      </c>
      <c r="E81" s="9" t="inlineStr">
        <is>
          <t>골드 1,000</t>
        </is>
      </c>
      <c r="F81" s="9" t="inlineStr"/>
    </row>
    <row r="82">
      <c r="A82" s="8" t="n">
        <v>79</v>
      </c>
      <c r="B82" s="8" t="inlineStr">
        <is>
          <t>스토리</t>
        </is>
      </c>
      <c r="C82" s="8" t="inlineStr">
        <is>
          <t>2장 완료</t>
        </is>
      </c>
      <c r="D82" s="8" t="inlineStr">
        <is>
          <t>메인 퀘스트 2장 완료</t>
        </is>
      </c>
      <c r="E82" s="8" t="inlineStr">
        <is>
          <t>골드 2,000</t>
        </is>
      </c>
      <c r="F82" s="8" t="inlineStr"/>
    </row>
    <row r="83">
      <c r="A83" s="9" t="n">
        <v>80</v>
      </c>
      <c r="B83" s="9" t="inlineStr">
        <is>
          <t>스토리</t>
        </is>
      </c>
      <c r="C83" s="9" t="inlineStr">
        <is>
          <t>3장 완료</t>
        </is>
      </c>
      <c r="D83" s="9" t="inlineStr">
        <is>
          <t>메인 퀘스트 3장 완료</t>
        </is>
      </c>
      <c r="E83" s="9" t="inlineStr">
        <is>
          <t>다이아 50</t>
        </is>
      </c>
      <c r="F83" s="9" t="inlineStr"/>
    </row>
    <row r="84">
      <c r="A84" s="8" t="n">
        <v>81</v>
      </c>
      <c r="B84" s="8" t="inlineStr">
        <is>
          <t>스토리</t>
        </is>
      </c>
      <c r="C84" s="8" t="inlineStr">
        <is>
          <t>4장 완료</t>
        </is>
      </c>
      <c r="D84" s="8" t="inlineStr">
        <is>
          <t>메인 퀘스트 4장 완료</t>
        </is>
      </c>
      <c r="E84" s="8" t="inlineStr">
        <is>
          <t>다이아 100</t>
        </is>
      </c>
      <c r="F84" s="8" t="inlineStr"/>
    </row>
    <row r="85">
      <c r="A85" s="9" t="n">
        <v>82</v>
      </c>
      <c r="B85" s="9" t="inlineStr">
        <is>
          <t>스토리</t>
        </is>
      </c>
      <c r="C85" s="9" t="inlineStr">
        <is>
          <t>최종장 완료</t>
        </is>
      </c>
      <c r="D85" s="9" t="inlineStr">
        <is>
          <t>메인 퀘스트 최종장 완료</t>
        </is>
      </c>
      <c r="E85" s="9" t="inlineStr">
        <is>
          <t>칭호: 영웅</t>
        </is>
      </c>
      <c r="F85" s="9" t="inlineStr"/>
    </row>
    <row r="86">
      <c r="A86" s="8" t="n">
        <v>83</v>
      </c>
      <c r="B86" s="8" t="inlineStr">
        <is>
          <t>스토리</t>
        </is>
      </c>
      <c r="C86" s="8" t="inlineStr">
        <is>
          <t>진엔딩</t>
        </is>
      </c>
      <c r="D86" s="8" t="inlineStr">
        <is>
          <t>히든 엔딩 조건 달성</t>
        </is>
      </c>
      <c r="E86" s="8" t="inlineStr">
        <is>
          <t>칭호: 진정한 영웅</t>
        </is>
      </c>
      <c r="F86" s="8" t="inlineStr">
        <is>
          <t>○</t>
        </is>
      </c>
    </row>
    <row r="87">
      <c r="A87" s="9" t="n">
        <v>84</v>
      </c>
      <c r="B87" s="9" t="inlineStr">
        <is>
          <t>스토리</t>
        </is>
      </c>
      <c r="C87" s="9" t="inlineStr">
        <is>
          <t>외전 완료</t>
        </is>
      </c>
      <c r="D87" s="9" t="inlineStr">
        <is>
          <t>외전 퀘스트 전부 완료</t>
        </is>
      </c>
      <c r="E87" s="9" t="inlineStr">
        <is>
          <t>다이아 150</t>
        </is>
      </c>
      <c r="F87" s="9" t="inlineStr"/>
    </row>
    <row r="88">
      <c r="A88" s="8" t="n">
        <v>85</v>
      </c>
      <c r="B88" s="8" t="inlineStr">
        <is>
          <t>생활</t>
        </is>
      </c>
      <c r="C88" s="8" t="inlineStr">
        <is>
          <t>첫 낚시</t>
        </is>
      </c>
      <c r="D88" s="8" t="inlineStr">
        <is>
          <t>낚시 1회 성공</t>
        </is>
      </c>
      <c r="E88" s="8" t="inlineStr">
        <is>
          <t>골드 300</t>
        </is>
      </c>
      <c r="F88" s="8" t="inlineStr"/>
    </row>
    <row r="89">
      <c r="A89" s="9" t="n">
        <v>86</v>
      </c>
      <c r="B89" s="9" t="inlineStr">
        <is>
          <t>생활</t>
        </is>
      </c>
      <c r="C89" s="9" t="inlineStr">
        <is>
          <t>낚시왕</t>
        </is>
      </c>
      <c r="D89" s="9" t="inlineStr">
        <is>
          <t>물고기 30종 수집</t>
        </is>
      </c>
      <c r="E89" s="9" t="inlineStr">
        <is>
          <t>칭호: 낚시왕</t>
        </is>
      </c>
      <c r="F89" s="9" t="inlineStr"/>
    </row>
    <row r="90">
      <c r="A90" s="8" t="n">
        <v>87</v>
      </c>
      <c r="B90" s="8" t="inlineStr">
        <is>
          <t>생활</t>
        </is>
      </c>
      <c r="C90" s="8" t="inlineStr">
        <is>
          <t>첫 요리</t>
        </is>
      </c>
      <c r="D90" s="8" t="inlineStr">
        <is>
          <t>요리 1회 성공</t>
        </is>
      </c>
      <c r="E90" s="8" t="inlineStr">
        <is>
          <t>골드 300</t>
        </is>
      </c>
      <c r="F90" s="8" t="inlineStr"/>
    </row>
    <row r="91">
      <c r="A91" s="9" t="n">
        <v>88</v>
      </c>
      <c r="B91" s="9" t="inlineStr">
        <is>
          <t>생활</t>
        </is>
      </c>
      <c r="C91" s="9" t="inlineStr">
        <is>
          <t>요리 대가</t>
        </is>
      </c>
      <c r="D91" s="9" t="inlineStr">
        <is>
          <t>요리 레시피 전부 해금</t>
        </is>
      </c>
      <c r="E91" s="9" t="inlineStr">
        <is>
          <t>칭호: 요리 대가</t>
        </is>
      </c>
      <c r="F91" s="9" t="inlineStr"/>
    </row>
    <row r="92">
      <c r="A92" s="8" t="n">
        <v>89</v>
      </c>
      <c r="B92" s="8" t="inlineStr">
        <is>
          <t>생활</t>
        </is>
      </c>
      <c r="C92" s="8" t="inlineStr">
        <is>
          <t>정원 개설</t>
        </is>
      </c>
      <c r="D92" s="8" t="inlineStr">
        <is>
          <t>정원 첫 개설</t>
        </is>
      </c>
      <c r="E92" s="8" t="inlineStr">
        <is>
          <t>골드 500</t>
        </is>
      </c>
      <c r="F92" s="8" t="inlineStr"/>
    </row>
    <row r="93">
      <c r="A93" s="9" t="n">
        <v>90</v>
      </c>
      <c r="B93" s="9" t="inlineStr">
        <is>
          <t>생활</t>
        </is>
      </c>
      <c r="C93" s="9" t="inlineStr">
        <is>
          <t>만개의 정원</t>
        </is>
      </c>
      <c r="D93" s="9" t="inlineStr">
        <is>
          <t>정원 꽃 전종 수집</t>
        </is>
      </c>
      <c r="E93" s="9" t="inlineStr">
        <is>
          <t>칭호: 정원사</t>
        </is>
      </c>
      <c r="F93" s="9" t="inlineStr"/>
    </row>
    <row r="94">
      <c r="A94" s="8" t="n">
        <v>91</v>
      </c>
      <c r="B94" s="8" t="inlineStr">
        <is>
          <t>생활</t>
        </is>
      </c>
      <c r="C94" s="8" t="inlineStr">
        <is>
          <t>가구 수집가</t>
        </is>
      </c>
      <c r="D94" s="8" t="inlineStr">
        <is>
          <t>가구 50종 수집</t>
        </is>
      </c>
      <c r="E94" s="8" t="inlineStr">
        <is>
          <t>골드 3,000</t>
        </is>
      </c>
      <c r="F94" s="8" t="inlineStr"/>
    </row>
    <row r="95">
      <c r="A95" s="9" t="n">
        <v>92</v>
      </c>
      <c r="B95" s="9" t="inlineStr">
        <is>
          <t>생활</t>
        </is>
      </c>
      <c r="C95" s="9" t="inlineStr">
        <is>
          <t>인테리어 달인</t>
        </is>
      </c>
      <c r="D95" s="9" t="inlineStr">
        <is>
          <t>집 꾸미기 점수 MAX</t>
        </is>
      </c>
      <c r="E95" s="9" t="inlineStr">
        <is>
          <t>칭호: 인테리어 달인</t>
        </is>
      </c>
      <c r="F95" s="9" t="inlineStr"/>
    </row>
    <row r="96">
      <c r="A96" s="8" t="n">
        <v>93</v>
      </c>
      <c r="B96" s="8" t="inlineStr">
        <is>
          <t>히든</t>
        </is>
      </c>
      <c r="C96" s="8" t="inlineStr">
        <is>
          <t>???</t>
        </is>
      </c>
      <c r="D96" s="8" t="inlineStr">
        <is>
          <t>???</t>
        </is>
      </c>
      <c r="E96" s="8" t="inlineStr">
        <is>
          <t>???</t>
        </is>
      </c>
      <c r="F96" s="8" t="inlineStr">
        <is>
          <t>○</t>
        </is>
      </c>
    </row>
    <row r="97">
      <c r="A97" s="9" t="n">
        <v>94</v>
      </c>
      <c r="B97" s="9" t="inlineStr">
        <is>
          <t>히든</t>
        </is>
      </c>
      <c r="C97" s="9" t="inlineStr">
        <is>
          <t>???</t>
        </is>
      </c>
      <c r="D97" s="9" t="inlineStr">
        <is>
          <t>???</t>
        </is>
      </c>
      <c r="E97" s="9" t="inlineStr">
        <is>
          <t>???</t>
        </is>
      </c>
      <c r="F97" s="9" t="inlineStr">
        <is>
          <t>○</t>
        </is>
      </c>
    </row>
    <row r="98">
      <c r="A98" s="8" t="n">
        <v>95</v>
      </c>
      <c r="B98" s="8" t="inlineStr">
        <is>
          <t>히든</t>
        </is>
      </c>
      <c r="C98" s="8" t="inlineStr">
        <is>
          <t>???</t>
        </is>
      </c>
      <c r="D98" s="8" t="inlineStr">
        <is>
          <t>???</t>
        </is>
      </c>
      <c r="E98" s="8" t="inlineStr">
        <is>
          <t>???</t>
        </is>
      </c>
      <c r="F98" s="8" t="inlineStr">
        <is>
          <t>○</t>
        </is>
      </c>
    </row>
    <row r="99">
      <c r="A99" s="9" t="n">
        <v>96</v>
      </c>
      <c r="B99" s="9" t="inlineStr">
        <is>
          <t>히든</t>
        </is>
      </c>
      <c r="C99" s="9" t="inlineStr">
        <is>
          <t>???</t>
        </is>
      </c>
      <c r="D99" s="9" t="inlineStr">
        <is>
          <t>???</t>
        </is>
      </c>
      <c r="E99" s="9" t="inlineStr">
        <is>
          <t>???</t>
        </is>
      </c>
      <c r="F99" s="9" t="inlineStr">
        <is>
          <t>○</t>
        </is>
      </c>
    </row>
    <row r="100">
      <c r="A100" s="8" t="n">
        <v>97</v>
      </c>
      <c r="B100" s="8" t="inlineStr">
        <is>
          <t>히든</t>
        </is>
      </c>
      <c r="C100" s="8" t="inlineStr">
        <is>
          <t>???</t>
        </is>
      </c>
      <c r="D100" s="8" t="inlineStr">
        <is>
          <t>???</t>
        </is>
      </c>
      <c r="E100" s="8" t="inlineStr">
        <is>
          <t>???</t>
        </is>
      </c>
      <c r="F100" s="8" t="inlineStr">
        <is>
          <t>○</t>
        </is>
      </c>
    </row>
    <row r="101">
      <c r="A101" s="9" t="n">
        <v>98</v>
      </c>
      <c r="B101" s="9" t="inlineStr">
        <is>
          <t>히든</t>
        </is>
      </c>
      <c r="C101" s="9" t="inlineStr">
        <is>
          <t>???</t>
        </is>
      </c>
      <c r="D101" s="9" t="inlineStr">
        <is>
          <t>???</t>
        </is>
      </c>
      <c r="E101" s="9" t="inlineStr">
        <is>
          <t>???</t>
        </is>
      </c>
      <c r="F101" s="9" t="inlineStr">
        <is>
          <t>○</t>
        </is>
      </c>
    </row>
    <row r="102">
      <c r="A102" s="8" t="n">
        <v>99</v>
      </c>
      <c r="B102" s="8" t="inlineStr">
        <is>
          <t>히든</t>
        </is>
      </c>
      <c r="C102" s="8" t="inlineStr">
        <is>
          <t>???</t>
        </is>
      </c>
      <c r="D102" s="8" t="inlineStr">
        <is>
          <t>???</t>
        </is>
      </c>
      <c r="E102" s="8" t="inlineStr">
        <is>
          <t>???</t>
        </is>
      </c>
      <c r="F102" s="8" t="inlineStr">
        <is>
          <t>○</t>
        </is>
      </c>
    </row>
    <row r="103">
      <c r="A103" s="9" t="n">
        <v>100</v>
      </c>
      <c r="B103" s="9" t="inlineStr">
        <is>
          <t>히든</t>
        </is>
      </c>
      <c r="C103" s="9" t="inlineStr">
        <is>
          <t>???</t>
        </is>
      </c>
      <c r="D103" s="9" t="inlineStr">
        <is>
          <t>???</t>
        </is>
      </c>
      <c r="E103" s="9" t="inlineStr">
        <is>
          <t>???</t>
        </is>
      </c>
      <c r="F103" s="9" t="inlineStr">
        <is>
          <t>○</t>
        </is>
      </c>
    </row>
  </sheetData>
  <mergeCells count="1">
    <mergeCell ref="A1:F1"/>
  </mergeCell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4" customWidth="1" min="1" max="1"/>
    <col width="45" customWidth="1" min="2" max="2"/>
    <col width="35" customWidth="1" min="3" max="3"/>
    <col width="35" customWidth="1" min="4" max="4"/>
    <col width="22" customWidth="1" min="5" max="5"/>
    <col width="35" customWidth="1" min="6" max="6"/>
  </cols>
  <sheetData>
    <row r="1">
      <c r="A1" s="6" t="inlineStr">
        <is>
          <t>SLG 미니게임 5종</t>
        </is>
      </c>
    </row>
    <row r="3">
      <c r="A3" s="7" t="inlineStr">
        <is>
          <t>미니게임</t>
        </is>
      </c>
      <c r="B3" s="7" t="inlineStr">
        <is>
          <t>규칙</t>
        </is>
      </c>
      <c r="C3" s="7" t="inlineStr">
        <is>
          <t>조작</t>
        </is>
      </c>
      <c r="D3" s="7" t="inlineStr">
        <is>
          <t>보상</t>
        </is>
      </c>
      <c r="E3" s="7" t="inlineStr">
        <is>
          <t>주기</t>
        </is>
      </c>
      <c r="F3" s="7" t="inlineStr">
        <is>
          <t>재미 포인트</t>
        </is>
      </c>
    </row>
    <row r="4">
      <c r="A4" s="8" t="inlineStr">
        <is>
          <t>낚시</t>
        </is>
      </c>
      <c r="B4" s="8" t="inlineStr">
        <is>
          <t>타이밍 바 미니게임. 게이지가 좌우로 움직이며, 정확한 타이밍에 버튼을 눌러 물고기를 낚는다. 물고기 30종 수집 도감 존재. 등급별(일반/레어/전설) 난이도 차등.</t>
        </is>
      </c>
      <c r="C4" s="8" t="inlineStr">
        <is>
          <t>터치(클릭) 1버튼 — 게이지가 녹색 구간에 있을 때 탭</t>
        </is>
      </c>
      <c r="D4" s="8" t="inlineStr">
        <is>
          <t>물고기 판매 골드, 레어 물고기 → 요리 재료, 전설 물고기 → 칭호 &amp; 다이아</t>
        </is>
      </c>
      <c r="E4" s="8" t="inlineStr">
        <is>
          <t>매일 피로도 10회 (광고 시청 +5회)</t>
        </is>
      </c>
      <c r="F4" s="8" t="inlineStr">
        <is>
          <t>긴장감 있는 타이밍 도전, 도감 수집욕, 전설 물고기 노리는 도박성</t>
        </is>
      </c>
    </row>
    <row r="5">
      <c r="A5" s="9" t="inlineStr">
        <is>
          <t>요리 대회</t>
        </is>
      </c>
      <c r="B5" s="9" t="inlineStr">
        <is>
          <t>NPC 심사위원 앞에서 레시피 조합 퍼즐. 주어진 재료 3~5개를 순서대로 배치하여 최고 점수를 노린다. 재료 궁합표가 힌트로 제공됨.</t>
        </is>
      </c>
      <c r="C5" s="9" t="inlineStr">
        <is>
          <t>드래그 앤 드롭으로 재료 순서 배치 → "요리 시작" 버튼</t>
        </is>
      </c>
      <c r="D5" s="9" t="inlineStr">
        <is>
          <t>골드 + 버프 음식 (전투 스탯 일시 증가), 고득점 시 한정 레시피 해금</t>
        </is>
      </c>
      <c r="E5" s="9" t="inlineStr">
        <is>
          <t>주 3회 대회 개최 (월/수/금)</t>
        </is>
      </c>
      <c r="F5" s="9" t="inlineStr">
        <is>
          <t>퍼즐 전략성, 레시피 조합 발견의 재미, 버프 음식으로 전투 연계</t>
        </is>
      </c>
    </row>
    <row r="6">
      <c r="A6" s="8" t="inlineStr">
        <is>
          <t>주사위 도박</t>
        </is>
      </c>
      <c r="B6" s="8" t="inlineStr">
        <is>
          <t>NPC 상대 주사위 대결. 골드를 베팅하고 주사위 2개를 굴려 합이 높은 쪽이 승리. 더블 시 2배 보상. 연승 시 보너스 배율 적용.</t>
        </is>
      </c>
      <c r="C6" s="8" t="inlineStr">
        <is>
          <t>베팅 금액 설정 → "굴리기" 버튼 → 결과 확인 → 더블다운/그만두기 선택</t>
        </is>
      </c>
      <c r="D6" s="8" t="inlineStr">
        <is>
          <t>골드 (베팅 × 배율), 10연승 시 특수 주사위 스킨</t>
        </is>
      </c>
      <c r="E6" s="8" t="inlineStr">
        <is>
          <t>상시 (1일 베팅 한도 50,000G)</t>
        </is>
      </c>
      <c r="F6" s="8" t="inlineStr">
        <is>
          <t>도박의 스릴, 더블다운 선택의 긴장감, 연승 보너스 욕심</t>
        </is>
      </c>
    </row>
    <row r="7">
      <c r="A7" s="9" t="inlineStr">
        <is>
          <t>용병 퀴즈</t>
        </is>
      </c>
      <c r="B7" s="9" t="inlineStr">
        <is>
          <t>용병 지식 퀴즈쇼. 용병 일러스트/실루엣을 보고 이름 맞추기, 스탯 수치 맞추기, 스킬 효과 고르기 등 4지선다 10문제.</t>
        </is>
      </c>
      <c r="C7" s="9" t="inlineStr">
        <is>
          <t>4지선다 터치(클릭) 선택, 제한시간 10초/문제</t>
        </is>
      </c>
      <c r="D7" s="9" t="inlineStr">
        <is>
          <t>정답 수에 비례한 골드 &amp; 경험치, 전문 정답 시 용병 소환 티켓 조각</t>
        </is>
      </c>
      <c r="E7" s="9" t="inlineStr">
        <is>
          <t>매일 1회 (광고 시청 시 리셋)</t>
        </is>
      </c>
      <c r="F7" s="9" t="inlineStr">
        <is>
          <t>퀴즈 게임 특유의 지식 과시, 제한시간 긴장감, 소환 티켓 보상 동기</t>
        </is>
      </c>
    </row>
    <row r="8">
      <c r="A8" s="8" t="inlineStr">
        <is>
          <t>보물 찾기</t>
        </is>
      </c>
      <c r="B8" s="8" t="inlineStr">
        <is>
          <t>SLG 맵에서 숨겨진 보물을 탐색. 힌트(뜨거워/차가워)를 따라 이동하여 보물 위치를 찾는다. 보물 등급은 탐색 시간에 반비례.</t>
        </is>
      </c>
      <c r="C8" s="8" t="inlineStr">
        <is>
          <t>맵 터치로 이동, 힌트 표시 확인, "파기" 버튼으로 발굴</t>
        </is>
      </c>
      <c r="D8" s="8" t="inlineStr">
        <is>
          <t>골드 상자 / 장비 상자 / 레어 용병 조각, 빠를수록 고등급</t>
        </is>
      </c>
      <c r="E8" s="8" t="inlineStr">
        <is>
          <t>주 1회 리셋 (토요일), 특별 이벤트 시 추가</t>
        </is>
      </c>
      <c r="F8" s="8" t="inlineStr">
        <is>
          <t>탐정 놀이 재미, 힌트 추리, 빠른 발견 경쟁 (길드 랭킹)</t>
        </is>
      </c>
    </row>
  </sheetData>
  <mergeCells count="1">
    <mergeCell ref="A1:F1"/>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28" customWidth="1" min="1" max="1"/>
    <col width="16" customWidth="1" min="2" max="2"/>
    <col width="14" customWidth="1" min="3" max="3"/>
    <col width="14" customWidth="1" min="4" max="4"/>
    <col width="40" customWidth="1" min="5" max="5"/>
  </cols>
  <sheetData>
    <row r="1">
      <c r="A1" s="6" t="inlineStr">
        <is>
          <t>골드 이코노미 밸런스</t>
        </is>
      </c>
    </row>
    <row r="3">
      <c r="A3" s="7" t="inlineStr">
        <is>
          <t>활동</t>
        </is>
      </c>
      <c r="B3" s="7" t="inlineStr">
        <is>
          <t>골드 수입</t>
        </is>
      </c>
      <c r="C3" s="7" t="inlineStr">
        <is>
          <t>시간</t>
        </is>
      </c>
      <c r="D3" s="7" t="inlineStr">
        <is>
          <t>시급(G/분)</t>
        </is>
      </c>
      <c r="E3" s="7" t="inlineStr">
        <is>
          <t>비고</t>
        </is>
      </c>
    </row>
    <row r="4">
      <c r="A4" s="8" t="inlineStr">
        <is>
          <t>IO서바이벌 1위</t>
        </is>
      </c>
      <c r="B4" s="8" t="inlineStr">
        <is>
          <t>3,000G</t>
        </is>
      </c>
      <c r="C4" s="8" t="inlineStr">
        <is>
          <t>10분</t>
        </is>
      </c>
      <c r="D4" s="8" t="inlineStr">
        <is>
          <t>300</t>
        </is>
      </c>
      <c r="E4" s="8" t="inlineStr">
        <is>
          <t>하루 최대 5판 = 15,000G</t>
        </is>
      </c>
    </row>
    <row r="5">
      <c r="A5" s="9" t="inlineStr">
        <is>
          <t>IO서바이벌 2위</t>
        </is>
      </c>
      <c r="B5" s="9" t="inlineStr">
        <is>
          <t>2,000G</t>
        </is>
      </c>
      <c r="C5" s="9" t="inlineStr">
        <is>
          <t>10분</t>
        </is>
      </c>
      <c r="D5" s="9" t="inlineStr">
        <is>
          <t>200</t>
        </is>
      </c>
      <c r="E5" s="9" t="inlineStr">
        <is>
          <t>순위별 차등 지급</t>
        </is>
      </c>
    </row>
    <row r="6">
      <c r="A6" s="8" t="inlineStr">
        <is>
          <t>IO서바이벌 3위</t>
        </is>
      </c>
      <c r="B6" s="8" t="inlineStr">
        <is>
          <t>1,200G</t>
        </is>
      </c>
      <c r="C6" s="8" t="inlineStr">
        <is>
          <t>10분</t>
        </is>
      </c>
      <c r="D6" s="8" t="inlineStr">
        <is>
          <t>120</t>
        </is>
      </c>
      <c r="E6" s="8" t="inlineStr">
        <is>
          <t>참가만 해도 최소 300G</t>
        </is>
      </c>
    </row>
    <row r="7">
      <c r="A7" s="9" t="inlineStr">
        <is>
          <t>IO서바이벌 4~8위</t>
        </is>
      </c>
      <c r="B7" s="9" t="inlineStr">
        <is>
          <t>500G</t>
        </is>
      </c>
      <c r="C7" s="9" t="inlineStr">
        <is>
          <t>10분</t>
        </is>
      </c>
      <c r="D7" s="9" t="inlineStr">
        <is>
          <t>50</t>
        </is>
      </c>
      <c r="E7" s="9" t="inlineStr">
        <is>
          <t>초보도 안정적 수입원</t>
        </is>
      </c>
    </row>
    <row r="8">
      <c r="A8" s="8" t="inlineStr">
        <is>
          <t>무역: 왕도↔항구 (루트1)</t>
        </is>
      </c>
      <c r="B8" s="8" t="inlineStr">
        <is>
          <t>1,800G</t>
        </is>
      </c>
      <c r="C8" s="8" t="inlineStr">
        <is>
          <t>8분</t>
        </is>
      </c>
      <c r="D8" s="8" t="inlineStr">
        <is>
          <t>225</t>
        </is>
      </c>
      <c r="E8" s="8" t="inlineStr">
        <is>
          <t>초보 추천 루트, 안전</t>
        </is>
      </c>
    </row>
    <row r="9">
      <c r="A9" s="9" t="inlineStr">
        <is>
          <t>무역: 왕도↔사막 (루트2)</t>
        </is>
      </c>
      <c r="B9" s="9" t="inlineStr">
        <is>
          <t>2,500G</t>
        </is>
      </c>
      <c r="C9" s="9" t="inlineStr">
        <is>
          <t>12분</t>
        </is>
      </c>
      <c r="D9" s="9" t="inlineStr">
        <is>
          <t>208</t>
        </is>
      </c>
      <c r="E9" s="9" t="inlineStr">
        <is>
          <t>중거리, PK 주의구간 있음</t>
        </is>
      </c>
    </row>
    <row r="10">
      <c r="A10" s="8" t="inlineStr">
        <is>
          <t>무역: 대륙횡단 (루트3)</t>
        </is>
      </c>
      <c r="B10" s="8" t="inlineStr">
        <is>
          <t>4,200G</t>
        </is>
      </c>
      <c r="C10" s="8" t="inlineStr">
        <is>
          <t>20분</t>
        </is>
      </c>
      <c r="D10" s="8" t="inlineStr">
        <is>
          <t>210</t>
        </is>
      </c>
      <c r="E10" s="8" t="inlineStr">
        <is>
          <t>고수익 장거리, 호위 필요</t>
        </is>
      </c>
    </row>
    <row r="11">
      <c r="A11" s="9" t="inlineStr">
        <is>
          <t>무역: 해상 (루트4)</t>
        </is>
      </c>
      <c r="B11" s="9" t="inlineStr">
        <is>
          <t>3,500G</t>
        </is>
      </c>
      <c r="C11" s="9" t="inlineStr">
        <is>
          <t>15분</t>
        </is>
      </c>
      <c r="D11" s="9" t="inlineStr">
        <is>
          <t>233</t>
        </is>
      </c>
      <c r="E11" s="9" t="inlineStr">
        <is>
          <t>날씨 영향 받음, 해적 출몰</t>
        </is>
      </c>
    </row>
    <row r="12">
      <c r="A12" s="8" t="inlineStr">
        <is>
          <t>무역: 밀수 (루트5)</t>
        </is>
      </c>
      <c r="B12" s="8" t="inlineStr">
        <is>
          <t>5,000G</t>
        </is>
      </c>
      <c r="C12" s="8" t="inlineStr">
        <is>
          <t>18분</t>
        </is>
      </c>
      <c r="D12" s="8" t="inlineStr">
        <is>
          <t>278</t>
        </is>
      </c>
      <c r="E12" s="8" t="inlineStr">
        <is>
          <t>고위험 고수익, PK 빈발</t>
        </is>
      </c>
    </row>
    <row r="13">
      <c r="A13" s="9" t="inlineStr">
        <is>
          <t>공성전 공격 승리</t>
        </is>
      </c>
      <c r="B13" s="9" t="inlineStr">
        <is>
          <t>5,000G</t>
        </is>
      </c>
      <c r="C13" s="9" t="inlineStr">
        <is>
          <t>30분</t>
        </is>
      </c>
      <c r="D13" s="9" t="inlineStr">
        <is>
          <t>167</t>
        </is>
      </c>
      <c r="E13" s="9" t="inlineStr">
        <is>
          <t>하루 2회 제한</t>
        </is>
      </c>
    </row>
    <row r="14">
      <c r="A14" s="8" t="inlineStr">
        <is>
          <t>공성전 방어 승리</t>
        </is>
      </c>
      <c r="B14" s="8" t="inlineStr">
        <is>
          <t>3,500G</t>
        </is>
      </c>
      <c r="C14" s="8" t="inlineStr">
        <is>
          <t>30분</t>
        </is>
      </c>
      <c r="D14" s="8" t="inlineStr">
        <is>
          <t>117</t>
        </is>
      </c>
      <c r="E14" s="8" t="inlineStr">
        <is>
          <t>방어 성공 보너스 포함</t>
        </is>
      </c>
    </row>
    <row r="15">
      <c r="A15" s="9" t="inlineStr">
        <is>
          <t>원정대: 초원</t>
        </is>
      </c>
      <c r="B15" s="9" t="inlineStr">
        <is>
          <t>800G</t>
        </is>
      </c>
      <c r="C15" s="9" t="inlineStr">
        <is>
          <t>자동 2시간</t>
        </is>
      </c>
      <c r="D15" s="9" t="inlineStr">
        <is>
          <t>7</t>
        </is>
      </c>
      <c r="E15" s="9" t="inlineStr">
        <is>
          <t>방치형 수입</t>
        </is>
      </c>
    </row>
    <row r="16">
      <c r="A16" s="8" t="inlineStr">
        <is>
          <t>원정대: 동굴</t>
        </is>
      </c>
      <c r="B16" s="8" t="inlineStr">
        <is>
          <t>1,200G</t>
        </is>
      </c>
      <c r="C16" s="8" t="inlineStr">
        <is>
          <t>자동 3시간</t>
        </is>
      </c>
      <c r="D16" s="8" t="inlineStr">
        <is>
          <t>7</t>
        </is>
      </c>
      <c r="E16" s="8" t="inlineStr">
        <is>
          <t>장비 재료 추가 드롭</t>
        </is>
      </c>
    </row>
    <row r="17">
      <c r="A17" s="9" t="inlineStr">
        <is>
          <t>원정대: 화산</t>
        </is>
      </c>
      <c r="B17" s="9" t="inlineStr">
        <is>
          <t>1,800G</t>
        </is>
      </c>
      <c r="C17" s="9" t="inlineStr">
        <is>
          <t>자동 4시간</t>
        </is>
      </c>
      <c r="D17" s="9" t="inlineStr">
        <is>
          <t>8</t>
        </is>
      </c>
      <c r="E17" s="9" t="inlineStr">
        <is>
          <t>희귀 재료 확률 드롭</t>
        </is>
      </c>
    </row>
    <row r="18">
      <c r="A18" s="8" t="inlineStr">
        <is>
          <t>원정대: 심해</t>
        </is>
      </c>
      <c r="B18" s="8" t="inlineStr">
        <is>
          <t>2,200G</t>
        </is>
      </c>
      <c r="C18" s="8" t="inlineStr">
        <is>
          <t>자동 5시간</t>
        </is>
      </c>
      <c r="D18" s="8" t="inlineStr">
        <is>
          <t>7</t>
        </is>
      </c>
      <c r="E18" s="8" t="inlineStr">
        <is>
          <t>용병 조각 추가 드롭</t>
        </is>
      </c>
    </row>
    <row r="19">
      <c r="A19" s="9" t="inlineStr">
        <is>
          <t>원정대: 차원균열</t>
        </is>
      </c>
      <c r="B19" s="9" t="inlineStr">
        <is>
          <t>3,000G</t>
        </is>
      </c>
      <c r="C19" s="9" t="inlineStr">
        <is>
          <t>자동 6시간</t>
        </is>
      </c>
      <c r="D19" s="9" t="inlineStr">
        <is>
          <t>8</t>
        </is>
      </c>
      <c r="E19" s="9" t="inlineStr">
        <is>
          <t>전설 재료 극소 확률</t>
        </is>
      </c>
    </row>
    <row r="20">
      <c r="A20" s="8" t="inlineStr">
        <is>
          <t>일일퀘스트 (5종 완료)</t>
        </is>
      </c>
      <c r="B20" s="8" t="inlineStr">
        <is>
          <t>2,500G</t>
        </is>
      </c>
      <c r="C20" s="8" t="inlineStr">
        <is>
          <t>20분</t>
        </is>
      </c>
      <c r="D20" s="8" t="inlineStr">
        <is>
          <t>125</t>
        </is>
      </c>
      <c r="E20" s="8" t="inlineStr">
        <is>
          <t>매일 리셋, 보너스 500G 포함</t>
        </is>
      </c>
    </row>
    <row r="21">
      <c r="A21" s="9" t="inlineStr">
        <is>
          <t>낚시</t>
        </is>
      </c>
      <c r="B21" s="9" t="inlineStr">
        <is>
          <t>600G</t>
        </is>
      </c>
      <c r="C21" s="9" t="inlineStr">
        <is>
          <t>10분</t>
        </is>
      </c>
      <c r="D21" s="9" t="inlineStr">
        <is>
          <t>60</t>
        </is>
      </c>
      <c r="E21" s="9" t="inlineStr">
        <is>
          <t>부수입, 요리 재료 획득</t>
        </is>
      </c>
    </row>
    <row r="22">
      <c r="A22" s="8" t="inlineStr">
        <is>
          <t>요리대회 (1등)</t>
        </is>
      </c>
      <c r="B22" s="8" t="inlineStr">
        <is>
          <t>2,000G</t>
        </is>
      </c>
      <c r="C22" s="8" t="inlineStr">
        <is>
          <t>15분</t>
        </is>
      </c>
      <c r="D22" s="8" t="inlineStr">
        <is>
          <t>133</t>
        </is>
      </c>
      <c r="E22" s="8" t="inlineStr">
        <is>
          <t>주 3회, 버프 음식 추가 보상</t>
        </is>
      </c>
    </row>
    <row r="23">
      <c r="A23" s="9" t="inlineStr">
        <is>
          <t>용병대회 (1등)</t>
        </is>
      </c>
      <c r="B23" s="9" t="inlineStr">
        <is>
          <t>3,000G</t>
        </is>
      </c>
      <c r="C23" s="9" t="inlineStr">
        <is>
          <t>20분</t>
        </is>
      </c>
      <c r="D23" s="9" t="inlineStr">
        <is>
          <t>150</t>
        </is>
      </c>
      <c r="E23" s="9" t="inlineStr">
        <is>
          <t>주 2회, 용병 경험치 추가</t>
        </is>
      </c>
    </row>
    <row r="24">
      <c r="A24" s="8" t="inlineStr">
        <is>
          <t>경매장 판매</t>
        </is>
      </c>
      <c r="B24" s="8" t="inlineStr">
        <is>
          <t>변동</t>
        </is>
      </c>
      <c r="C24" s="8" t="inlineStr">
        <is>
          <t>변동</t>
        </is>
      </c>
      <c r="D24" s="8" t="inlineStr">
        <is>
          <t>-</t>
        </is>
      </c>
      <c r="E24" s="8" t="inlineStr">
        <is>
          <t>시세에 따라 수익 상이</t>
        </is>
      </c>
    </row>
    <row r="25">
      <c r="A25" s="9" t="inlineStr">
        <is>
          <t>PK 약탈</t>
        </is>
      </c>
      <c r="B25" s="9" t="inlineStr">
        <is>
          <t>변동</t>
        </is>
      </c>
      <c r="C25" s="9" t="inlineStr">
        <is>
          <t>변동</t>
        </is>
      </c>
      <c r="D25" s="9" t="inlineStr">
        <is>
          <t>-</t>
        </is>
      </c>
      <c r="E25" s="9" t="inlineStr">
        <is>
          <t>카르마 리스크, 비안정적 수입</t>
        </is>
      </c>
    </row>
    <row r="26">
      <c r="A26" s="8" t="inlineStr">
        <is>
          <t>용병 레벨업 (1→30)</t>
        </is>
      </c>
      <c r="B26" s="8" t="inlineStr">
        <is>
          <t>−8,000G</t>
        </is>
      </c>
      <c r="C26" s="8" t="inlineStr">
        <is>
          <t>누적</t>
        </is>
      </c>
      <c r="D26" s="8" t="inlineStr">
        <is>
          <t>-</t>
        </is>
      </c>
      <c r="E26" s="8" t="inlineStr">
        <is>
          <t>용병 1체 기준 총 비용</t>
        </is>
      </c>
    </row>
    <row r="27">
      <c r="A27" s="9" t="inlineStr">
        <is>
          <t>용병 각성 (1단계)</t>
        </is>
      </c>
      <c r="B27" s="9" t="inlineStr">
        <is>
          <t>−5,000G</t>
        </is>
      </c>
      <c r="C27" s="9" t="inlineStr">
        <is>
          <t>즉시</t>
        </is>
      </c>
      <c r="D27" s="9" t="inlineStr">
        <is>
          <t>-</t>
        </is>
      </c>
      <c r="E27" s="9" t="inlineStr">
        <is>
          <t>각성석 + 골드 소모</t>
        </is>
      </c>
    </row>
    <row r="28">
      <c r="A28" s="8" t="inlineStr">
        <is>
          <t>용병 스킬강화 (Lv5)</t>
        </is>
      </c>
      <c r="B28" s="8" t="inlineStr">
        <is>
          <t>−3,000G</t>
        </is>
      </c>
      <c r="C28" s="8" t="inlineStr">
        <is>
          <t>누적</t>
        </is>
      </c>
      <c r="D28" s="8" t="inlineStr">
        <is>
          <t>-</t>
        </is>
      </c>
      <c r="E28" s="8" t="inlineStr">
        <is>
          <t>스킬 1개 기준</t>
        </is>
      </c>
    </row>
    <row r="29">
      <c r="A29" s="9" t="inlineStr">
        <is>
          <t>장비제작 (레어)</t>
        </is>
      </c>
      <c r="B29" s="9" t="inlineStr">
        <is>
          <t>−2,500G</t>
        </is>
      </c>
      <c r="C29" s="9" t="inlineStr">
        <is>
          <t>즉시</t>
        </is>
      </c>
      <c r="D29" s="9" t="inlineStr">
        <is>
          <t>-</t>
        </is>
      </c>
      <c r="E29" s="9" t="inlineStr">
        <is>
          <t>재료 + 골드, 실패 가능</t>
        </is>
      </c>
    </row>
    <row r="30">
      <c r="A30" s="8" t="inlineStr">
        <is>
          <t>장비제작 (전설)</t>
        </is>
      </c>
      <c r="B30" s="8" t="inlineStr">
        <is>
          <t>−8,000G</t>
        </is>
      </c>
      <c r="C30" s="8" t="inlineStr">
        <is>
          <t>즉시</t>
        </is>
      </c>
      <c r="D30" s="8" t="inlineStr">
        <is>
          <t>-</t>
        </is>
      </c>
      <c r="E30" s="8" t="inlineStr">
        <is>
          <t>희귀 재료 + 대량 골드</t>
        </is>
      </c>
    </row>
    <row r="31">
      <c r="A31" s="9" t="inlineStr">
        <is>
          <t>성 업그레이드 1→2단계</t>
        </is>
      </c>
      <c r="B31" s="9" t="inlineStr">
        <is>
          <t>−3,000G</t>
        </is>
      </c>
      <c r="C31" s="9" t="inlineStr">
        <is>
          <t>2시간</t>
        </is>
      </c>
      <c r="D31" s="9" t="inlineStr">
        <is>
          <t>-</t>
        </is>
      </c>
      <c r="E31" s="9" t="inlineStr">
        <is>
          <t>기본 확장</t>
        </is>
      </c>
    </row>
    <row r="32">
      <c r="A32" s="8" t="inlineStr">
        <is>
          <t>성 업그레이드 2→3단계</t>
        </is>
      </c>
      <c r="B32" s="8" t="inlineStr">
        <is>
          <t>−6,000G</t>
        </is>
      </c>
      <c r="C32" s="8" t="inlineStr">
        <is>
          <t>4시간</t>
        </is>
      </c>
      <c r="D32" s="8" t="inlineStr">
        <is>
          <t>-</t>
        </is>
      </c>
      <c r="E32" s="8" t="inlineStr">
        <is>
          <t>시설 슬롯 추가</t>
        </is>
      </c>
    </row>
    <row r="33">
      <c r="A33" s="9" t="inlineStr">
        <is>
          <t>성 업그레이드 3→4단계</t>
        </is>
      </c>
      <c r="B33" s="9" t="inlineStr">
        <is>
          <t>−12,000G</t>
        </is>
      </c>
      <c r="C33" s="9" t="inlineStr">
        <is>
          <t>8시간</t>
        </is>
      </c>
      <c r="D33" s="9" t="inlineStr">
        <is>
          <t>-</t>
        </is>
      </c>
      <c r="E33" s="9" t="inlineStr">
        <is>
          <t>방어탑 강화 해금</t>
        </is>
      </c>
    </row>
    <row r="34">
      <c r="A34" s="8" t="inlineStr">
        <is>
          <t>성 업그레이드 4→5단계</t>
        </is>
      </c>
      <c r="B34" s="8" t="inlineStr">
        <is>
          <t>−25,000G</t>
        </is>
      </c>
      <c r="C34" s="8" t="inlineStr">
        <is>
          <t>16시간</t>
        </is>
      </c>
      <c r="D34" s="8" t="inlineStr">
        <is>
          <t>-</t>
        </is>
      </c>
      <c r="E34" s="8" t="inlineStr">
        <is>
          <t>최종 단계, 외형 변경</t>
        </is>
      </c>
    </row>
    <row r="35">
      <c r="A35" s="9" t="inlineStr">
        <is>
          <t>시설건설: 대장간</t>
        </is>
      </c>
      <c r="B35" s="9" t="inlineStr">
        <is>
          <t>−2,000G</t>
        </is>
      </c>
      <c r="C35" s="9" t="inlineStr">
        <is>
          <t>1시간</t>
        </is>
      </c>
      <c r="D35" s="9" t="inlineStr">
        <is>
          <t>-</t>
        </is>
      </c>
      <c r="E35" s="9" t="inlineStr">
        <is>
          <t>장비 제작 해금</t>
        </is>
      </c>
    </row>
    <row r="36">
      <c r="A36" s="8" t="inlineStr">
        <is>
          <t>시설건설: 연구소</t>
        </is>
      </c>
      <c r="B36" s="8" t="inlineStr">
        <is>
          <t>−2,500G</t>
        </is>
      </c>
      <c r="C36" s="8" t="inlineStr">
        <is>
          <t>1시간</t>
        </is>
      </c>
      <c r="D36" s="8" t="inlineStr">
        <is>
          <t>-</t>
        </is>
      </c>
      <c r="E36" s="8" t="inlineStr">
        <is>
          <t>기술 연구 해금</t>
        </is>
      </c>
    </row>
    <row r="37">
      <c r="A37" s="9" t="inlineStr">
        <is>
          <t>시설건설: 훈련소</t>
        </is>
      </c>
      <c r="B37" s="9" t="inlineStr">
        <is>
          <t>−1,500G</t>
        </is>
      </c>
      <c r="C37" s="9" t="inlineStr">
        <is>
          <t>30분</t>
        </is>
      </c>
      <c r="D37" s="9" t="inlineStr">
        <is>
          <t>-</t>
        </is>
      </c>
      <c r="E37" s="9" t="inlineStr">
        <is>
          <t>용병 경험치 부스트</t>
        </is>
      </c>
    </row>
    <row r="38">
      <c r="A38" s="8" t="inlineStr">
        <is>
          <t>시설건설: 시장</t>
        </is>
      </c>
      <c r="B38" s="8" t="inlineStr">
        <is>
          <t>−2,000G</t>
        </is>
      </c>
      <c r="C38" s="8" t="inlineStr">
        <is>
          <t>1시간</t>
        </is>
      </c>
      <c r="D38" s="8" t="inlineStr">
        <is>
          <t>-</t>
        </is>
      </c>
      <c r="E38" s="8" t="inlineStr">
        <is>
          <t>무역 효율 증가</t>
        </is>
      </c>
    </row>
    <row r="39">
      <c r="A39" s="9" t="inlineStr">
        <is>
          <t>시설건설: 성벽</t>
        </is>
      </c>
      <c r="B39" s="9" t="inlineStr">
        <is>
          <t>−3,000G</t>
        </is>
      </c>
      <c r="C39" s="9" t="inlineStr">
        <is>
          <t>2시간</t>
        </is>
      </c>
      <c r="D39" s="9" t="inlineStr">
        <is>
          <t>-</t>
        </is>
      </c>
      <c r="E39" s="9" t="inlineStr">
        <is>
          <t>방어력 기본 강화</t>
        </is>
      </c>
    </row>
    <row r="40">
      <c r="A40" s="8" t="inlineStr">
        <is>
          <t>시설건설: 창고</t>
        </is>
      </c>
      <c r="B40" s="8" t="inlineStr">
        <is>
          <t>−1,000G</t>
        </is>
      </c>
      <c r="C40" s="8" t="inlineStr">
        <is>
          <t>30분</t>
        </is>
      </c>
      <c r="D40" s="8" t="inlineStr">
        <is>
          <t>-</t>
        </is>
      </c>
      <c r="E40" s="8" t="inlineStr">
        <is>
          <t>자원 보관량 증가</t>
        </is>
      </c>
    </row>
    <row r="41">
      <c r="A41" s="9" t="inlineStr">
        <is>
          <t>시설건설: 병영</t>
        </is>
      </c>
      <c r="B41" s="9" t="inlineStr">
        <is>
          <t>−2,500G</t>
        </is>
      </c>
      <c r="C41" s="9" t="inlineStr">
        <is>
          <t>1시간</t>
        </is>
      </c>
      <c r="D41" s="9" t="inlineStr">
        <is>
          <t>-</t>
        </is>
      </c>
      <c r="E41" s="9" t="inlineStr">
        <is>
          <t>출전 용병 슬롯 +1</t>
        </is>
      </c>
    </row>
    <row r="42">
      <c r="A42" s="8" t="inlineStr">
        <is>
          <t>시설건설: 정찰탑</t>
        </is>
      </c>
      <c r="B42" s="8" t="inlineStr">
        <is>
          <t>−1,500G</t>
        </is>
      </c>
      <c r="C42" s="8" t="inlineStr">
        <is>
          <t>1시간</t>
        </is>
      </c>
      <c r="D42" s="8" t="inlineStr">
        <is>
          <t>-</t>
        </is>
      </c>
      <c r="E42" s="8" t="inlineStr">
        <is>
          <t>맵 시야 확장</t>
        </is>
      </c>
    </row>
    <row r="43">
      <c r="A43" s="9" t="inlineStr">
        <is>
          <t>시설건설: 농장</t>
        </is>
      </c>
      <c r="B43" s="9" t="inlineStr">
        <is>
          <t>−1,200G</t>
        </is>
      </c>
      <c r="C43" s="9" t="inlineStr">
        <is>
          <t>30분</t>
        </is>
      </c>
      <c r="D43" s="9" t="inlineStr">
        <is>
          <t>-</t>
        </is>
      </c>
      <c r="E43" s="9" t="inlineStr">
        <is>
          <t>자동 골드 생산 (시간당 50G)</t>
        </is>
      </c>
    </row>
    <row r="44">
      <c r="A44" s="8" t="inlineStr">
        <is>
          <t>함정배치 (1개)</t>
        </is>
      </c>
      <c r="B44" s="8" t="inlineStr">
        <is>
          <t>−500G</t>
        </is>
      </c>
      <c r="C44" s="8" t="inlineStr">
        <is>
          <t>즉시</t>
        </is>
      </c>
      <c r="D44" s="8" t="inlineStr">
        <is>
          <t>-</t>
        </is>
      </c>
      <c r="E44" s="8" t="inlineStr">
        <is>
          <t>공성전 방어용, 최대 10개</t>
        </is>
      </c>
    </row>
    <row r="45">
      <c r="A45" s="9" t="inlineStr">
        <is>
          <t>가챠 골드소환 (1회)</t>
        </is>
      </c>
      <c r="B45" s="9" t="inlineStr">
        <is>
          <t>−1,500G</t>
        </is>
      </c>
      <c r="C45" s="9" t="inlineStr">
        <is>
          <t>즉시</t>
        </is>
      </c>
      <c r="D45" s="9" t="inlineStr">
        <is>
          <t>-</t>
        </is>
      </c>
      <c r="E45" s="9" t="inlineStr">
        <is>
          <t>일반~레어 용병 확률</t>
        </is>
      </c>
    </row>
    <row r="46">
      <c r="A46" s="8" t="inlineStr">
        <is>
          <t>가챠 골드소환 (10연차)</t>
        </is>
      </c>
      <c r="B46" s="8" t="inlineStr">
        <is>
          <t>−13,500G</t>
        </is>
      </c>
      <c r="C46" s="8" t="inlineStr">
        <is>
          <t>즉시</t>
        </is>
      </c>
      <c r="D46" s="8" t="inlineStr">
        <is>
          <t>-</t>
        </is>
      </c>
      <c r="E46" s="8" t="inlineStr">
        <is>
          <t>10% 할인, SR 확률업</t>
        </is>
      </c>
    </row>
    <row r="47">
      <c r="A47" s="9" t="inlineStr">
        <is>
          <t>무역 매입 (평균)</t>
        </is>
      </c>
      <c r="B47" s="9" t="inlineStr">
        <is>
          <t>−1,500G</t>
        </is>
      </c>
      <c r="C47" s="9" t="inlineStr">
        <is>
          <t>즉시</t>
        </is>
      </c>
      <c r="D47" s="9" t="inlineStr">
        <is>
          <t>-</t>
        </is>
      </c>
      <c r="E47" s="9" t="inlineStr">
        <is>
          <t>물품 구매 후 판매로 회수</t>
        </is>
      </c>
    </row>
    <row r="48">
      <c r="A48" s="8" t="inlineStr">
        <is>
          <t>카라반 업그레이드 (1단계)</t>
        </is>
      </c>
      <c r="B48" s="8" t="inlineStr">
        <is>
          <t>−3,000G</t>
        </is>
      </c>
      <c r="C48" s="8" t="inlineStr">
        <is>
          <t>즉시</t>
        </is>
      </c>
      <c r="D48" s="8" t="inlineStr">
        <is>
          <t>-</t>
        </is>
      </c>
      <c r="E48" s="8" t="inlineStr">
        <is>
          <t>적재량 +20%</t>
        </is>
      </c>
    </row>
    <row r="49">
      <c r="A49" s="9" t="inlineStr">
        <is>
          <t>카라반 업그레이드 (2단계)</t>
        </is>
      </c>
      <c r="B49" s="9" t="inlineStr">
        <is>
          <t>−6,000G</t>
        </is>
      </c>
      <c r="C49" s="9" t="inlineStr">
        <is>
          <t>즉시</t>
        </is>
      </c>
      <c r="D49" s="9" t="inlineStr">
        <is>
          <t>-</t>
        </is>
      </c>
      <c r="E49" s="9" t="inlineStr">
        <is>
          <t>속도 +15%, 적재량 +30%</t>
        </is>
      </c>
    </row>
    <row r="50">
      <c r="A50" s="8" t="inlineStr">
        <is>
          <t>── 일일 수입 예상 합계 ──</t>
        </is>
      </c>
      <c r="B50" s="8" t="inlineStr">
        <is>
          <t>~25,000G</t>
        </is>
      </c>
      <c r="C50" s="8" t="inlineStr">
        <is>
          <t>하루</t>
        </is>
      </c>
      <c r="D50" s="8" t="inlineStr">
        <is>
          <t>-</t>
        </is>
      </c>
      <c r="E50" s="8" t="inlineStr">
        <is>
          <t>IO 5판 + 무역 3회 + 퀘스트 + 원정 기준</t>
        </is>
      </c>
    </row>
    <row r="51">
      <c r="A51" s="9" t="inlineStr">
        <is>
          <t>── 일일 지출 예상 합계 ──</t>
        </is>
      </c>
      <c r="B51" s="9" t="inlineStr">
        <is>
          <t>~25,000G</t>
        </is>
      </c>
      <c r="C51" s="9" t="inlineStr">
        <is>
          <t>하루</t>
        </is>
      </c>
      <c r="D51" s="9" t="inlineStr">
        <is>
          <t>-</t>
        </is>
      </c>
      <c r="E51" s="9" t="inlineStr">
        <is>
          <t>용병 육성 + 시설 투자 + 소환 1회 기준</t>
        </is>
      </c>
    </row>
    <row r="52">
      <c r="A52" s="8" t="inlineStr">
        <is>
          <t>── 밸런스 ──</t>
        </is>
      </c>
      <c r="B52" s="8" t="inlineStr">
        <is>
          <t>±0 (균형)</t>
        </is>
      </c>
      <c r="C52" s="8" t="inlineStr">
        <is>
          <t>하루</t>
        </is>
      </c>
      <c r="D52" s="8" t="inlineStr">
        <is>
          <t>-</t>
        </is>
      </c>
      <c r="E52" s="8" t="inlineStr">
        <is>
          <t>장기 플레이어는 무역/공성으로 흑자 전환</t>
        </is>
      </c>
    </row>
  </sheetData>
  <mergeCells count="1">
    <mergeCell ref="A1:E1"/>
  </mergeCell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12" customWidth="1" min="5" max="5"/>
    <col width="12" customWidth="1" min="6" max="6"/>
    <col width="28" customWidth="1" min="7" max="7"/>
    <col width="24" customWidth="1" min="8" max="8"/>
    <col width="32" customWidth="1" min="9" max="9"/>
  </cols>
  <sheetData>
    <row r="1">
      <c r="A1" s="6" t="inlineStr">
        <is>
          <t>신규 유저 7일 가이드</t>
        </is>
      </c>
    </row>
    <row r="3">
      <c r="A3" s="7" t="inlineStr">
        <is>
          <t>일차</t>
        </is>
      </c>
      <c r="B3" s="7" t="inlineStr">
        <is>
          <t>오전 활동</t>
        </is>
      </c>
      <c r="C3" s="7" t="inlineStr">
        <is>
          <t>오후 활동</t>
        </is>
      </c>
      <c r="D3" s="7" t="inlineStr">
        <is>
          <t>저녁 활동</t>
        </is>
      </c>
      <c r="E3" s="7" t="inlineStr">
        <is>
          <t>획득 골드</t>
        </is>
      </c>
      <c r="F3" s="7" t="inlineStr">
        <is>
          <t>획득 다이아</t>
        </is>
      </c>
      <c r="G3" s="7" t="inlineStr">
        <is>
          <t>용병 상태</t>
        </is>
      </c>
      <c r="H3" s="7" t="inlineStr">
        <is>
          <t>성 상태</t>
        </is>
      </c>
      <c r="I3" s="7" t="inlineStr">
        <is>
          <t>목표</t>
        </is>
      </c>
    </row>
    <row r="4">
      <c r="A4" s="8" t="inlineStr">
        <is>
          <t>Day 1</t>
        </is>
      </c>
      <c r="B4" s="8" t="inlineStr">
        <is>
          <t>튜토리얼 완료, 기본 조작 학습, 첫 용병(전사) 지급</t>
        </is>
      </c>
      <c r="C4" s="8" t="inlineStr">
        <is>
          <t>첫 IO서바이벌 3판 도전, 무기 조합 체험</t>
        </is>
      </c>
      <c r="D4" s="8" t="inlineStr">
        <is>
          <t>첫 골드소환 10연차, 용병 편성 구성</t>
        </is>
      </c>
      <c r="E4" s="8" t="inlineStr">
        <is>
          <t>5,000G</t>
        </is>
      </c>
      <c r="F4" s="8" t="inlineStr">
        <is>
          <t>30💎</t>
        </is>
      </c>
      <c r="G4" s="8" t="inlineStr">
        <is>
          <t>용병 3체 (전사+소환2체), Lv1~3</t>
        </is>
      </c>
      <c r="H4" s="8" t="inlineStr">
        <is>
          <t>성 Lv1 (초기 상태)</t>
        </is>
      </c>
      <c r="I4" s="8" t="inlineStr">
        <is>
          <t>게임 기본 조작 숙달, 첫 IO 클리어</t>
        </is>
      </c>
    </row>
    <row r="5">
      <c r="A5" s="9" t="inlineStr">
        <is>
          <t>Day 2</t>
        </is>
      </c>
      <c r="B5" s="9" t="inlineStr">
        <is>
          <t>IO서바이벌 3판 (순위 도전), 일일퀘스트 시작</t>
        </is>
      </c>
      <c r="C5" s="9" t="inlineStr">
        <is>
          <t>첫 무역 루트(왕도↔항구) 개통, 카라반 운영</t>
        </is>
      </c>
      <c r="D5" s="9" t="inlineStr">
        <is>
          <t>성 건설 시작 (대장간+창고), 용병 레벨업</t>
        </is>
      </c>
      <c r="E5" s="9" t="inlineStr">
        <is>
          <t>8,000G</t>
        </is>
      </c>
      <c r="F5" s="9" t="inlineStr">
        <is>
          <t>20💎</t>
        </is>
      </c>
      <c r="G5" s="9" t="inlineStr">
        <is>
          <t>용병 3~4체, Lv5~8</t>
        </is>
      </c>
      <c r="H5" s="9" t="inlineStr">
        <is>
          <t>성 Lv1, 대장간/창고 건설중</t>
        </is>
      </c>
      <c r="I5" s="9" t="inlineStr">
        <is>
          <t>IO 탑5 진입, 무역 시스템 이해</t>
        </is>
      </c>
    </row>
    <row r="6">
      <c r="A6" s="8" t="inlineStr">
        <is>
          <t>Day 3</t>
        </is>
      </c>
      <c r="B6" s="8" t="inlineStr">
        <is>
          <t>용병 집중 레벨업, 스킬 강화 1회</t>
        </is>
      </c>
      <c r="C6" s="8" t="inlineStr">
        <is>
          <t>시설 건설 (훈련소+시장), 원정대 첫 파견(초원)</t>
        </is>
      </c>
      <c r="D6" s="8" t="inlineStr">
        <is>
          <t>낚시 체험, 장비 1개 제작, IO 2판</t>
        </is>
      </c>
      <c r="E6" s="8" t="inlineStr">
        <is>
          <t>10,000G</t>
        </is>
      </c>
      <c r="F6" s="8" t="inlineStr">
        <is>
          <t>15💎</t>
        </is>
      </c>
      <c r="G6" s="8" t="inlineStr">
        <is>
          <t>용병 4~5체, Lv10~12, 스킬 Lv2</t>
        </is>
      </c>
      <c r="H6" s="8" t="inlineStr">
        <is>
          <t>성 Lv1→2 업그레이드 시작, 시설 4개</t>
        </is>
      </c>
      <c r="I6" s="8" t="inlineStr">
        <is>
          <t>원정대 시스템 해금, 시설 기반 구축</t>
        </is>
      </c>
    </row>
    <row r="7">
      <c r="A7" s="9" t="inlineStr">
        <is>
          <t>Day 4</t>
        </is>
      </c>
      <c r="B7" s="9" t="inlineStr">
        <is>
          <t>AI 공성전 첫 도전 (연습모드), 함정 배치 학습</t>
        </is>
      </c>
      <c r="C7" s="9" t="inlineStr">
        <is>
          <t>골드소환 10연차, 용병 진화 시도 (재료 모아서)</t>
        </is>
      </c>
      <c r="D7" s="9" t="inlineStr">
        <is>
          <t>무역 2회 (루트1+루트2), 원정대 보상 수령</t>
        </is>
      </c>
      <c r="E7" s="9" t="inlineStr">
        <is>
          <t>12,000G</t>
        </is>
      </c>
      <c r="F7" s="9" t="inlineStr">
        <is>
          <t>25💎</t>
        </is>
      </c>
      <c r="G7" s="9" t="inlineStr">
        <is>
          <t>용병 5~6체, Lv13~16, 진화 1체 시도</t>
        </is>
      </c>
      <c r="H7" s="9" t="inlineStr">
        <is>
          <t>성 Lv2, 시설 5~6개</t>
        </is>
      </c>
      <c r="I7" s="9" t="inlineStr">
        <is>
          <t>공성전 메카닉 이해, 첫 진화 달성</t>
        </is>
      </c>
    </row>
    <row r="8">
      <c r="A8" s="8" t="inlineStr">
        <is>
          <t>Day 5</t>
        </is>
      </c>
      <c r="B8" s="8" t="inlineStr">
        <is>
          <t>PvP 아레나 첫 도전 (매칭), IO서바이벌 3판</t>
        </is>
      </c>
      <c r="C8" s="8" t="inlineStr">
        <is>
          <t>혈맹 가입 (또는 창설), 혈맹 퀘스트 확인</t>
        </is>
      </c>
      <c r="D8" s="8" t="inlineStr">
        <is>
          <t>무역 루트 확장 (루트3 해금), 카라반 업그레이드</t>
        </is>
      </c>
      <c r="E8" s="8" t="inlineStr">
        <is>
          <t>15,000G</t>
        </is>
      </c>
      <c r="F8" s="8" t="inlineStr">
        <is>
          <t>20💎</t>
        </is>
      </c>
      <c r="G8" s="8" t="inlineStr">
        <is>
          <t>용병 6~7체, Lv17~20, 각성 1체 시도</t>
        </is>
      </c>
      <c r="H8" s="8" t="inlineStr">
        <is>
          <t>성 Lv2→3 업그레이드 시작, 시설 7개</t>
        </is>
      </c>
      <c r="I8" s="8" t="inlineStr">
        <is>
          <t>PvP 경험, 혈맹 합류, 장거리 무역 시작</t>
        </is>
      </c>
    </row>
    <row r="9">
      <c r="A9" s="9" t="inlineStr">
        <is>
          <t>Day 6</t>
        </is>
      </c>
      <c r="B9" s="9" t="inlineStr">
        <is>
          <t>실전 공성전 참여 (혈맹원과 협동), 전략 수립</t>
        </is>
      </c>
      <c r="C9" s="9" t="inlineStr">
        <is>
          <t>시즌 이벤트 참여, 이벤트 한정 보상 수집</t>
        </is>
      </c>
      <c r="D9" s="9" t="inlineStr">
        <is>
          <t>용병대회 참가, 요리대회 참가, 장비 강화</t>
        </is>
      </c>
      <c r="E9" s="9" t="inlineStr">
        <is>
          <t>20,000G</t>
        </is>
      </c>
      <c r="F9" s="9" t="inlineStr">
        <is>
          <t>30💎</t>
        </is>
      </c>
      <c r="G9" s="9" t="inlineStr">
        <is>
          <t>용병 7~8체, Lv20~23, 각성 1~2체</t>
        </is>
      </c>
      <c r="H9" s="9" t="inlineStr">
        <is>
          <t>성 Lv3, 시설 8개, 함정 5개 배치</t>
        </is>
      </c>
      <c r="I9" s="9" t="inlineStr">
        <is>
          <t>실전 공성전 경험, 이벤트 보상 확보</t>
        </is>
      </c>
    </row>
    <row r="10">
      <c r="A10" s="8" t="inlineStr">
        <is>
          <t>Day 7</t>
        </is>
      </c>
      <c r="B10" s="8" t="inlineStr">
        <is>
          <t>전력 종합 점검, 약한 용병 집중 육성</t>
        </is>
      </c>
      <c r="C10" s="8" t="inlineStr">
        <is>
          <t>7일 출석 보상 수령, 장기 목표 설정</t>
        </is>
      </c>
      <c r="D10" s="8" t="inlineStr">
        <is>
          <t>자유 플레이: IO/무역/공성전 루틴 확립</t>
        </is>
      </c>
      <c r="E10" s="8" t="inlineStr">
        <is>
          <t>25,000G</t>
        </is>
      </c>
      <c r="F10" s="8" t="inlineStr">
        <is>
          <t>50💎 (7일 보상)</t>
        </is>
      </c>
      <c r="G10" s="8" t="inlineStr">
        <is>
          <t>용병 8~10체, Lv23~25, 각성 2체, 진화 1체</t>
        </is>
      </c>
      <c r="H10" s="8" t="inlineStr">
        <is>
          <t>성 Lv3, 시설 9개 완성, 함정 8개</t>
        </is>
      </c>
      <c r="I10" s="8" t="inlineStr">
        <is>
          <t>주간 루틴 확립, 혈맹 활동 본격화, 시즌 목표 수립</t>
        </is>
      </c>
    </row>
  </sheetData>
  <mergeCells count="1">
    <mergeCell ref="A1:I1"/>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2" customWidth="1" min="1" max="1"/>
    <col width="10" customWidth="1" min="2" max="2"/>
    <col width="6" customWidth="1" min="3" max="3"/>
    <col width="6" customWidth="1" min="4" max="4"/>
    <col width="10" customWidth="1" min="5" max="5"/>
    <col width="22" customWidth="1" min="6" max="6"/>
    <col width="5" customWidth="1" min="7" max="7"/>
    <col width="18" customWidth="1" min="8" max="8"/>
    <col width="24" customWidth="1" min="9" max="9"/>
  </cols>
  <sheetData>
    <row r="1">
      <c r="A1" s="6" t="inlineStr">
        <is>
          <t>PvP 아레나 매치 상세 (10랭크)</t>
        </is>
      </c>
    </row>
    <row r="3">
      <c r="A3" s="7" t="inlineStr">
        <is>
          <t>랭크</t>
        </is>
      </c>
      <c r="B3" s="7" t="inlineStr">
        <is>
          <t>점수 범위</t>
        </is>
      </c>
      <c r="C3" s="7" t="inlineStr">
        <is>
          <t>승점</t>
        </is>
      </c>
      <c r="D3" s="7" t="inlineStr">
        <is>
          <t>패점</t>
        </is>
      </c>
      <c r="E3" s="7" t="inlineStr">
        <is>
          <t>매칭 범위</t>
        </is>
      </c>
      <c r="F3" s="7" t="inlineStr">
        <is>
          <t>시즌 보상</t>
        </is>
      </c>
      <c r="G3" s="7" t="inlineStr">
        <is>
          <t>밴 수</t>
        </is>
      </c>
      <c r="H3" s="7" t="inlineStr">
        <is>
          <t>특수 규칙</t>
        </is>
      </c>
      <c r="I3" s="7" t="inlineStr">
        <is>
          <t>전략 팁</t>
        </is>
      </c>
    </row>
    <row r="4">
      <c r="A4" s="8" t="inlineStr">
        <is>
          <t>🥉 브론즈 V</t>
        </is>
      </c>
      <c r="B4" s="8" t="inlineStr">
        <is>
          <t>0~199</t>
        </is>
      </c>
      <c r="C4" s="8" t="inlineStr">
        <is>
          <t>+30</t>
        </is>
      </c>
      <c r="D4" s="8" t="inlineStr">
        <is>
          <t>-5</t>
        </is>
      </c>
      <c r="E4" s="8" t="inlineStr">
        <is>
          <t>±300</t>
        </is>
      </c>
      <c r="F4" s="8" t="inlineStr">
        <is>
          <t>1,000G+5💎</t>
        </is>
      </c>
      <c r="G4" s="8" t="n">
        <v>0</v>
      </c>
      <c r="H4" s="8" t="inlineStr">
        <is>
          <t>없음</t>
        </is>
      </c>
      <c r="I4" s="8" t="inlineStr">
        <is>
          <t>아무 편성 OK, 연습 구간</t>
        </is>
      </c>
    </row>
    <row r="5">
      <c r="A5" s="9" t="inlineStr">
        <is>
          <t>🥉 브론즈 I</t>
        </is>
      </c>
      <c r="B5" s="9" t="inlineStr">
        <is>
          <t>200~399</t>
        </is>
      </c>
      <c r="C5" s="9" t="inlineStr">
        <is>
          <t>+28</t>
        </is>
      </c>
      <c r="D5" s="9" t="inlineStr">
        <is>
          <t>-8</t>
        </is>
      </c>
      <c r="E5" s="9" t="inlineStr">
        <is>
          <t>±250</t>
        </is>
      </c>
      <c r="F5" s="9" t="inlineStr">
        <is>
          <t>2,000G+10💎</t>
        </is>
      </c>
      <c r="G5" s="9" t="n">
        <v>0</v>
      </c>
      <c r="H5" s="9" t="inlineStr">
        <is>
          <t>없음</t>
        </is>
      </c>
      <c r="I5" s="9" t="inlineStr">
        <is>
          <t>기본 시너지 조합 학습</t>
        </is>
      </c>
    </row>
    <row r="6">
      <c r="A6" s="8" t="inlineStr">
        <is>
          <t>🥈 실버 V</t>
        </is>
      </c>
      <c r="B6" s="8" t="inlineStr">
        <is>
          <t>400~599</t>
        </is>
      </c>
      <c r="C6" s="8" t="inlineStr">
        <is>
          <t>+25</t>
        </is>
      </c>
      <c r="D6" s="8" t="inlineStr">
        <is>
          <t>-10</t>
        </is>
      </c>
      <c r="E6" s="8" t="inlineStr">
        <is>
          <t>±200</t>
        </is>
      </c>
      <c r="F6" s="8" t="inlineStr">
        <is>
          <t>4,000G+15💎</t>
        </is>
      </c>
      <c r="G6" s="8" t="n">
        <v>0</v>
      </c>
      <c r="H6" s="8" t="inlineStr">
        <is>
          <t>없음</t>
        </is>
      </c>
      <c r="I6" s="8" t="inlineStr">
        <is>
          <t>치유사 편성 필수 시작</t>
        </is>
      </c>
    </row>
    <row r="7">
      <c r="A7" s="9" t="inlineStr">
        <is>
          <t>🥈 실버 I</t>
        </is>
      </c>
      <c r="B7" s="9" t="inlineStr">
        <is>
          <t>600~999</t>
        </is>
      </c>
      <c r="C7" s="9" t="inlineStr">
        <is>
          <t>+22</t>
        </is>
      </c>
      <c r="D7" s="9" t="inlineStr">
        <is>
          <t>-13</t>
        </is>
      </c>
      <c r="E7" s="9" t="inlineStr">
        <is>
          <t>±180</t>
        </is>
      </c>
      <c r="F7" s="9" t="inlineStr">
        <is>
          <t>8,000G+30💎</t>
        </is>
      </c>
      <c r="G7" s="9" t="n">
        <v>1</v>
      </c>
      <c r="H7" s="9" t="inlineStr">
        <is>
          <t>밴 1명 시작</t>
        </is>
      </c>
      <c r="I7" s="9" t="inlineStr">
        <is>
          <t>상대 핵심 딜러 밴 중요</t>
        </is>
      </c>
    </row>
    <row r="8">
      <c r="A8" s="8" t="inlineStr">
        <is>
          <t>🥇 골드 V</t>
        </is>
      </c>
      <c r="B8" s="8" t="inlineStr">
        <is>
          <t>1000~1499</t>
        </is>
      </c>
      <c r="C8" s="8" t="inlineStr">
        <is>
          <t>+20</t>
        </is>
      </c>
      <c r="D8" s="8" t="inlineStr">
        <is>
          <t>-15</t>
        </is>
      </c>
      <c r="E8" s="8" t="inlineStr">
        <is>
          <t>±150</t>
        </is>
      </c>
      <c r="F8" s="8" t="inlineStr">
        <is>
          <t>15,000G+50💎</t>
        </is>
      </c>
      <c r="G8" s="8" t="n">
        <v>1</v>
      </c>
      <c r="H8" s="8" t="inlineStr">
        <is>
          <t>밴+장비 공개</t>
        </is>
      </c>
      <c r="I8" s="8" t="inlineStr">
        <is>
          <t>상대 장비 보고 대응 편성</t>
        </is>
      </c>
    </row>
    <row r="9">
      <c r="A9" s="9" t="inlineStr">
        <is>
          <t>🥇 골드 I</t>
        </is>
      </c>
      <c r="B9" s="9" t="inlineStr">
        <is>
          <t>1500~1999</t>
        </is>
      </c>
      <c r="C9" s="9" t="inlineStr">
        <is>
          <t>+18</t>
        </is>
      </c>
      <c r="D9" s="9" t="inlineStr">
        <is>
          <t>-17</t>
        </is>
      </c>
      <c r="E9" s="9" t="inlineStr">
        <is>
          <t>±120</t>
        </is>
      </c>
      <c r="F9" s="9" t="inlineStr">
        <is>
          <t>25,000G+80💎</t>
        </is>
      </c>
      <c r="G9" s="9" t="n">
        <v>1</v>
      </c>
      <c r="H9" s="9" t="inlineStr">
        <is>
          <t>용병 스킬 레벨 표시</t>
        </is>
      </c>
      <c r="I9" s="9" t="inlineStr">
        <is>
          <t>스킬 레벨 차이가 승패 가름</t>
        </is>
      </c>
    </row>
    <row r="10">
      <c r="A10" s="8" t="inlineStr">
        <is>
          <t>💎 다이아 V</t>
        </is>
      </c>
      <c r="B10" s="8" t="inlineStr">
        <is>
          <t>2000~2499</t>
        </is>
      </c>
      <c r="C10" s="8" t="inlineStr">
        <is>
          <t>+15</t>
        </is>
      </c>
      <c r="D10" s="8" t="inlineStr">
        <is>
          <t>-18</t>
        </is>
      </c>
      <c r="E10" s="8" t="inlineStr">
        <is>
          <t>±100</t>
        </is>
      </c>
      <c r="F10" s="8" t="inlineStr">
        <is>
          <t>40,000G+120💎+스킨</t>
        </is>
      </c>
      <c r="G10" s="8" t="n">
        <v>2</v>
      </c>
      <c r="H10" s="8" t="inlineStr">
        <is>
          <t>밴 2명</t>
        </is>
      </c>
      <c r="I10" s="8" t="inlineStr">
        <is>
          <t>밴픽 전쟁 본격화</t>
        </is>
      </c>
    </row>
    <row r="11">
      <c r="A11" s="9" t="inlineStr">
        <is>
          <t>💎 다이아 I</t>
        </is>
      </c>
      <c r="B11" s="9" t="inlineStr">
        <is>
          <t>2500~2999</t>
        </is>
      </c>
      <c r="C11" s="9" t="inlineStr">
        <is>
          <t>+12</t>
        </is>
      </c>
      <c r="D11" s="9" t="inlineStr">
        <is>
          <t>-20</t>
        </is>
      </c>
      <c r="E11" s="9" t="inlineStr">
        <is>
          <t>±80</t>
        </is>
      </c>
      <c r="F11" s="9" t="inlineStr">
        <is>
          <t>60,000G+150💎+칭호</t>
        </is>
      </c>
      <c r="G11" s="9" t="n">
        <v>2</v>
      </c>
      <c r="H11" s="9" t="inlineStr">
        <is>
          <t>시너지 표시</t>
        </is>
      </c>
      <c r="I11" s="9" t="inlineStr">
        <is>
          <t>상대 시너지 파악 후 카운터</t>
        </is>
      </c>
    </row>
    <row r="12">
      <c r="A12" s="8" t="inlineStr">
        <is>
          <t>👑 마스터</t>
        </is>
      </c>
      <c r="B12" s="8" t="inlineStr">
        <is>
          <t>3000~3999</t>
        </is>
      </c>
      <c r="C12" s="8" t="inlineStr">
        <is>
          <t>+10</t>
        </is>
      </c>
      <c r="D12" s="8" t="inlineStr">
        <is>
          <t>-22</t>
        </is>
      </c>
      <c r="E12" s="8" t="inlineStr">
        <is>
          <t>±60</t>
        </is>
      </c>
      <c r="F12" s="8" t="inlineStr">
        <is>
          <t>100,000G+200💎+프레임</t>
        </is>
      </c>
      <c r="G12" s="8" t="n">
        <v>2</v>
      </c>
      <c r="H12" s="8" t="inlineStr">
        <is>
          <t>전 정보 공개</t>
        </is>
      </c>
      <c r="I12" s="8" t="inlineStr">
        <is>
          <t>순수 전략+육성 대결</t>
        </is>
      </c>
    </row>
    <row r="13">
      <c r="A13" s="9" t="inlineStr">
        <is>
          <t>🌟 전설 (TOP 10)</t>
        </is>
      </c>
      <c r="B13" s="9" t="inlineStr">
        <is>
          <t>4000+</t>
        </is>
      </c>
      <c r="C13" s="9" t="inlineStr">
        <is>
          <t>+8</t>
        </is>
      </c>
      <c r="D13" s="9" t="inlineStr">
        <is>
          <t>-25</t>
        </is>
      </c>
      <c r="E13" s="9" t="inlineStr">
        <is>
          <t>TOP 20 내</t>
        </is>
      </c>
      <c r="F13" s="9" t="inlineStr">
        <is>
          <t>200,000G+500💎+전설 용병 선택권</t>
        </is>
      </c>
      <c r="G13" s="9" t="n">
        <v>2</v>
      </c>
      <c r="H13" s="9" t="inlineStr">
        <is>
          <t>관전 가능+리플레이</t>
        </is>
      </c>
      <c r="I13" s="9" t="inlineStr">
        <is>
          <t>서버 최강자 증명</t>
        </is>
      </c>
    </row>
    <row r="14">
      <c r="A14" s="8" t="inlineStr"/>
      <c r="B14" s="8" t="inlineStr"/>
      <c r="C14" s="8" t="inlineStr"/>
      <c r="D14" s="8" t="inlineStr"/>
      <c r="E14" s="8" t="inlineStr"/>
      <c r="F14" s="8" t="inlineStr"/>
      <c r="G14" s="8" t="inlineStr"/>
      <c r="H14" s="8" t="inlineStr"/>
      <c r="I14" s="8" t="inlineStr"/>
    </row>
    <row r="15">
      <c r="A15" s="9" t="inlineStr">
        <is>
          <t>시즌 기간</t>
        </is>
      </c>
      <c r="B15" s="9" t="inlineStr">
        <is>
          <t>3개월 (90일)</t>
        </is>
      </c>
      <c r="C15" s="9" t="inlineStr">
        <is>
          <t>시즌 종료 시 점수 -500 리셋</t>
        </is>
      </c>
      <c r="D15" s="9" t="inlineStr"/>
      <c r="E15" s="9" t="inlineStr"/>
      <c r="F15" s="9" t="inlineStr"/>
      <c r="G15" s="9" t="inlineStr"/>
      <c r="H15" s="9" t="inlineStr"/>
      <c r="I15" s="9" t="inlineStr"/>
    </row>
    <row r="16">
      <c r="A16" s="8" t="inlineStr">
        <is>
          <t>일일 제한</t>
        </is>
      </c>
      <c r="B16" s="8" t="inlineStr">
        <is>
          <t>무료 5회 + 티켓 15회/일</t>
        </is>
      </c>
      <c r="C16" s="8" t="inlineStr">
        <is>
          <t>티켓: 500G or 5💎</t>
        </is>
      </c>
      <c r="D16" s="8" t="inlineStr"/>
      <c r="E16" s="8" t="inlineStr"/>
      <c r="F16" s="8" t="inlineStr"/>
      <c r="G16" s="8" t="inlineStr"/>
      <c r="H16" s="8" t="inlineStr"/>
      <c r="I16" s="8" t="inlineStr"/>
    </row>
    <row r="17">
      <c r="A17" s="9" t="inlineStr">
        <is>
          <t>전투 시간</t>
        </is>
      </c>
      <c r="B17" s="9" t="inlineStr">
        <is>
          <t>2분 제한</t>
        </is>
      </c>
      <c r="C17" s="9" t="inlineStr">
        <is>
          <t>초과 시 HP% 비교</t>
        </is>
      </c>
      <c r="D17" s="9" t="inlineStr"/>
      <c r="E17" s="9" t="inlineStr"/>
      <c r="F17" s="9" t="inlineStr"/>
      <c r="G17" s="9" t="inlineStr"/>
      <c r="H17" s="9" t="inlineStr"/>
      <c r="I17" s="9" t="inlineStr"/>
    </row>
    <row r="18">
      <c r="A18" s="8" t="inlineStr">
        <is>
          <t>전투 방식</t>
        </is>
      </c>
      <c r="B18" s="8" t="inlineStr">
        <is>
          <t>본인+파티6명 vs 상대+파티6명</t>
        </is>
      </c>
      <c r="C18" s="8" t="inlineStr">
        <is>
          <t>IO방식 이동+오토배틀</t>
        </is>
      </c>
      <c r="D18" s="8" t="inlineStr"/>
      <c r="E18" s="8" t="inlineStr"/>
      <c r="F18" s="8" t="inlineStr"/>
      <c r="G18" s="8" t="inlineStr"/>
      <c r="H18" s="8" t="inlineStr"/>
      <c r="I18" s="8" t="inlineStr"/>
    </row>
    <row r="19">
      <c r="A19" s="9" t="inlineStr">
        <is>
          <t>밴 방식</t>
        </is>
      </c>
      <c r="B19" s="9" t="inlineStr">
        <is>
          <t>교대 밴 (상대 용병 1~2명 사용 금지)</t>
        </is>
      </c>
      <c r="C19" s="9" t="inlineStr">
        <is>
          <t>밴 시간 15초</t>
        </is>
      </c>
      <c r="D19" s="9" t="inlineStr"/>
      <c r="E19" s="9" t="inlineStr"/>
      <c r="F19" s="9" t="inlineStr"/>
      <c r="G19" s="9" t="inlineStr"/>
      <c r="H19" s="9" t="inlineStr"/>
      <c r="I19" s="9" t="inlineStr"/>
    </row>
    <row r="20">
      <c r="A20" s="8" t="inlineStr">
        <is>
          <t>시너지 적용</t>
        </is>
      </c>
      <c r="B20" s="8" t="inlineStr">
        <is>
          <t>파티 시너지 전부 적용</t>
        </is>
      </c>
      <c r="C20" s="8" t="inlineStr">
        <is>
          <t>전사맹세/마법공명/그림자결사 등</t>
        </is>
      </c>
      <c r="D20" s="8" t="inlineStr"/>
      <c r="E20" s="8" t="inlineStr"/>
      <c r="F20" s="8" t="inlineStr"/>
      <c r="G20" s="8" t="inlineStr"/>
      <c r="H20" s="8" t="inlineStr"/>
      <c r="I20" s="8" t="inlineStr"/>
    </row>
    <row r="21">
      <c r="A21" s="9" t="inlineStr">
        <is>
          <t>MVP</t>
        </is>
      </c>
      <c r="B21" s="9" t="inlineStr">
        <is>
          <t>최다 데미지 or 최다 킬</t>
        </is>
      </c>
      <c r="C21" s="9" t="inlineStr">
        <is>
          <t>MVP 보상: 승점 +5 추가</t>
        </is>
      </c>
      <c r="D21" s="9" t="inlineStr"/>
      <c r="E21" s="9" t="inlineStr"/>
      <c r="F21" s="9" t="inlineStr"/>
      <c r="G21" s="9" t="inlineStr"/>
      <c r="H21" s="9" t="inlineStr"/>
      <c r="I21" s="9" t="inlineStr"/>
    </row>
  </sheetData>
  <mergeCells count="1">
    <mergeCell ref="A1:I1"/>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8" customWidth="1" min="1" max="1"/>
    <col width="18" customWidth="1" min="2" max="2"/>
    <col width="12" customWidth="1" min="3" max="3"/>
    <col width="8" customWidth="1" min="4" max="4"/>
    <col width="22" customWidth="1" min="5" max="5"/>
    <col width="22" customWidth="1" min="6" max="6"/>
    <col width="18" customWidth="1" min="7" max="7"/>
    <col width="12" customWidth="1" min="8" max="8"/>
  </cols>
  <sheetData>
    <row r="1">
      <c r="A1" s="6" t="inlineStr">
        <is>
          <t>심연의 탑 층별 상세 (100층)</t>
        </is>
      </c>
    </row>
    <row r="3">
      <c r="A3" s="7" t="inlineStr">
        <is>
          <t>층</t>
        </is>
      </c>
      <c r="B3" s="7" t="inlineStr">
        <is>
          <t>적 구성</t>
        </is>
      </c>
      <c r="C3" s="7" t="inlineStr">
        <is>
          <t>적 HP</t>
        </is>
      </c>
      <c r="D3" s="7" t="inlineStr">
        <is>
          <t>적 ATK</t>
        </is>
      </c>
      <c r="E3" s="7" t="inlineStr">
        <is>
          <t>특수 규칙</t>
        </is>
      </c>
      <c r="F3" s="7" t="inlineStr">
        <is>
          <t>보스</t>
        </is>
      </c>
      <c r="G3" s="7" t="inlineStr">
        <is>
          <t>드롭 보너스</t>
        </is>
      </c>
      <c r="H3" s="7" t="inlineStr">
        <is>
          <t>누적 보상</t>
        </is>
      </c>
    </row>
    <row r="4">
      <c r="A4" s="8" t="inlineStr">
        <is>
          <t>1~5</t>
        </is>
      </c>
      <c r="B4" s="8" t="inlineStr">
        <is>
          <t>슬라임 3~5체</t>
        </is>
      </c>
      <c r="C4" s="8" t="inlineStr">
        <is>
          <t>50~80</t>
        </is>
      </c>
      <c r="D4" s="8" t="inlineStr">
        <is>
          <t>8~12</t>
        </is>
      </c>
      <c r="E4" s="8" t="inlineStr">
        <is>
          <t>없음</t>
        </is>
      </c>
      <c r="F4" s="8" t="inlineStr">
        <is>
          <t>5층: 슬라임 킹 (HP 300)</t>
        </is>
      </c>
      <c r="G4" s="8" t="inlineStr">
        <is>
          <t>층당 500G</t>
        </is>
      </c>
      <c r="H4" s="8" t="inlineStr">
        <is>
          <t>2,500G</t>
        </is>
      </c>
    </row>
    <row r="5">
      <c r="A5" s="9" t="inlineStr">
        <is>
          <t>6~10</t>
        </is>
      </c>
      <c r="B5" s="9" t="inlineStr">
        <is>
          <t>늑대+박쥐 4~6체</t>
        </is>
      </c>
      <c r="C5" s="9" t="inlineStr">
        <is>
          <t>80~150</t>
        </is>
      </c>
      <c r="D5" s="9" t="inlineStr">
        <is>
          <t>12~18</t>
        </is>
      </c>
      <c r="E5" s="9" t="inlineStr">
        <is>
          <t>밤 (시야 -30%)</t>
        </is>
      </c>
      <c r="F5" s="9" t="inlineStr">
        <is>
          <t>10층: 디어울프 (HP 800)</t>
        </is>
      </c>
      <c r="G5" s="9" t="inlineStr">
        <is>
          <t>층당 1,000G+재료1</t>
        </is>
      </c>
      <c r="H5" s="9" t="inlineStr">
        <is>
          <t>7,500G</t>
        </is>
      </c>
    </row>
    <row r="6">
      <c r="A6" s="8" t="inlineStr">
        <is>
          <t>11~15</t>
        </is>
      </c>
      <c r="B6" s="8" t="inlineStr">
        <is>
          <t>거미+독거미 5~7체</t>
        </is>
      </c>
      <c r="C6" s="8" t="inlineStr">
        <is>
          <t>120~250</t>
        </is>
      </c>
      <c r="D6" s="8" t="inlineStr">
        <is>
          <t>15~22</t>
        </is>
      </c>
      <c r="E6" s="8" t="inlineStr">
        <is>
          <t>독 안개 (DOT 3/초)</t>
        </is>
      </c>
      <c r="F6" s="8" t="inlineStr">
        <is>
          <t>15층: 아라크네 (HP 1500)</t>
        </is>
      </c>
      <c r="G6" s="8" t="inlineStr">
        <is>
          <t>층당 1,500G+재료2</t>
        </is>
      </c>
      <c r="H6" s="8" t="inlineStr">
        <is>
          <t>15,000G</t>
        </is>
      </c>
    </row>
    <row r="7">
      <c r="A7" s="9" t="inlineStr">
        <is>
          <t>16~20</t>
        </is>
      </c>
      <c r="B7" s="9" t="inlineStr">
        <is>
          <t>엘리트 전사 4~6체</t>
        </is>
      </c>
      <c r="C7" s="9" t="inlineStr">
        <is>
          <t>200~400</t>
        </is>
      </c>
      <c r="D7" s="9" t="inlineStr">
        <is>
          <t>20~30</t>
        </is>
      </c>
      <c r="E7" s="9" t="inlineStr">
        <is>
          <t>함정 랜덤 출현</t>
        </is>
      </c>
      <c r="F7" s="9" t="inlineStr">
        <is>
          <t>20층: 흑기사 (HP 3000)</t>
        </is>
      </c>
      <c r="G7" s="9" t="inlineStr">
        <is>
          <t>층당 2,000G+5% 카드</t>
        </is>
      </c>
      <c r="H7" s="9" t="inlineStr">
        <is>
          <t>25,000G</t>
        </is>
      </c>
    </row>
    <row r="8">
      <c r="A8" s="8" t="inlineStr">
        <is>
          <t>21~25</t>
        </is>
      </c>
      <c r="B8" s="8" t="inlineStr">
        <is>
          <t>드래곤+언데드 4~6체</t>
        </is>
      </c>
      <c r="C8" s="8" t="inlineStr">
        <is>
          <t>350~600</t>
        </is>
      </c>
      <c r="D8" s="8" t="inlineStr">
        <is>
          <t>25~35</t>
        </is>
      </c>
      <c r="E8" s="8" t="inlineStr">
        <is>
          <t>화염 장판 (5/초)</t>
        </is>
      </c>
      <c r="F8" s="8" t="inlineStr">
        <is>
          <t>25층: 화염 드래곤 (HP 5000)</t>
        </is>
      </c>
      <c r="G8" s="8" t="inlineStr">
        <is>
          <t>층당 3,000G+10% 카드</t>
        </is>
      </c>
      <c r="H8" s="8" t="inlineStr">
        <is>
          <t>40,000G</t>
        </is>
      </c>
    </row>
    <row r="9">
      <c r="A9" s="9" t="inlineStr">
        <is>
          <t>26~30</t>
        </is>
      </c>
      <c r="B9" s="9" t="inlineStr">
        <is>
          <t>보스급 1+엘리트 3체</t>
        </is>
      </c>
      <c r="C9" s="9" t="inlineStr">
        <is>
          <t>500~800</t>
        </is>
      </c>
      <c r="D9" s="9" t="inlineStr">
        <is>
          <t>30~40</t>
        </is>
      </c>
      <c r="E9" s="9" t="inlineStr">
        <is>
          <t>용병 사망 시 다음 층 사용 불가</t>
        </is>
      </c>
      <c r="F9" s="9" t="inlineStr">
        <is>
          <t>30층: 마왕의 그림자 (HP 8000)</t>
        </is>
      </c>
      <c r="G9" s="9" t="inlineStr">
        <is>
          <t>층당 4,000G+재료5</t>
        </is>
      </c>
      <c r="H9" s="9" t="inlineStr">
        <is>
          <t>60,000G</t>
        </is>
      </c>
    </row>
    <row r="10">
      <c r="A10" s="8" t="inlineStr">
        <is>
          <t>31~40</t>
        </is>
      </c>
      <c r="B10" s="8" t="inlineStr">
        <is>
          <t>보스 2체 동시</t>
        </is>
      </c>
      <c r="C10" s="8" t="inlineStr">
        <is>
          <t>600~1200</t>
        </is>
      </c>
      <c r="D10" s="8" t="inlineStr">
        <is>
          <t>35~50</t>
        </is>
      </c>
      <c r="E10" s="8" t="inlineStr">
        <is>
          <t>피격 시 디버프 누적 (ATK-2%)</t>
        </is>
      </c>
      <c r="F10" s="8" t="inlineStr">
        <is>
          <t>40층: 심연의 쌍둥이 (HP 12000×2)</t>
        </is>
      </c>
      <c r="G10" s="8" t="inlineStr">
        <is>
          <t>층당 5,000G+15% 카드</t>
        </is>
      </c>
      <c r="H10" s="8" t="inlineStr">
        <is>
          <t>110,000G</t>
        </is>
      </c>
    </row>
    <row r="11">
      <c r="A11" s="9" t="inlineStr">
        <is>
          <t>41~50</t>
        </is>
      </c>
      <c r="B11" s="9" t="inlineStr">
        <is>
          <t>보스+엘리트 4체</t>
        </is>
      </c>
      <c r="C11" s="9" t="inlineStr">
        <is>
          <t>800~2000</t>
        </is>
      </c>
      <c r="D11" s="9" t="inlineStr">
        <is>
          <t>40~60</t>
        </is>
      </c>
      <c r="E11" s="9" t="inlineStr">
        <is>
          <t>회복 불가 (순수 전투력)</t>
        </is>
      </c>
      <c r="F11" s="9" t="inlineStr">
        <is>
          <t>50층: 심연 군주 (HP 20000)</t>
        </is>
      </c>
      <c r="G11" s="9" t="inlineStr">
        <is>
          <t>층당 8,000G+각성석 조각</t>
        </is>
      </c>
      <c r="H11" s="9" t="inlineStr">
        <is>
          <t>150,000G</t>
        </is>
      </c>
    </row>
    <row r="12">
      <c r="A12" s="8" t="inlineStr">
        <is>
          <t>51~60</t>
        </is>
      </c>
      <c r="B12" s="8" t="inlineStr">
        <is>
          <t>강화 보스 (ATK×2)</t>
        </is>
      </c>
      <c r="C12" s="8" t="inlineStr">
        <is>
          <t>1500~3000</t>
        </is>
      </c>
      <c r="D12" s="8" t="inlineStr">
        <is>
          <t>50~70</t>
        </is>
      </c>
      <c r="E12" s="8" t="inlineStr">
        <is>
          <t>용병 교체 불가</t>
        </is>
      </c>
      <c r="F12" s="8" t="inlineStr">
        <is>
          <t>60층: 고대 용 (HP 35000)</t>
        </is>
      </c>
      <c r="G12" s="8" t="inlineStr">
        <is>
          <t>층당 10,000G+각성석 5%</t>
        </is>
      </c>
      <c r="H12" s="8" t="inlineStr">
        <is>
          <t>250,000G</t>
        </is>
      </c>
    </row>
    <row r="13">
      <c r="A13" s="9" t="inlineStr">
        <is>
          <t>61~70</t>
        </is>
      </c>
      <c r="B13" s="9" t="inlineStr">
        <is>
          <t>보스 3체 동시</t>
        </is>
      </c>
      <c r="C13" s="9" t="inlineStr">
        <is>
          <t>2000~4000</t>
        </is>
      </c>
      <c r="D13" s="9" t="inlineStr">
        <is>
          <t>55~75</t>
        </is>
      </c>
      <c r="E13" s="9" t="inlineStr">
        <is>
          <t>랜덤 디버프 매층 적용</t>
        </is>
      </c>
      <c r="F13" s="9" t="inlineStr">
        <is>
          <t>70층: 삼두 히드라 (HP 25000×3)</t>
        </is>
      </c>
      <c r="G13" s="9" t="inlineStr">
        <is>
          <t>층당 15,000G+전설재료</t>
        </is>
      </c>
      <c r="H13" s="9" t="inlineStr">
        <is>
          <t>400,000G</t>
        </is>
      </c>
    </row>
    <row r="14">
      <c r="A14" s="8" t="inlineStr">
        <is>
          <t>71~80</t>
        </is>
      </c>
      <c r="B14" s="8" t="inlineStr">
        <is>
          <t>신화급 몬스터</t>
        </is>
      </c>
      <c r="C14" s="8" t="inlineStr">
        <is>
          <t>3000~6000</t>
        </is>
      </c>
      <c r="D14" s="8" t="inlineStr">
        <is>
          <t>60~80</t>
        </is>
      </c>
      <c r="E14" s="8" t="inlineStr">
        <is>
          <t>플레이어 스탯 -30%</t>
        </is>
      </c>
      <c r="F14" s="8" t="inlineStr">
        <is>
          <t>80층: 타락천사 (HP 50000)</t>
        </is>
      </c>
      <c r="G14" s="8" t="inlineStr">
        <is>
          <t>층당 20,000G+전설카드 5%</t>
        </is>
      </c>
      <c r="H14" s="8" t="inlineStr">
        <is>
          <t>600,000G</t>
        </is>
      </c>
    </row>
    <row r="15">
      <c r="A15" s="9" t="inlineStr">
        <is>
          <t>81~90</t>
        </is>
      </c>
      <c r="B15" s="9" t="inlineStr">
        <is>
          <t>IO 역대 보스 연속</t>
        </is>
      </c>
      <c r="C15" s="9" t="inlineStr">
        <is>
          <t>5000~10000</t>
        </is>
      </c>
      <c r="D15" s="9" t="inlineStr">
        <is>
          <t>65~85</t>
        </is>
      </c>
      <c r="E15" s="9" t="inlineStr">
        <is>
          <t>보스 패턴 강화판</t>
        </is>
      </c>
      <c r="F15" s="9" t="inlineStr">
        <is>
          <t>90층: 마왕 (정식, HP 80000)</t>
        </is>
      </c>
      <c r="G15" s="9" t="inlineStr">
        <is>
          <t>층당 30,000G+신화재료 3%</t>
        </is>
      </c>
      <c r="H15" s="9" t="inlineStr">
        <is>
          <t>900,000G</t>
        </is>
      </c>
    </row>
    <row r="16">
      <c r="A16" s="8" t="inlineStr">
        <is>
          <t>91~99</t>
        </is>
      </c>
      <c r="B16" s="8" t="inlineStr">
        <is>
          <t>보스 러시+디버프+시간제한</t>
        </is>
      </c>
      <c r="C16" s="8" t="inlineStr">
        <is>
          <t>8000~20000</t>
        </is>
      </c>
      <c r="D16" s="8" t="inlineStr">
        <is>
          <t>70~90</t>
        </is>
      </c>
      <c r="E16" s="8" t="inlineStr">
        <is>
          <t>3분 제한, 사망 즉시 종료</t>
        </is>
      </c>
      <c r="F16" s="8" t="inlineStr">
        <is>
          <t>99층: 혼돈의 군주 (HP 100000)</t>
        </is>
      </c>
      <c r="G16" s="8" t="inlineStr">
        <is>
          <t>층당 50,000G</t>
        </is>
      </c>
      <c r="H16" s="8" t="inlineStr">
        <is>
          <t>1,350,000G</t>
        </is>
      </c>
    </row>
    <row r="17">
      <c r="A17" s="9" t="inlineStr">
        <is>
          <t>100 🏆</t>
        </is>
      </c>
      <c r="B17" s="9" t="inlineStr">
        <is>
          <t>???</t>
        </is>
      </c>
      <c r="C17" s="9" t="inlineStr">
        <is>
          <t>50000</t>
        </is>
      </c>
      <c r="D17" s="9" t="inlineStr">
        <is>
          <t>100</t>
        </is>
      </c>
      <c r="E17" s="9" t="inlineStr">
        <is>
          <t>전 페이즈 통합, 3분 제한</t>
        </is>
      </c>
      <c r="F17" s="9" t="inlineStr">
        <is>
          <t>태초의 존재 그림자 (3페이즈)</t>
        </is>
      </c>
      <c r="G17" s="9" t="inlineStr">
        <is>
          <t>100,000G+200💎+신화 확정+칭호</t>
        </is>
      </c>
      <c r="H17" s="9" t="inlineStr">
        <is>
          <t>1,450,000G</t>
        </is>
      </c>
    </row>
    <row r="18">
      <c r="A18" s="8" t="inlineStr"/>
      <c r="B18" s="8" t="inlineStr"/>
      <c r="C18" s="8" t="inlineStr"/>
      <c r="D18" s="8" t="inlineStr"/>
      <c r="E18" s="8" t="inlineStr"/>
      <c r="F18" s="8" t="inlineStr"/>
      <c r="G18" s="8" t="inlineStr"/>
      <c r="H18" s="8" t="inlineStr"/>
    </row>
    <row r="19">
      <c r="A19" s="9" t="inlineStr">
        <is>
          <t>리셋</t>
        </is>
      </c>
      <c r="B19" s="9" t="inlineStr">
        <is>
          <t>주 1회 (월요일 00:00)</t>
        </is>
      </c>
      <c r="C19" s="9" t="inlineStr">
        <is>
          <t>최고 기록 갱신 시 추가 보상</t>
        </is>
      </c>
      <c r="D19" s="9" t="inlineStr"/>
      <c r="E19" s="9" t="inlineStr"/>
      <c r="F19" s="9" t="inlineStr"/>
      <c r="G19" s="9" t="inlineStr"/>
      <c r="H19" s="9" t="inlineStr"/>
    </row>
    <row r="20">
      <c r="A20" s="8" t="inlineStr">
        <is>
          <t>체력 유지</t>
        </is>
      </c>
      <c r="B20" s="8" t="inlineStr">
        <is>
          <t>용병 HP가 층 간 유지 (회복 없음)</t>
        </is>
      </c>
      <c r="C20" s="8" t="inlineStr">
        <is>
          <t>전략적 용병 교체 필요</t>
        </is>
      </c>
      <c r="D20" s="8" t="inlineStr"/>
      <c r="E20" s="8" t="inlineStr"/>
      <c r="F20" s="8" t="inlineStr"/>
      <c r="G20" s="8" t="inlineStr"/>
      <c r="H20" s="8" t="inlineStr"/>
    </row>
    <row r="21">
      <c r="A21" s="9" t="inlineStr">
        <is>
          <t>랭킹</t>
        </is>
      </c>
      <c r="B21" s="9" t="inlineStr">
        <is>
          <t>최고 도달 층 서버 랭킹</t>
        </is>
      </c>
      <c r="C21" s="9" t="inlineStr">
        <is>
          <t>1위: "심연의 정복자" + 주 50💎</t>
        </is>
      </c>
      <c r="D21" s="9" t="inlineStr"/>
      <c r="E21" s="9" t="inlineStr"/>
      <c r="F21" s="9" t="inlineStr"/>
      <c r="G21" s="9" t="inlineStr"/>
      <c r="H21" s="9" t="inlineStr"/>
    </row>
  </sheetData>
  <mergeCells count="1">
    <mergeCell ref="A1:H1"/>
  </mergeCell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2" customWidth="1" min="1" max="1"/>
    <col width="12" customWidth="1" min="2" max="2"/>
    <col width="22" customWidth="1" min="3" max="3"/>
    <col width="20" customWidth="1" min="4" max="4"/>
    <col width="12" customWidth="1" min="5" max="5"/>
    <col width="10" customWidth="1" min="6" max="6"/>
    <col width="30" customWidth="1" min="7" max="7"/>
    <col width="22" customWidth="1" min="8" max="8"/>
    <col width="16" customWidth="1" min="9" max="9"/>
  </cols>
  <sheetData>
    <row r="1">
      <c r="A1" s="6" t="inlineStr">
        <is>
          <t>차원 정복 상세 (6차원)</t>
        </is>
      </c>
    </row>
    <row r="3">
      <c r="A3" s="7" t="inlineStr">
        <is>
          <t>차원</t>
        </is>
      </c>
      <c r="B3" s="7" t="inlineStr">
        <is>
          <t>테마</t>
        </is>
      </c>
      <c r="C3" s="7" t="inlineStr">
        <is>
          <t>환경 효과</t>
        </is>
      </c>
      <c r="D3" s="7" t="inlineStr">
        <is>
          <t>몬스터 특징</t>
        </is>
      </c>
      <c r="E3" s="7" t="inlineStr">
        <is>
          <t>보스</t>
        </is>
      </c>
      <c r="F3" s="7" t="inlineStr">
        <is>
          <t>보스 HP</t>
        </is>
      </c>
      <c r="G3" s="7" t="inlineStr">
        <is>
          <t>보스 메카닉</t>
        </is>
      </c>
      <c r="H3" s="7" t="inlineStr">
        <is>
          <t>보상</t>
        </is>
      </c>
      <c r="I3" s="7" t="inlineStr">
        <is>
          <t>해금 조건</t>
        </is>
      </c>
    </row>
    <row r="4">
      <c r="A4" s="8" t="inlineStr">
        <is>
          <t>1차원: 불</t>
        </is>
      </c>
      <c r="B4" s="8" t="inlineStr">
        <is>
          <t>🌋 끝없는 화산</t>
        </is>
      </c>
      <c r="C4" s="8" t="inlineStr">
        <is>
          <t>전역 화상 1/초, 용암 장판</t>
        </is>
      </c>
      <c r="D4" s="8" t="inlineStr">
        <is>
          <t>전부 화염 속성, 화염 면역</t>
        </is>
      </c>
      <c r="E4" s="8" t="inlineStr">
        <is>
          <t>🔥 이프리트</t>
        </is>
      </c>
      <c r="F4" s="8" t="inlineStr">
        <is>
          <t>100,000</t>
        </is>
      </c>
      <c r="G4" s="8" t="inlineStr">
        <is>
          <t>3페이즈: 화염구→용암 분출→전신 폭발, 냉기 약점</t>
        </is>
      </c>
      <c r="H4" s="8" t="inlineStr">
        <is>
          <t>차원석 ×10+화염 신화재료</t>
        </is>
      </c>
      <c r="I4" s="8" t="inlineStr">
        <is>
          <t>심연 50층+</t>
        </is>
      </c>
    </row>
    <row r="5">
      <c r="A5" s="9" t="inlineStr">
        <is>
          <t>2차원: 얼음</t>
        </is>
      </c>
      <c r="B5" s="9" t="inlineStr">
        <is>
          <t>❄️ 영원의 빙하</t>
        </is>
      </c>
      <c r="C5" s="9" t="inlineStr">
        <is>
          <t>전체 감속 -30%, 빙판 미끄러짐</t>
        </is>
      </c>
      <c r="D5" s="9" t="inlineStr">
        <is>
          <t>전부 냉기 속성, 빙결 면역</t>
        </is>
      </c>
      <c r="E5" s="9" t="inlineStr">
        <is>
          <t>❄️ 프로스트 퀸</t>
        </is>
      </c>
      <c r="F5" s="9" t="inlineStr">
        <is>
          <t>150,000</t>
        </is>
      </c>
      <c r="G5" s="9" t="inlineStr">
        <is>
          <t>3페이즈: 얼음 비→빙하 분쇄→절대영도(전체 즉사급), 화염 약점</t>
        </is>
      </c>
      <c r="H5" s="9" t="inlineStr">
        <is>
          <t>차원석 ×15+빙결 신화재료</t>
        </is>
      </c>
      <c r="I5" s="9" t="inlineStr">
        <is>
          <t>심연 70층+</t>
        </is>
      </c>
    </row>
    <row r="6">
      <c r="A6" s="8" t="inlineStr">
        <is>
          <t>3차원: 어둠</t>
        </is>
      </c>
      <c r="B6" s="8" t="inlineStr">
        <is>
          <t>🌑 심연의 심장</t>
        </is>
      </c>
      <c r="C6" s="8" t="inlineStr">
        <is>
          <t>시야 0, 소리로만 판단</t>
        </is>
      </c>
      <c r="D6" s="8" t="inlineStr">
        <is>
          <t>전부 그림자화, 물리 50% 감소</t>
        </is>
      </c>
      <c r="E6" s="8" t="inlineStr">
        <is>
          <t>🌑 심연의 눈</t>
        </is>
      </c>
      <c r="F6" s="8" t="inlineStr">
        <is>
          <t>200,000</t>
        </is>
      </c>
      <c r="G6" s="8" t="inlineStr">
        <is>
          <t>2페이즈: 어둠 속 추적→빛 구슬 모아 약점 노출, 마법 데미지만 유효</t>
        </is>
      </c>
      <c r="H6" s="8" t="inlineStr">
        <is>
          <t>차원석 ×20+암흑 신화재료</t>
        </is>
      </c>
      <c r="I6" s="8" t="inlineStr">
        <is>
          <t>심연 90층+</t>
        </is>
      </c>
    </row>
    <row r="7">
      <c r="A7" s="9" t="inlineStr">
        <is>
          <t>4차원: 혼돈</t>
        </is>
      </c>
      <c r="B7" s="9" t="inlineStr">
        <is>
          <t>🌀 뒤틀린 공간</t>
        </is>
      </c>
      <c r="C7" s="9" t="inlineStr">
        <is>
          <t>모든 스탯 매 10초 랜덤 변동</t>
        </is>
      </c>
      <c r="D7" s="9" t="inlineStr">
        <is>
          <t>속성 매턴 변경, 약점 변동</t>
        </is>
      </c>
      <c r="E7" s="9" t="inlineStr">
        <is>
          <t>🌀 혼돈의 심장</t>
        </is>
      </c>
      <c r="F7" s="9" t="inlineStr">
        <is>
          <t>300,000</t>
        </is>
      </c>
      <c r="G7" s="9" t="inlineStr">
        <is>
          <t>4페이즈: 각 페이즈 다른 속성+패턴, 적응력 시험</t>
        </is>
      </c>
      <c r="H7" s="9" t="inlineStr">
        <is>
          <t>차원석 ×30+혼돈 신화재료</t>
        </is>
      </c>
      <c r="I7" s="9" t="inlineStr">
        <is>
          <t>심연 100층+전투력 20,000+</t>
        </is>
      </c>
    </row>
    <row r="8">
      <c r="A8" s="8" t="inlineStr">
        <is>
          <t>5차원: 시간</t>
        </is>
      </c>
      <c r="B8" s="8" t="inlineStr">
        <is>
          <t>⏳ 정지된 시간</t>
        </is>
      </c>
      <c r="C8" s="8" t="inlineStr">
        <is>
          <t>3분 제한, 적 무한 리젠, 시간 역행 함정</t>
        </is>
      </c>
      <c r="D8" s="8" t="inlineStr">
        <is>
          <t>시간 정지 면역, 부활 가능</t>
        </is>
      </c>
      <c r="E8" s="8" t="inlineStr">
        <is>
          <t>⏳ 크로노스</t>
        </is>
      </c>
      <c r="F8" s="8" t="inlineStr">
        <is>
          <t>500,000</t>
        </is>
      </c>
      <c r="G8" s="8" t="inlineStr">
        <is>
          <t>2페이즈: 시간 정지+가속 교대, DPS 체크+패턴 암기 필수</t>
        </is>
      </c>
      <c r="H8" s="8" t="inlineStr">
        <is>
          <t>차원석 ×50+시간 신화재료</t>
        </is>
      </c>
      <c r="I8" s="8" t="inlineStr">
        <is>
          <t>모든 차원 클리어</t>
        </is>
      </c>
    </row>
    <row r="9">
      <c r="A9" s="9" t="inlineStr">
        <is>
          <t>최종: 태초</t>
        </is>
      </c>
      <c r="B9" s="9" t="inlineStr">
        <is>
          <t>🌌 태초의 공간</t>
        </is>
      </c>
      <c r="C9" s="9" t="inlineStr">
        <is>
          <t>전 효과 랜덤 조합</t>
        </is>
      </c>
      <c r="D9" s="9" t="inlineStr">
        <is>
          <t>이전 모든 보스 미니 버전 등장</t>
        </is>
      </c>
      <c r="E9" s="9" t="inlineStr">
        <is>
          <t>🌌 태초의 그림자</t>
        </is>
      </c>
      <c r="F9" s="9" t="inlineStr">
        <is>
          <t>1,000,000</t>
        </is>
      </c>
      <c r="G9" s="9" t="inlineStr">
        <is>
          <t>5페이즈: 불→얼음→어둠→혼돈→시간 순서, 전 약점 총동원</t>
        </is>
      </c>
      <c r="H9" s="9" t="inlineStr">
        <is>
          <t>초신화 용병 선택권+칭호+"차원의 정복자"+서버 기념비</t>
        </is>
      </c>
      <c r="I9" s="9" t="inlineStr">
        <is>
          <t>5차원+서버 TOP 10</t>
        </is>
      </c>
    </row>
    <row r="10">
      <c r="A10" s="8" t="inlineStr"/>
      <c r="B10" s="8" t="inlineStr"/>
      <c r="C10" s="8" t="inlineStr"/>
      <c r="D10" s="8" t="inlineStr"/>
      <c r="E10" s="8" t="inlineStr"/>
      <c r="F10" s="8" t="inlineStr"/>
      <c r="G10" s="8" t="inlineStr"/>
      <c r="H10" s="8" t="inlineStr"/>
      <c r="I10" s="8" t="inlineStr"/>
    </row>
    <row r="11">
      <c r="A11" s="9" t="inlineStr">
        <is>
          <t>차원석 용도</t>
        </is>
      </c>
      <c r="B11" s="9" t="inlineStr">
        <is>
          <t>차원 상점: 초월 재료(50석)/전설 특성 리롤(30석)/한정 스킨(100석)/신화 재료(80석)</t>
        </is>
      </c>
      <c r="C11" s="9" t="inlineStr"/>
      <c r="D11" s="9" t="inlineStr"/>
      <c r="E11" s="9" t="inlineStr"/>
      <c r="F11" s="9" t="inlineStr"/>
      <c r="G11" s="9" t="inlineStr"/>
      <c r="H11" s="9" t="inlineStr"/>
      <c r="I11" s="9" t="inlineStr"/>
    </row>
    <row r="12">
      <c r="A12" s="8" t="inlineStr">
        <is>
          <t>주간 리셋</t>
        </is>
      </c>
      <c r="B12" s="8" t="inlineStr">
        <is>
          <t>각 차원 주 1회 클리어 가능</t>
        </is>
      </c>
      <c r="C12" s="8" t="inlineStr"/>
      <c r="D12" s="8" t="inlineStr"/>
      <c r="E12" s="8" t="inlineStr"/>
      <c r="F12" s="8" t="inlineStr"/>
      <c r="G12" s="8" t="inlineStr"/>
      <c r="H12" s="8" t="inlineStr"/>
      <c r="I12" s="8" t="inlineStr"/>
    </row>
    <row r="13">
      <c r="A13" s="9" t="inlineStr">
        <is>
          <t>협동</t>
        </is>
      </c>
      <c r="B13" s="9" t="inlineStr">
        <is>
          <t>1~5차원: 솔로 or 3인 파티</t>
        </is>
      </c>
      <c r="C13" s="9" t="inlineStr">
        <is>
          <t>최종: 서버 TOP 10 전원 협동</t>
        </is>
      </c>
      <c r="D13" s="9" t="inlineStr"/>
      <c r="E13" s="9" t="inlineStr"/>
      <c r="F13" s="9" t="inlineStr"/>
      <c r="G13" s="9" t="inlineStr"/>
      <c r="H13" s="9" t="inlineStr"/>
      <c r="I13" s="9" t="inlineStr"/>
    </row>
    <row r="14">
      <c r="A14" s="8" t="inlineStr">
        <is>
          <t>랭킹</t>
        </is>
      </c>
      <c r="B14" s="8" t="inlineStr">
        <is>
          <t>클리어 시간 랭킹</t>
        </is>
      </c>
      <c r="C14" s="8" t="inlineStr">
        <is>
          <t>1위: "차원의 패자" 칭호</t>
        </is>
      </c>
      <c r="D14" s="8" t="inlineStr"/>
      <c r="E14" s="8" t="inlineStr"/>
      <c r="F14" s="8" t="inlineStr"/>
      <c r="G14" s="8" t="inlineStr"/>
      <c r="H14" s="8" t="inlineStr"/>
      <c r="I14" s="8" t="inlineStr"/>
    </row>
  </sheetData>
  <mergeCells count="1">
    <mergeCell ref="A1:I1"/>
  </mergeCell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4" customWidth="1" min="1" max="1"/>
    <col width="14" customWidth="1" min="2" max="2"/>
    <col width="16" customWidth="1" min="3" max="3"/>
    <col width="28" customWidth="1" min="4" max="4"/>
    <col width="36" customWidth="1" min="5" max="5"/>
    <col width="12" customWidth="1" min="6" max="6"/>
    <col width="12" customWidth="1" min="7" max="7"/>
    <col width="44" customWidth="1" min="8" max="8"/>
    <col width="22" customWidth="1" min="9" max="9"/>
  </cols>
  <sheetData>
    <row r="1">
      <c r="A1" s="6" t="inlineStr">
        <is>
          <t>공성전 맵 디자인 10종</t>
        </is>
      </c>
    </row>
    <row r="3">
      <c r="A3" s="7" t="inlineStr">
        <is>
          <t>맵 이름</t>
        </is>
      </c>
      <c r="B3" s="7" t="inlineStr">
        <is>
          <t>테마</t>
        </is>
      </c>
      <c r="C3" s="7" t="inlineStr">
        <is>
          <t>크기</t>
        </is>
      </c>
      <c r="D3" s="7" t="inlineStr">
        <is>
          <t>벽 배치</t>
        </is>
      </c>
      <c r="E3" s="7" t="inlineStr">
        <is>
          <t>특수 구역</t>
        </is>
      </c>
      <c r="F3" s="7" t="inlineStr">
        <is>
          <t>통로 수</t>
        </is>
      </c>
      <c r="G3" s="7" t="inlineStr">
        <is>
          <t>난이도</t>
        </is>
      </c>
      <c r="H3" s="7" t="inlineStr">
        <is>
          <t>전략 포인트</t>
        </is>
      </c>
      <c r="I3" s="7" t="inlineStr">
        <is>
          <t>해금 조건</t>
        </is>
      </c>
    </row>
    <row r="4">
      <c r="A4" s="8" t="inlineStr">
        <is>
          <t>초원 성채</t>
        </is>
      </c>
      <c r="B4" s="8" t="inlineStr">
        <is>
          <t>초원/평야</t>
        </is>
      </c>
      <c r="C4" s="8" t="inlineStr">
        <is>
          <t>중형 (40×40)</t>
        </is>
      </c>
      <c r="D4" s="8" t="inlineStr">
        <is>
          <t>벽 3개 (중앙+좌우 날개)</t>
        </is>
      </c>
      <c r="E4" s="8" t="inlineStr">
        <is>
          <t>없음 (기본 지형)</t>
        </is>
      </c>
      <c r="F4" s="8" t="inlineStr">
        <is>
          <t>5개</t>
        </is>
      </c>
      <c r="G4" s="8" t="inlineStr">
        <is>
          <t>★☆☆☆☆</t>
        </is>
      </c>
      <c r="H4" s="8" t="inlineStr">
        <is>
          <t>넓은 전장에서 정면 돌파와 측면 우회 모두 가능, 초보자가 전술 기본기를 익히기 좋음</t>
        </is>
      </c>
      <c r="I4" s="8" t="inlineStr">
        <is>
          <t>기본 해금 (튜토리얼 완료)</t>
        </is>
      </c>
    </row>
    <row r="5">
      <c r="A5" s="9" t="inlineStr">
        <is>
          <t>화산 요새</t>
        </is>
      </c>
      <c r="B5" s="9" t="inlineStr">
        <is>
          <t>화산/용암</t>
        </is>
      </c>
      <c r="C5" s="9" t="inlineStr">
        <is>
          <t>중형 (38×42)</t>
        </is>
      </c>
      <c r="D5" s="9" t="inlineStr">
        <is>
          <t>벽 5개 (용암 강 양쪽 절벽)</t>
        </is>
      </c>
      <c r="E5" s="9" t="inlineStr">
        <is>
          <t>용암 강 2줄 (접촉 시 초당 5% 데미지), 분화구 (3턴마다 폭발)</t>
        </is>
      </c>
      <c r="F5" s="9" t="inlineStr">
        <is>
          <t>2개 (좁은 석교)</t>
        </is>
      </c>
      <c r="G5" s="9" t="inlineStr">
        <is>
          <t>★★★☆☆</t>
        </is>
      </c>
      <c r="H5" s="9" t="inlineStr">
        <is>
          <t>좁은 통로에 병력 집중 필수, 용암 강을 이용한 견제와 분화구 타이밍 활용이 핵심</t>
        </is>
      </c>
      <c r="I5" s="9" t="inlineStr">
        <is>
          <t>챕터 2 클리어</t>
        </is>
      </c>
    </row>
    <row r="6">
      <c r="A6" s="8" t="inlineStr">
        <is>
          <t>빙하 성</t>
        </is>
      </c>
      <c r="B6" s="8" t="inlineStr">
        <is>
          <t>빙하/설원</t>
        </is>
      </c>
      <c r="C6" s="8" t="inlineStr">
        <is>
          <t>대형 (50×50)</t>
        </is>
      </c>
      <c r="D6" s="8" t="inlineStr">
        <is>
          <t>벽 4개 (빙벽, 파괴 가능)</t>
        </is>
      </c>
      <c r="E6" s="8" t="inlineStr">
        <is>
          <t>빙판 구역 70% (이동 시 미끄러짐 +2칸), 감속 눈밭 3곳</t>
        </is>
      </c>
      <c r="F6" s="8" t="inlineStr">
        <is>
          <t>4개</t>
        </is>
      </c>
      <c r="G6" s="8" t="inlineStr">
        <is>
          <t>★★★☆☆</t>
        </is>
      </c>
      <c r="H6" s="8" t="inlineStr">
        <is>
          <t>미끄러짐을 계산한 위치 선정이 중요, 빙벽 파괴로 새 통로 개척 가능, 감속 구역에 함정 배치 유리</t>
        </is>
      </c>
      <c r="I6" s="8" t="inlineStr">
        <is>
          <t>성 Lv3 달성</t>
        </is>
      </c>
    </row>
    <row r="7">
      <c r="A7" s="9" t="inlineStr">
        <is>
          <t>사막 요새</t>
        </is>
      </c>
      <c r="B7" s="9" t="inlineStr">
        <is>
          <t>사막/오아시스</t>
        </is>
      </c>
      <c r="C7" s="9" t="inlineStr">
        <is>
          <t>대형 (55×45)</t>
        </is>
      </c>
      <c r="D7" s="9" t="inlineStr">
        <is>
          <t>벽 2개 (모래성벽, 내구도 낮음)</t>
        </is>
      </c>
      <c r="E7" s="9" t="inlineStr">
        <is>
          <t>모래 폭풍 구역 (5턴마다 시야 3칸 제한), 오아시스 (HP 회복)</t>
        </is>
      </c>
      <c r="F7" s="9" t="inlineStr">
        <is>
          <t>6개</t>
        </is>
      </c>
      <c r="G7" s="9" t="inlineStr">
        <is>
          <t>★★☆☆☆</t>
        </is>
      </c>
      <c r="H7" s="9" t="inlineStr">
        <is>
          <t>모래 폭풍 타이밍에 기습 진격 유리, 오아시스 점령이 장기전 핵심, 벽 내구도 낮아 수비 어려움</t>
        </is>
      </c>
      <c r="I7" s="9" t="inlineStr">
        <is>
          <t>용병 10체 보유</t>
        </is>
      </c>
    </row>
    <row r="8">
      <c r="A8" s="8" t="inlineStr">
        <is>
          <t>숲 성채</t>
        </is>
      </c>
      <c r="B8" s="8" t="inlineStr">
        <is>
          <t>숲/밀림</t>
        </is>
      </c>
      <c r="C8" s="8" t="inlineStr">
        <is>
          <t>중형 (42×42)</t>
        </is>
      </c>
      <c r="D8" s="8" t="inlineStr">
        <is>
          <t>벽 6개 (나무 바리케이드, 불 취약)</t>
        </is>
      </c>
      <c r="E8" s="8" t="inlineStr">
        <is>
          <t>덤불 구역 8곳 (진입 시 은신 상태), 함정 설치 가능 구역 확대</t>
        </is>
      </c>
      <c r="F8" s="8" t="inlineStr">
        <is>
          <t>3개</t>
        </is>
      </c>
      <c r="G8" s="8" t="inlineStr">
        <is>
          <t>★★★☆☆</t>
        </is>
      </c>
      <c r="H8" s="8" t="inlineStr">
        <is>
          <t>덤불 매복과 기습이 핵심, 불 속성 공격으로 바리케이드 즉시 파괴 가능, 함정 빌드 특화 맵</t>
        </is>
      </c>
      <c r="I8" s="8" t="inlineStr">
        <is>
          <t>원정대 초원 클리어</t>
        </is>
      </c>
    </row>
    <row r="9">
      <c r="A9" s="9" t="inlineStr">
        <is>
          <t>하늘 요새</t>
        </is>
      </c>
      <c r="B9" s="9" t="inlineStr">
        <is>
          <t>하늘/구름</t>
        </is>
      </c>
      <c r="C9" s="9" t="inlineStr">
        <is>
          <t>소형 (30×35)</t>
        </is>
      </c>
      <c r="D9" s="9" t="inlineStr">
        <is>
          <t>벽 4개 (구름벽, 일정 확률로 통과 가능)</t>
        </is>
      </c>
      <c r="E9" s="9" t="inlineStr">
        <is>
          <t>낙사 구역 (맵 가장자리 5칸), 바람 구역 (이동 방향 변경)</t>
        </is>
      </c>
      <c r="F9" s="9" t="inlineStr">
        <is>
          <t>2개 (좁은 구름다리)</t>
        </is>
      </c>
      <c r="G9" s="9" t="inlineStr">
        <is>
          <t>★★★★☆</t>
        </is>
      </c>
      <c r="H9" s="9" t="inlineStr">
        <is>
          <t>좁은 지형에서 밀치기 스킬 매우 강력, 낙사=즉사이므로 위치 관리 최우선, 구름벽 확률 통과로 기습 가능</t>
        </is>
      </c>
      <c r="I9" s="9" t="inlineStr">
        <is>
          <t>PvP 아레나 10승</t>
        </is>
      </c>
    </row>
    <row r="10">
      <c r="A10" s="8" t="inlineStr">
        <is>
          <t>심연 성</t>
        </is>
      </c>
      <c r="B10" s="8" t="inlineStr">
        <is>
          <t>심연/어둠</t>
        </is>
      </c>
      <c r="C10" s="8" t="inlineStr">
        <is>
          <t>중형 (40×40)</t>
        </is>
      </c>
      <c r="D10" s="8" t="inlineStr">
        <is>
          <t>벽 7개 (보이지 않는 벽 포함)</t>
        </is>
      </c>
      <c r="E10" s="8" t="inlineStr">
        <is>
          <t>전체 어둠 (시야 2칸), 빛 구슬 4개 (획득 시 시야 8칸/30초)</t>
        </is>
      </c>
      <c r="F10" s="8" t="inlineStr">
        <is>
          <t>3개</t>
        </is>
      </c>
      <c r="G10" s="8" t="inlineStr">
        <is>
          <t>★★★★☆</t>
        </is>
      </c>
      <c r="H10" s="8" t="inlineStr">
        <is>
          <t>빛 구슬 선점이 압도적 유리, 보이지 않는 벽에 의한 예측 불가 전투, 정찰 용병 가치 극대화</t>
        </is>
      </c>
      <c r="I10" s="8" t="inlineStr">
        <is>
          <t>혈맹 가입 + 공성전 3회 참가</t>
        </is>
      </c>
    </row>
    <row r="11">
      <c r="A11" s="9" t="inlineStr">
        <is>
          <t>미로 성</t>
        </is>
      </c>
      <c r="B11" s="9" t="inlineStr">
        <is>
          <t>미로/석조</t>
        </is>
      </c>
      <c r="C11" s="9" t="inlineStr">
        <is>
          <t>대형 (50×50)</t>
        </is>
      </c>
      <c r="D11" s="9" t="inlineStr">
        <is>
          <t>벽 15개 (복잡한 미로 구조)</t>
        </is>
      </c>
      <c r="E11" s="9" t="inlineStr">
        <is>
          <t>막다른 길 5곳 (함정 고밀도), 중앙 광장 (유일한 넓은 공간)</t>
        </is>
      </c>
      <c r="F11" s="9" t="inlineStr">
        <is>
          <t>1개 (중앙 광장 경유 필수)</t>
        </is>
      </c>
      <c r="G11" s="9" t="inlineStr">
        <is>
          <t>★★★★☆</t>
        </is>
      </c>
      <c r="H11" s="9" t="inlineStr">
        <is>
          <t>미로 구조 암기가 실력, 막다른 길 유인+함정 콤보 강력, 유일한 통로인 중앙 광장 선점 싸움</t>
        </is>
      </c>
      <c r="I11" s="9" t="inlineStr">
        <is>
          <t>공성전 시즌 참가</t>
        </is>
      </c>
    </row>
    <row r="12">
      <c r="A12" s="8" t="inlineStr">
        <is>
          <t>수중 성</t>
        </is>
      </c>
      <c r="B12" s="8" t="inlineStr">
        <is>
          <t>해저/산호</t>
        </is>
      </c>
      <c r="C12" s="8" t="inlineStr">
        <is>
          <t>중형 (45×40)</t>
        </is>
      </c>
      <c r="D12" s="8" t="inlineStr">
        <is>
          <t>벽 3개 (산호벽, 파괴 시 독 구름)</t>
        </is>
      </c>
      <c r="E12" s="8" t="inlineStr">
        <is>
          <t>전체 감속 30%, 해류 구역 4곳 (강제 이동), 산소 거품 (버프)</t>
        </is>
      </c>
      <c r="F12" s="8" t="inlineStr">
        <is>
          <t>4개</t>
        </is>
      </c>
      <c r="G12" s="8" t="inlineStr">
        <is>
          <t>★★★☆☆</t>
        </is>
      </c>
      <c r="H12" s="8" t="inlineStr">
        <is>
          <t>전체 감속으로 원거리 유닛 유리, 해류를 이용한 빠른 이동 or 적 떠밀기, 산호벽 파괴 시 독 피해 역이용 가능</t>
        </is>
      </c>
      <c r="I12" s="8" t="inlineStr">
        <is>
          <t>무역 루트 5개 해금</t>
        </is>
      </c>
    </row>
    <row r="13">
      <c r="A13" s="9" t="inlineStr">
        <is>
          <t>마왕의 성</t>
        </is>
      </c>
      <c r="B13" s="9" t="inlineStr">
        <is>
          <t>마왕/지옥</t>
        </is>
      </c>
      <c r="C13" s="9" t="inlineStr">
        <is>
          <t>대형 (60×60)</t>
        </is>
      </c>
      <c r="D13" s="9" t="inlineStr">
        <is>
          <t>벽 10개 (마력벽, 주기적 이동)</t>
        </is>
      </c>
      <c r="E13" s="9" t="inlineStr">
        <is>
          <t>함정 구역 12곳, NPC 용병 8체 배치, 보스 구역 (마왕 출현)</t>
        </is>
      </c>
      <c r="F13" s="9" t="inlineStr">
        <is>
          <t>3개</t>
        </is>
      </c>
      <c r="G13" s="9" t="inlineStr">
        <is>
          <t>★★★★★</t>
        </is>
      </c>
      <c r="H13" s="9" t="inlineStr">
        <is>
          <t>맵 자체가 적, 이동하는 벽+NPC 용병+함정 삼중고, 마왕 처치 시 공성전 즉시 승리 가능, 최고 난이도 전략 필요</t>
        </is>
      </c>
      <c r="I13" s="9" t="inlineStr">
        <is>
          <t>시즌 랭킹 상위 10% 달성</t>
        </is>
      </c>
    </row>
  </sheetData>
  <mergeCells count="1">
    <mergeCell ref="A1:I1"/>
  </mergeCell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8" customWidth="1" min="1" max="1"/>
    <col width="10" customWidth="1" min="2" max="2"/>
    <col width="24" customWidth="1" min="3" max="3"/>
    <col width="36" customWidth="1" min="4" max="4"/>
    <col width="40" customWidth="1" min="5" max="5"/>
    <col width="36" customWidth="1" min="6" max="6"/>
  </cols>
  <sheetData>
    <row r="1">
      <c r="A1" s="6" t="inlineStr">
        <is>
          <t>무역 동적 이벤트 20종</t>
        </is>
      </c>
    </row>
    <row r="3">
      <c r="A3" s="7" t="inlineStr">
        <is>
          <t>이벤트</t>
        </is>
      </c>
      <c r="B3" s="7" t="inlineStr">
        <is>
          <t>발생 확률</t>
        </is>
      </c>
      <c r="C3" s="7" t="inlineStr">
        <is>
          <t>조건</t>
        </is>
      </c>
      <c r="D3" s="7" t="inlineStr">
        <is>
          <t>효과</t>
        </is>
      </c>
      <c r="E3" s="7" t="inlineStr">
        <is>
          <t>대응 전략</t>
        </is>
      </c>
      <c r="F3" s="7" t="inlineStr">
        <is>
          <t>보상/손실</t>
        </is>
      </c>
    </row>
    <row r="4">
      <c r="A4" s="8" t="inlineStr">
        <is>
          <t>보물 상자 발견</t>
        </is>
      </c>
      <c r="B4" s="8" t="inlineStr">
        <is>
          <t>8%</t>
        </is>
      </c>
      <c r="C4" s="8" t="inlineStr">
        <is>
          <t>무역 루트 Lv3 이상</t>
        </is>
      </c>
      <c r="D4" s="8" t="inlineStr">
        <is>
          <t>숨겨진 보물 상자 발견, 즉시 개봉 가능</t>
        </is>
      </c>
      <c r="E4" s="8" t="inlineStr">
        <is>
          <t>항상 개봉 추천 (긍정 이벤트이므로 손해 없음)</t>
        </is>
      </c>
      <c r="F4" s="8" t="inlineStr">
        <is>
          <t>골드 2,000~5,000 + 랜덤 장비 1개</t>
        </is>
      </c>
    </row>
    <row r="5">
      <c r="A5" s="9" t="inlineStr">
        <is>
          <t>비밀 상인 출현</t>
        </is>
      </c>
      <c r="B5" s="9" t="inlineStr">
        <is>
          <t>5%</t>
        </is>
      </c>
      <c r="C5" s="9" t="inlineStr">
        <is>
          <t>카라반 적재량 50% 이상</t>
        </is>
      </c>
      <c r="D5" s="9" t="inlineStr">
        <is>
          <t>희귀 물품을 저렴하게 판매하는 비밀 상인 등장</t>
        </is>
      </c>
      <c r="E5" s="9" t="inlineStr">
        <is>
          <t>여유 골드가 있으면 반드시 구매, 되팔기 시 3배 이익</t>
        </is>
      </c>
      <c r="F5" s="9" t="inlineStr">
        <is>
          <t>희귀 교역품 1~3개 (시세 대비 50% 할인)</t>
        </is>
      </c>
    </row>
    <row r="6">
      <c r="A6" s="8" t="inlineStr">
        <is>
          <t>순풍 발생</t>
        </is>
      </c>
      <c r="B6" s="8" t="inlineStr">
        <is>
          <t>12%</t>
        </is>
      </c>
      <c r="C6" s="8" t="inlineStr">
        <is>
          <t>해상 무역 루트 이용 시</t>
        </is>
      </c>
      <c r="D6" s="8" t="inlineStr">
        <is>
          <t>이동 속도 2배, 무역 소요 시간 절반</t>
        </is>
      </c>
      <c r="E6" s="8" t="inlineStr">
        <is>
          <t>해상 루트 선택 시 자연 발생, 추가 무역 1회 가능</t>
        </is>
      </c>
      <c r="F6" s="8" t="inlineStr">
        <is>
          <t>소요 시간 50% 감소 (추가 수익 기회)</t>
        </is>
      </c>
    </row>
    <row r="7">
      <c r="A7" s="9" t="inlineStr">
        <is>
          <t>호위 기사단 지원</t>
        </is>
      </c>
      <c r="B7" s="9" t="inlineStr">
        <is>
          <t>6%</t>
        </is>
      </c>
      <c r="C7" s="9" t="inlineStr">
        <is>
          <t>왕도 출발 루트</t>
        </is>
      </c>
      <c r="D7" s="9" t="inlineStr">
        <is>
          <t>NPC 호위 기사단 3명이 합류, 전투력 대폭 상승</t>
        </is>
      </c>
      <c r="E7" s="9" t="inlineStr">
        <is>
          <t>위험 루트 선택 시 활용 극대화</t>
        </is>
      </c>
      <c r="F7" s="9" t="inlineStr">
        <is>
          <t>전투력 +50% (호위 지속 해당 여정)</t>
        </is>
      </c>
    </row>
    <row r="8">
      <c r="A8" s="8" t="inlineStr">
        <is>
          <t>여신의 축복</t>
        </is>
      </c>
      <c r="B8" s="8" t="inlineStr">
        <is>
          <t>3%</t>
        </is>
      </c>
      <c r="C8" s="8" t="inlineStr">
        <is>
          <t>카라반 무사고 5회 연속</t>
        </is>
      </c>
      <c r="D8" s="8" t="inlineStr">
        <is>
          <t>전 교역품 판매가 30% 상승 (1회)</t>
        </is>
      </c>
      <c r="E8" s="8" t="inlineStr">
        <is>
          <t>고가 물품 가득 채운 상태에서 발동 시 최대 이익</t>
        </is>
      </c>
      <c r="F8" s="8" t="inlineStr">
        <is>
          <t>판매 수익 +30% (해당 거래 1회)</t>
        </is>
      </c>
    </row>
    <row r="9">
      <c r="A9" s="9" t="inlineStr">
        <is>
          <t>해적 습격</t>
        </is>
      </c>
      <c r="B9" s="9" t="inlineStr">
        <is>
          <t>10%</t>
        </is>
      </c>
      <c r="C9" s="9" t="inlineStr">
        <is>
          <t>해상 루트 이용 시</t>
        </is>
      </c>
      <c r="D9" s="9" t="inlineStr">
        <is>
          <t>해적단이 카라반 공격, 전투 발생</t>
        </is>
      </c>
      <c r="E9" s="9" t="inlineStr">
        <is>
          <t>호위 용병 배치 필수, 패배 시 물품 50% 약탈</t>
        </is>
      </c>
      <c r="F9" s="9" t="inlineStr">
        <is>
          <t>승리: 해적 전리품 / 패배: 물품 50% 손실</t>
        </is>
      </c>
    </row>
    <row r="10">
      <c r="A10" s="8" t="inlineStr">
        <is>
          <t>마차 고장</t>
        </is>
      </c>
      <c r="B10" s="8" t="inlineStr">
        <is>
          <t>8%</t>
        </is>
      </c>
      <c r="C10" s="8" t="inlineStr">
        <is>
          <t>육상 루트, 적재량 80% 이상</t>
        </is>
      </c>
      <c r="D10" s="8" t="inlineStr">
        <is>
          <t>마차 바퀴 파손, 수리까지 이동 불가</t>
        </is>
      </c>
      <c r="E10" s="8" t="inlineStr">
        <is>
          <t>수리 키트 소지 권장 (즉시 수리), 미소지 시 2시간 지연</t>
        </is>
      </c>
      <c r="F10" s="8" t="inlineStr">
        <is>
          <t>수리비 500G + 시간 지연 2시간</t>
        </is>
      </c>
    </row>
    <row r="11">
      <c r="A11" s="9" t="inlineStr">
        <is>
          <t>도적단 매복</t>
        </is>
      </c>
      <c r="B11" s="9" t="inlineStr">
        <is>
          <t>7%</t>
        </is>
      </c>
      <c r="C11" s="9" t="inlineStr">
        <is>
          <t>산길/숲길 루트</t>
        </is>
      </c>
      <c r="D11" s="9" t="inlineStr">
        <is>
          <t>도적단이 길목에서 매복, 통행료 요구</t>
        </is>
      </c>
      <c r="E11" s="9" t="inlineStr">
        <is>
          <t>전투력 높으면 격퇴 추천, 낮으면 통행료 지불이 안전</t>
        </is>
      </c>
      <c r="F11" s="9" t="inlineStr">
        <is>
          <t>격퇴: 도적 전리품 / 지불: 골드 1,000~3,000 손실</t>
        </is>
      </c>
    </row>
    <row r="12">
      <c r="A12" s="8" t="inlineStr">
        <is>
          <t>폭풍 조우</t>
        </is>
      </c>
      <c r="B12" s="8" t="inlineStr">
        <is>
          <t>9%</t>
        </is>
      </c>
      <c r="C12" s="8" t="inlineStr">
        <is>
          <t>해상 루트, 우기 시즌</t>
        </is>
      </c>
      <c r="D12" s="8" t="inlineStr">
        <is>
          <t>폭풍으로 카라반 피해, 물품 일부 파손</t>
        </is>
      </c>
      <c r="E12" s="8" t="inlineStr">
        <is>
          <t>날씨 예보 확인 후 출발, 폭풍 보험 가입 추천</t>
        </is>
      </c>
      <c r="F12" s="8" t="inlineStr">
        <is>
          <t>물품 20~40% 파손 + 이동 시간 +50%</t>
        </is>
      </c>
    </row>
    <row r="13">
      <c r="A13" s="9" t="inlineStr">
        <is>
          <t>세금 징수관 출현</t>
        </is>
      </c>
      <c r="B13" s="9" t="inlineStr">
        <is>
          <t>6%</t>
        </is>
      </c>
      <c r="C13" s="9" t="inlineStr">
        <is>
          <t>타국 영토 통과 시</t>
        </is>
      </c>
      <c r="D13" s="9" t="inlineStr">
        <is>
          <t>영토 통과세 징수, 거부 시 전투</t>
        </is>
      </c>
      <c r="E13" s="9" t="inlineStr">
        <is>
          <t>통행 허가증 사전 구매 시 면제, 없으면 납부가 안전</t>
        </is>
      </c>
      <c r="F13" s="9" t="inlineStr">
        <is>
          <t>통과세 골드 800~2,000 또는 물품 10% 압수</t>
        </is>
      </c>
    </row>
    <row r="14">
      <c r="A14" s="8" t="inlineStr">
        <is>
          <t>갈림길 발견</t>
        </is>
      </c>
      <c r="B14" s="8" t="inlineStr">
        <is>
          <t>10%</t>
        </is>
      </c>
      <c r="C14" s="8" t="inlineStr">
        <is>
          <t>모든 루트</t>
        </is>
      </c>
      <c r="D14" s="8" t="inlineStr">
        <is>
          <t>지름길과 안전한 길 중 선택 가능</t>
        </is>
      </c>
      <c r="E14" s="8" t="inlineStr">
        <is>
          <t>지름길: 시간 절약 but 위험 / 안전한 길: 느리지만 확실</t>
        </is>
      </c>
      <c r="F14" s="8" t="inlineStr">
        <is>
          <t>지름길: 시간 -40% (위험 이벤트 확률 2배) / 안전한 길: 시간 +20% (이벤트 무발생)</t>
        </is>
      </c>
    </row>
    <row r="15">
      <c r="A15" s="9" t="inlineStr">
        <is>
          <t>조난자 구조</t>
        </is>
      </c>
      <c r="B15" s="9" t="inlineStr">
        <is>
          <t>5%</t>
        </is>
      </c>
      <c r="C15" s="9" t="inlineStr">
        <is>
          <t>육상 루트</t>
        </is>
      </c>
      <c r="D15" s="9" t="inlineStr">
        <is>
          <t>길가에 쓰러진 여행자 발견, 구조 여부 선택</t>
        </is>
      </c>
      <c r="E15" s="9" t="inlineStr">
        <is>
          <t>구조 시 보상 확률 높음 (70%), 간혹 함정 (30%)</t>
        </is>
      </c>
      <c r="F15" s="9" t="inlineStr">
        <is>
          <t>구조: 70% 희귀 아이템 보상 / 30% 도적 위장 (전투) / 무시: 없음</t>
        </is>
      </c>
    </row>
    <row r="16">
      <c r="A16" s="8" t="inlineStr">
        <is>
          <t>의심스러운 상인</t>
        </is>
      </c>
      <c r="B16" s="8" t="inlineStr">
        <is>
          <t>7%</t>
        </is>
      </c>
      <c r="C16" s="8" t="inlineStr">
        <is>
          <t>무역 거점 근처</t>
        </is>
      </c>
      <c r="D16" s="8" t="inlineStr">
        <is>
          <t>정체불명 상인이 파격가 제안, 거래 여부 선택</t>
        </is>
      </c>
      <c r="E16" s="8" t="inlineStr">
        <is>
          <t>감정 스킬 보유 시 진위 확인 가능, 없으면 50:50 도박</t>
        </is>
      </c>
      <c r="F16" s="8" t="inlineStr">
        <is>
          <t>수락: 50% 희귀템 획득 / 50% 가짜 물품 (골드 손실) / 거절: 없음</t>
        </is>
      </c>
    </row>
    <row r="17">
      <c r="A17" s="9" t="inlineStr">
        <is>
          <t>밀수품 발견</t>
        </is>
      </c>
      <c r="B17" s="9" t="inlineStr">
        <is>
          <t>4%</t>
        </is>
      </c>
      <c r="C17" s="9" t="inlineStr">
        <is>
          <t>항구 도시 루트</t>
        </is>
      </c>
      <c r="D17" s="9" t="inlineStr">
        <is>
          <t>카라반에서 밀수품 발견, 신고/은닉 선택</t>
        </is>
      </c>
      <c r="E17" s="9" t="inlineStr">
        <is>
          <t>신고: 안전하지만 보상 적음 / 은닉: 고수익 but 적발 위험</t>
        </is>
      </c>
      <c r="F17" s="9" t="inlineStr">
        <is>
          <t>신고: 골드 500 + 평판 +10 / 은닉: 골드 5,000 (적발 시 벌금 10,000 + 평판 -30)</t>
        </is>
      </c>
    </row>
    <row r="18">
      <c r="A18" s="8" t="inlineStr">
        <is>
          <t>용병 모집 기회</t>
        </is>
      </c>
      <c r="B18" s="8" t="inlineStr">
        <is>
          <t>6%</t>
        </is>
      </c>
      <c r="C18" s="8" t="inlineStr">
        <is>
          <t>전투 발생 후</t>
        </is>
      </c>
      <c r="D18" s="8" t="inlineStr">
        <is>
          <t>전투 후 패잔병이 합류 희망, 고용 여부 선택</t>
        </is>
      </c>
      <c r="E18" s="8" t="inlineStr">
        <is>
          <t>용병 슬롯 여유 시 고용 추천, 능력치 랜덤이지만 비용 저렴</t>
        </is>
      </c>
      <c r="F18" s="8" t="inlineStr">
        <is>
          <t>고용: 랜덤 C~A급 용병 (고용비 50% 할인) / 거절: 없음</t>
        </is>
      </c>
    </row>
    <row r="19">
      <c r="A19" s="9" t="inlineStr">
        <is>
          <t>황금 캐러밴 합류</t>
        </is>
      </c>
      <c r="B19" s="9" t="inlineStr">
        <is>
          <t>2%</t>
        </is>
      </c>
      <c r="C19" s="9" t="inlineStr">
        <is>
          <t>카라반 Lv5 이상, 교역품 10종 이상 보유</t>
        </is>
      </c>
      <c r="D19" s="9" t="inlineStr">
        <is>
          <t>전설의 황금 캐러밴과 합류, 특별 교역 기회</t>
        </is>
      </c>
      <c r="E19" s="9" t="inlineStr">
        <is>
          <t>최대한 많은 골드 준비, 황금 캐러밴 전용 물품은 10배 수익</t>
        </is>
      </c>
      <c r="F19" s="9" t="inlineStr">
        <is>
          <t>황금 교역품 구매 기회 (투자 대비 10배 수익 가능)</t>
        </is>
      </c>
    </row>
    <row r="20">
      <c r="A20" s="8" t="inlineStr">
        <is>
          <t>무역왕 도전장</t>
        </is>
      </c>
      <c r="B20" s="8" t="inlineStr">
        <is>
          <t>3%</t>
        </is>
      </c>
      <c r="C20" s="8" t="inlineStr">
        <is>
          <t>총 무역 수익 100,000G 이상</t>
        </is>
      </c>
      <c r="D20" s="8" t="inlineStr">
        <is>
          <t>무역왕 NPC가 교역 대결 제안, 수락 시 경쟁 미니게임</t>
        </is>
      </c>
      <c r="E20" s="8" t="inlineStr">
        <is>
          <t>교역 지식과 시세 파악이 핵심, 승리 시 무역왕 칭호</t>
        </is>
      </c>
      <c r="F20" s="8" t="inlineStr">
        <is>
          <t>승리: 무역왕 칭호 + 골드 50,000 + 전용 마차 / 패배: 골드 10,000 손실</t>
        </is>
      </c>
    </row>
    <row r="21">
      <c r="A21" s="9" t="inlineStr">
        <is>
          <t>해적왕 출현</t>
        </is>
      </c>
      <c r="B21" s="9" t="inlineStr">
        <is>
          <t>1%</t>
        </is>
      </c>
      <c r="C21" s="9" t="inlineStr">
        <is>
          <t>해상 루트, 카라반 총 가치 50,000G 이상</t>
        </is>
      </c>
      <c r="D21" s="9" t="inlineStr">
        <is>
          <t>해적왕이 직접 카라반 습격, 보스급 전투</t>
        </is>
      </c>
      <c r="E21" s="9" t="inlineStr">
        <is>
          <t>최정예 용병 편성 필수, 패배 시 전 물품 약탈</t>
        </is>
      </c>
      <c r="F21" s="9" t="inlineStr">
        <is>
          <t>승리: 해적왕 보물 (전설 장비 1개 + 골드 30,000) / 패배: 물품 전량 손실</t>
        </is>
      </c>
    </row>
    <row r="22">
      <c r="A22" s="8" t="inlineStr">
        <is>
          <t>시장 폭등/폭락</t>
        </is>
      </c>
      <c r="B22" s="8" t="inlineStr">
        <is>
          <t>5%</t>
        </is>
      </c>
      <c r="C22" s="8" t="inlineStr">
        <is>
          <t>무역 거점 도착 시</t>
        </is>
      </c>
      <c r="D22" s="8" t="inlineStr">
        <is>
          <t>해당 거점 교역품 시세 급변동 (±50~100%)</t>
        </is>
      </c>
      <c r="E22" s="8" t="inlineStr">
        <is>
          <t>폭등 시 보유 물품 즉시 판매, 폭락 시 대량 매입 후 다른 거점 판매</t>
        </is>
      </c>
      <c r="F22" s="8" t="inlineStr">
        <is>
          <t>폭등: 판매가 +50~100% / 폭락: 매입가 -50~100% (차익 거래 기회)</t>
        </is>
      </c>
    </row>
    <row r="23">
      <c r="A23" s="9" t="inlineStr">
        <is>
          <t>전쟁 특수 교역</t>
        </is>
      </c>
      <c r="B23" s="9" t="inlineStr">
        <is>
          <t>2%</t>
        </is>
      </c>
      <c r="C23" s="9" t="inlineStr">
        <is>
          <t>진영전/공성전 시즌 중</t>
        </is>
      </c>
      <c r="D23" s="9" t="inlineStr">
        <is>
          <t>전쟁 물자 긴급 수요 발생, 군수품 고가 매입</t>
        </is>
      </c>
      <c r="E23" s="9" t="inlineStr">
        <is>
          <t>군수 교역품 사전 비축 시 대박, 평시 가치 없는 물품이 고가</t>
        </is>
      </c>
      <c r="F23" s="9" t="inlineStr">
        <is>
          <t>군수품 판매가 300% 상승 (시즌 종료 시까지 지속)</t>
        </is>
      </c>
    </row>
  </sheetData>
  <mergeCells count="1">
    <mergeCell ref="A1:F1"/>
  </mergeCell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0" customWidth="1" min="1" max="1"/>
    <col width="18" customWidth="1" min="2" max="2"/>
    <col width="16" customWidth="1" min="3" max="3"/>
    <col width="40" customWidth="1" min="4" max="4"/>
    <col width="32" customWidth="1" min="5" max="5"/>
    <col width="18" customWidth="1" min="6" max="6"/>
    <col width="32" customWidth="1" min="7" max="7"/>
  </cols>
  <sheetData>
    <row r="1">
      <c r="A1" s="6" t="inlineStr">
        <is>
          <t>혈맹 스토리 &amp; 활동 30종</t>
        </is>
      </c>
    </row>
    <row r="3">
      <c r="A3" s="7" t="inlineStr">
        <is>
          <t>카테고리</t>
        </is>
      </c>
      <c r="B3" s="7" t="inlineStr">
        <is>
          <t>활동명</t>
        </is>
      </c>
      <c r="C3" s="7" t="inlineStr">
        <is>
          <t>참가 인원</t>
        </is>
      </c>
      <c r="D3" s="7" t="inlineStr">
        <is>
          <t>규칙</t>
        </is>
      </c>
      <c r="E3" s="7" t="inlineStr">
        <is>
          <t>보상</t>
        </is>
      </c>
      <c r="F3" s="7" t="inlineStr">
        <is>
          <t>주기</t>
        </is>
      </c>
      <c r="G3" s="7" t="inlineStr">
        <is>
          <t>재미 포인트</t>
        </is>
      </c>
    </row>
    <row r="4">
      <c r="A4" s="8" t="inlineStr">
        <is>
          <t>일일</t>
        </is>
      </c>
      <c r="B4" s="8" t="inlineStr">
        <is>
          <t>혈맹 사냥</t>
        </is>
      </c>
      <c r="C4" s="8" t="inlineStr">
        <is>
          <t>5~20명</t>
        </is>
      </c>
      <c r="D4" s="8" t="inlineStr">
        <is>
          <t>지정된 사냥터에서 혈맹원 공동 사냥, 처치 수 합산으로 등급 보상</t>
        </is>
      </c>
      <c r="E4" s="8" t="inlineStr">
        <is>
          <t>골드 1,000~5,000 + 혈맹 경험치 500</t>
        </is>
      </c>
      <c r="F4" s="8" t="inlineStr">
        <is>
          <t>매일 (리셋 05:00)</t>
        </is>
      </c>
      <c r="G4" s="8" t="inlineStr">
        <is>
          <t>함께 사냥하며 자연스럽게 친해지는 기본 활동</t>
        </is>
      </c>
    </row>
    <row r="5">
      <c r="A5" s="9" t="inlineStr">
        <is>
          <t>일일</t>
        </is>
      </c>
      <c r="B5" s="9" t="inlineStr">
        <is>
          <t>자원 수집 릴레이</t>
        </is>
      </c>
      <c r="C5" s="9" t="inlineStr">
        <is>
          <t>3~10명</t>
        </is>
      </c>
      <c r="D5" s="9" t="inlineStr">
        <is>
          <t>각자 다른 자원 담당, 목표량 달성 시 보너스</t>
        </is>
      </c>
      <c r="E5" s="9" t="inlineStr">
        <is>
          <t>자원 팩 + 혈맹 기여도 100</t>
        </is>
      </c>
      <c r="F5" s="9" t="inlineStr">
        <is>
          <t>매일</t>
        </is>
      </c>
      <c r="G5" s="9" t="inlineStr">
        <is>
          <t>역할 분담의 재미, 서로 부족한 자원 보완</t>
        </is>
      </c>
    </row>
    <row r="6">
      <c r="A6" s="8" t="inlineStr">
        <is>
          <t>일일</t>
        </is>
      </c>
      <c r="B6" s="8" t="inlineStr">
        <is>
          <t>용병 훈련소</t>
        </is>
      </c>
      <c r="C6" s="8" t="inlineStr">
        <is>
          <t>1~5명</t>
        </is>
      </c>
      <c r="D6" s="8" t="inlineStr">
        <is>
          <t>혈맹 훈련소에서 용병 합동 훈련, 경험치 보너스 +20%</t>
        </is>
      </c>
      <c r="E6" s="8" t="inlineStr">
        <is>
          <t>용병 경험치 +20% 보너스</t>
        </is>
      </c>
      <c r="F6" s="8" t="inlineStr">
        <is>
          <t>매일 (1시간 한정)</t>
        </is>
      </c>
      <c r="G6" s="8" t="inlineStr">
        <is>
          <t>솔로보다 효율적, 훈련 중 스킬 조합 실험 가능</t>
        </is>
      </c>
    </row>
    <row r="7">
      <c r="A7" s="9" t="inlineStr">
        <is>
          <t>일일</t>
        </is>
      </c>
      <c r="B7" s="9" t="inlineStr">
        <is>
          <t>혈맹 일일 퀘스트</t>
        </is>
      </c>
      <c r="C7" s="9" t="inlineStr">
        <is>
          <t>1~20명</t>
        </is>
      </c>
      <c r="D7" s="9" t="inlineStr">
        <is>
          <t>매일 갱신되는 3개 미션 수행 (전투/수집/탐험)</t>
        </is>
      </c>
      <c r="E7" s="9" t="inlineStr">
        <is>
          <t>골드 2,000 + 혈맹 코인 50</t>
        </is>
      </c>
      <c r="F7" s="9" t="inlineStr">
        <is>
          <t>매일</t>
        </is>
      </c>
      <c r="G7" s="9" t="inlineStr">
        <is>
          <t>매일 다른 미션으로 지루하지 않은 루틴</t>
        </is>
      </c>
    </row>
    <row r="8">
      <c r="A8" s="8" t="inlineStr">
        <is>
          <t>일일</t>
        </is>
      </c>
      <c r="B8" s="8" t="inlineStr">
        <is>
          <t>순찰 임무</t>
        </is>
      </c>
      <c r="C8" s="8" t="inlineStr">
        <is>
          <t>2~5명</t>
        </is>
      </c>
      <c r="D8" s="8" t="inlineStr">
        <is>
          <t>혈맹 영토 순찰, 침입자 발견 시 전투</t>
        </is>
      </c>
      <c r="E8" s="8" t="inlineStr">
        <is>
          <t>골드 800 + 영토 안전도 +5</t>
        </is>
      </c>
      <c r="F8" s="8" t="inlineStr">
        <is>
          <t>매일</t>
        </is>
      </c>
      <c r="G8" s="8" t="inlineStr">
        <is>
          <t>영토 지키는 긴장감, 침입자와의 돌발 전투</t>
        </is>
      </c>
    </row>
    <row r="9">
      <c r="A9" s="9" t="inlineStr">
        <is>
          <t>일일</t>
        </is>
      </c>
      <c r="B9" s="9" t="inlineStr">
        <is>
          <t>혈맹 의뢰 게시판</t>
        </is>
      </c>
      <c r="C9" s="9" t="inlineStr">
        <is>
          <t>1~3명</t>
        </is>
      </c>
      <c r="D9" s="9" t="inlineStr">
        <is>
          <t>NPC 의뢰 수주 후 완료, 난이도별 보상 차등</t>
        </is>
      </c>
      <c r="E9" s="9" t="inlineStr">
        <is>
          <t>의뢰 보상 (골드/아이템/평판)</t>
        </is>
      </c>
      <c r="F9" s="9" t="inlineStr">
        <is>
          <t>매일 (의뢰 3개 갱신)</t>
        </is>
      </c>
      <c r="G9" s="9" t="inlineStr">
        <is>
          <t>다양한 의뢰로 매일 새로운 도전</t>
        </is>
      </c>
    </row>
    <row r="10">
      <c r="A10" s="8" t="inlineStr">
        <is>
          <t>일일</t>
        </is>
      </c>
      <c r="B10" s="8" t="inlineStr">
        <is>
          <t>공동 제작</t>
        </is>
      </c>
      <c r="C10" s="8" t="inlineStr">
        <is>
          <t>2~5명</t>
        </is>
      </c>
      <c r="D10" s="8" t="inlineStr">
        <is>
          <t>혈맹 공방에서 장비/소모품 합동 제작, 성공률 보너스</t>
        </is>
      </c>
      <c r="E10" s="8" t="inlineStr">
        <is>
          <t>제작 아이템 + 제작 경험치</t>
        </is>
      </c>
      <c r="F10" s="8" t="inlineStr">
        <is>
          <t>매일</t>
        </is>
      </c>
      <c r="G10" s="8" t="inlineStr">
        <is>
          <t>협동 제작 시 희귀 옵션 확률 상승</t>
        </is>
      </c>
    </row>
    <row r="11">
      <c r="A11" s="9" t="inlineStr">
        <is>
          <t>일일</t>
        </is>
      </c>
      <c r="B11" s="9" t="inlineStr">
        <is>
          <t>혈맹 출석 체크</t>
        </is>
      </c>
      <c r="C11" s="9" t="inlineStr">
        <is>
          <t>1~20명</t>
        </is>
      </c>
      <c r="D11" s="9" t="inlineStr">
        <is>
          <t>접속만 해도 보상, 혈맹원 다수 접속 시 추가 보상</t>
        </is>
      </c>
      <c r="E11" s="9" t="inlineStr">
        <is>
          <t>출석 보상 + 동시접속 보너스</t>
        </is>
      </c>
      <c r="F11" s="9" t="inlineStr">
        <is>
          <t>매일</t>
        </is>
      </c>
      <c r="G11" s="9" t="inlineStr">
        <is>
          <t>많이 모일수록 보상 증가, 접속 동기 부여</t>
        </is>
      </c>
    </row>
    <row r="12">
      <c r="A12" s="8" t="inlineStr">
        <is>
          <t>주간</t>
        </is>
      </c>
      <c r="B12" s="8" t="inlineStr">
        <is>
          <t>혈맹 레이드</t>
        </is>
      </c>
      <c r="C12" s="8" t="inlineStr">
        <is>
          <t>10~20명</t>
        </is>
      </c>
      <c r="D12" s="8" t="inlineStr">
        <is>
          <t>보스 몬스터 토벌, 역할(탱커/딜러/힐러) 분담 필수</t>
        </is>
      </c>
      <c r="E12" s="8" t="inlineStr">
        <is>
          <t>레이드 장비 + 골드 20,000 + 혈맹 경험치 3,000</t>
        </is>
      </c>
      <c r="F12" s="8" t="inlineStr">
        <is>
          <t>주 1회 (토요일)</t>
        </is>
      </c>
      <c r="G12" s="8" t="inlineStr">
        <is>
          <t>대규모 협동의 짜릿함, 역할 분담 전략</t>
        </is>
      </c>
    </row>
    <row r="13">
      <c r="A13" s="9" t="inlineStr">
        <is>
          <t>주간</t>
        </is>
      </c>
      <c r="B13" s="9" t="inlineStr">
        <is>
          <t>영토전</t>
        </is>
      </c>
      <c r="C13" s="9" t="inlineStr">
        <is>
          <t>10~20명</t>
        </is>
      </c>
      <c r="D13" s="9" t="inlineStr">
        <is>
          <t>다른 혈맹과 영토 쟁탈전, 거점 점령 방식</t>
        </is>
      </c>
      <c r="E13" s="9" t="inlineStr">
        <is>
          <t>영토 확장 + 세수 수입 + 혈맹 명성</t>
        </is>
      </c>
      <c r="F13" s="9" t="inlineStr">
        <is>
          <t>주 1회 (금요일)</t>
        </is>
      </c>
      <c r="G13" s="9" t="inlineStr">
        <is>
          <t>실시간 대규모 PvP, 전략적 거점 공략</t>
        </is>
      </c>
    </row>
    <row r="14">
      <c r="A14" s="8" t="inlineStr">
        <is>
          <t>주간</t>
        </is>
      </c>
      <c r="B14" s="8" t="inlineStr">
        <is>
          <t>무역 원정</t>
        </is>
      </c>
      <c r="C14" s="8" t="inlineStr">
        <is>
          <t>5~10명</t>
        </is>
      </c>
      <c r="D14" s="8" t="inlineStr">
        <is>
          <t>혈맹 대상단 편성, 위험 루트 공동 운영</t>
        </is>
      </c>
      <c r="E14" s="8" t="inlineStr">
        <is>
          <t>무역 수익 분배 + 혈맹 무역 경험치</t>
        </is>
      </c>
      <c r="F14" s="8" t="inlineStr">
        <is>
          <t>주 2회</t>
        </is>
      </c>
      <c r="G14" s="8" t="inlineStr">
        <is>
          <t>호위+무역 역할 분담, 대규모 캐러밴의 박력</t>
        </is>
      </c>
    </row>
    <row r="15">
      <c r="A15" s="9" t="inlineStr">
        <is>
          <t>주간</t>
        </is>
      </c>
      <c r="B15" s="9" t="inlineStr">
        <is>
          <t>혈맹 던전</t>
        </is>
      </c>
      <c r="C15" s="9" t="inlineStr">
        <is>
          <t>5~15명</t>
        </is>
      </c>
      <c r="D15" s="9" t="inlineStr">
        <is>
          <t>혈맹 전용 던전 공략, 층별 보스+퍼즐</t>
        </is>
      </c>
      <c r="E15" s="9" t="inlineStr">
        <is>
          <t>던전 보상 (장비/재료/골드) + 혈맹 포인트</t>
        </is>
      </c>
      <c r="F15" s="9" t="inlineStr">
        <is>
          <t>주 1회 (수요일)</t>
        </is>
      </c>
      <c r="G15" s="9" t="inlineStr">
        <is>
          <t>매주 바뀌는 던전 구조, 퍼즐+전투 복합</t>
        </is>
      </c>
    </row>
    <row r="16">
      <c r="A16" s="8" t="inlineStr">
        <is>
          <t>주간</t>
        </is>
      </c>
      <c r="B16" s="8" t="inlineStr">
        <is>
          <t>용병 대련회</t>
        </is>
      </c>
      <c r="C16" s="8" t="inlineStr">
        <is>
          <t>5~10명</t>
        </is>
      </c>
      <c r="D16" s="8" t="inlineStr">
        <is>
          <t>혈맹원끼리 용병 대련, 토너먼트 형식</t>
        </is>
      </c>
      <c r="E16" s="8" t="inlineStr">
        <is>
          <t>대련 포인트 + 순위 보상</t>
        </is>
      </c>
      <c r="F16" s="8" t="inlineStr">
        <is>
          <t>주 1회</t>
        </is>
      </c>
      <c r="G16" s="8" t="inlineStr">
        <is>
          <t>혈맹 내 선의의 경쟁, 전략 공유</t>
        </is>
      </c>
    </row>
    <row r="17">
      <c r="A17" s="9" t="inlineStr">
        <is>
          <t>주간</t>
        </is>
      </c>
      <c r="B17" s="9" t="inlineStr">
        <is>
          <t>혈맹 낚시 대회</t>
        </is>
      </c>
      <c r="C17" s="9" t="inlineStr">
        <is>
          <t>3~20명</t>
        </is>
      </c>
      <c r="D17" s="9" t="inlineStr">
        <is>
          <t>제한 시간 내 가장 큰 물고기 잡기 경쟁</t>
        </is>
      </c>
      <c r="E17" s="9" t="inlineStr">
        <is>
          <t>낚시 보상 + 순위별 추가 보상</t>
        </is>
      </c>
      <c r="F17" s="9" t="inlineStr">
        <is>
          <t>주 1회 (일요일)</t>
        </is>
      </c>
      <c r="G17" s="9" t="inlineStr">
        <is>
          <t>편안한 경쟁, 운+실력의 조합</t>
        </is>
      </c>
    </row>
    <row r="18">
      <c r="A18" s="8" t="inlineStr">
        <is>
          <t>주간</t>
        </is>
      </c>
      <c r="B18" s="8" t="inlineStr">
        <is>
          <t>자원 전쟁</t>
        </is>
      </c>
      <c r="C18" s="8" t="inlineStr">
        <is>
          <t>10~15명</t>
        </is>
      </c>
      <c r="D18" s="8" t="inlineStr">
        <is>
          <t>특수 자원 채굴지 선점 경쟁 (혈맹 vs 혈맹)</t>
        </is>
      </c>
      <c r="E18" s="8" t="inlineStr">
        <is>
          <t>희귀 자원 대량 획득 + 혈맹 기여도</t>
        </is>
      </c>
      <c r="F18" s="8" t="inlineStr">
        <is>
          <t>주 1회</t>
        </is>
      </c>
      <c r="G18" s="8" t="inlineStr">
        <is>
          <t>자원 확보를 위한 전략적 PvP</t>
        </is>
      </c>
    </row>
    <row r="19">
      <c r="A19" s="9" t="inlineStr">
        <is>
          <t>주간</t>
        </is>
      </c>
      <c r="B19" s="9" t="inlineStr">
        <is>
          <t>혈맹 회의</t>
        </is>
      </c>
      <c r="C19" s="9" t="inlineStr">
        <is>
          <t>1~20명</t>
        </is>
      </c>
      <c r="D19" s="9" t="inlineStr">
        <is>
          <t>주간 활동 리뷰, 다음 주 전략 수립, 건의사항 논의</t>
        </is>
      </c>
      <c r="E19" s="9" t="inlineStr">
        <is>
          <t>참석 보상 (혈맹 코인 100)</t>
        </is>
      </c>
      <c r="F19" s="9" t="inlineStr">
        <is>
          <t>주 1회</t>
        </is>
      </c>
      <c r="G19" s="9" t="inlineStr">
        <is>
          <t>소통과 전략, 혈맹 운영 참여감</t>
        </is>
      </c>
    </row>
    <row r="20">
      <c r="A20" s="8" t="inlineStr">
        <is>
          <t>시즌</t>
        </is>
      </c>
      <c r="B20" s="8" t="inlineStr">
        <is>
          <t>공성전 시즌</t>
        </is>
      </c>
      <c r="C20" s="8" t="inlineStr">
        <is>
          <t>20~50명 (혈맹 연합)</t>
        </is>
      </c>
      <c r="D20" s="8" t="inlineStr">
        <is>
          <t>시즌별 대규모 공성전, 성 공략/방어 토너먼트</t>
        </is>
      </c>
      <c r="E20" s="8" t="inlineStr">
        <is>
          <t>시즌 보상 (전설 장비/칭호/혈맹 성)</t>
        </is>
      </c>
      <c r="F20" s="8" t="inlineStr">
        <is>
          <t>시즌 (3개월)</t>
        </is>
      </c>
      <c r="G20" s="8" t="inlineStr">
        <is>
          <t>최대 규모 PvP, 혈맹의 존재 이유</t>
        </is>
      </c>
    </row>
    <row r="21">
      <c r="A21" s="9" t="inlineStr">
        <is>
          <t>시즌</t>
        </is>
      </c>
      <c r="B21" s="9" t="inlineStr">
        <is>
          <t>진영전</t>
        </is>
      </c>
      <c r="C21" s="9" t="inlineStr">
        <is>
          <t>서버 전체</t>
        </is>
      </c>
      <c r="D21" s="9" t="inlineStr">
        <is>
          <t>빛/어둠 진영 소속으로 서버 대전</t>
        </is>
      </c>
      <c r="E21" s="9" t="inlineStr">
        <is>
          <t>진영 승리 보상 + 개인 기여 보상</t>
        </is>
      </c>
      <c r="F21" s="9" t="inlineStr">
        <is>
          <t>시즌 (2개월)</t>
        </is>
      </c>
      <c r="G21" s="9" t="inlineStr">
        <is>
          <t>서버 단위 대규모 전쟁, 진영 소속감</t>
        </is>
      </c>
    </row>
    <row r="22">
      <c r="A22" s="8" t="inlineStr">
        <is>
          <t>시즌</t>
        </is>
      </c>
      <c r="B22" s="8" t="inlineStr">
        <is>
          <t>혈맹 토너먼트</t>
        </is>
      </c>
      <c r="C22" s="8" t="inlineStr">
        <is>
          <t>10~20명</t>
        </is>
      </c>
      <c r="D22" s="8" t="inlineStr">
        <is>
          <t>혈맹 간 토너먼트, 예선→본선→결승</t>
        </is>
      </c>
      <c r="E22" s="8" t="inlineStr">
        <is>
          <t>순위별 대규모 보상 + 명예의 전당 등록</t>
        </is>
      </c>
      <c r="F22" s="8" t="inlineStr">
        <is>
          <t>시즌 (1개월)</t>
        </is>
      </c>
      <c r="G22" s="8" t="inlineStr">
        <is>
          <t>혈맹 최강자 결정전, 영광과 보상</t>
        </is>
      </c>
    </row>
    <row r="23">
      <c r="A23" s="9" t="inlineStr">
        <is>
          <t>시즌</t>
        </is>
      </c>
      <c r="B23" s="9" t="inlineStr">
        <is>
          <t>월드 보스 레이드</t>
        </is>
      </c>
      <c r="C23" s="9" t="inlineStr">
        <is>
          <t>서버 전체</t>
        </is>
      </c>
      <c r="D23" s="9" t="inlineStr">
        <is>
          <t>시즌 한정 월드 보스 출현, 전 서버 협동 토벌</t>
        </is>
      </c>
      <c r="E23" s="9" t="inlineStr">
        <is>
          <t>기여도별 보상 + 서버 1등 혈맹 칭호</t>
        </is>
      </c>
      <c r="F23" s="9" t="inlineStr">
        <is>
          <t>시즌 (격주 출현)</t>
        </is>
      </c>
      <c r="G23" s="9" t="inlineStr">
        <is>
          <t>서버 전체가 하나 되는 순간</t>
        </is>
      </c>
    </row>
    <row r="24">
      <c r="A24" s="8" t="inlineStr">
        <is>
          <t>시즌</t>
        </is>
      </c>
      <c r="B24" s="8" t="inlineStr">
        <is>
          <t>무역 올림픽</t>
        </is>
      </c>
      <c r="C24" s="8" t="inlineStr">
        <is>
          <t>5~10명</t>
        </is>
      </c>
      <c r="D24" s="8" t="inlineStr">
        <is>
          <t>혈맹 대표 무역단 구성, 수익 경쟁</t>
        </is>
      </c>
      <c r="E24" s="8" t="inlineStr">
        <is>
          <t>무역 순위 보상 + 무역왕 혈맹 칭호</t>
        </is>
      </c>
      <c r="F24" s="8" t="inlineStr">
        <is>
          <t>시즌 (1개월)</t>
        </is>
      </c>
      <c r="G24" s="8" t="inlineStr">
        <is>
          <t>무역 특화 혈맹의 자존심 대결</t>
        </is>
      </c>
    </row>
    <row r="25">
      <c r="A25" s="9" t="inlineStr">
        <is>
          <t>시즌</t>
        </is>
      </c>
      <c r="B25" s="9" t="inlineStr">
        <is>
          <t>시즌 스토리 퀘스트</t>
        </is>
      </c>
      <c r="C25" s="9" t="inlineStr">
        <is>
          <t>5~20명</t>
        </is>
      </c>
      <c r="D25" s="9" t="inlineStr">
        <is>
          <t>시즌별 메인 스토리 진행, 혈맹 단위 퀘스트</t>
        </is>
      </c>
      <c r="E25" s="9" t="inlineStr">
        <is>
          <t>스토리 보상 + 시즌 한정 용병/장비</t>
        </is>
      </c>
      <c r="F25" s="9" t="inlineStr">
        <is>
          <t>시즌 (3개월)</t>
        </is>
      </c>
      <c r="G25" s="9" t="inlineStr">
        <is>
          <t>스토리 몰입, 혈맹 협동으로 서사 진행</t>
        </is>
      </c>
    </row>
    <row r="26">
      <c r="A26" s="8" t="inlineStr">
        <is>
          <t>소셜</t>
        </is>
      </c>
      <c r="B26" s="8" t="inlineStr">
        <is>
          <t>혈맹 잔치</t>
        </is>
      </c>
      <c r="C26" s="8" t="inlineStr">
        <is>
          <t>5~20명</t>
        </is>
      </c>
      <c r="D26" s="8" t="inlineStr">
        <is>
          <t>혈맹 거점에서 파티, 요리+음료 나눔, 버프 제공</t>
        </is>
      </c>
      <c r="E26" s="8" t="inlineStr">
        <is>
          <t>참석 버프 (경험치 +10%, 2시간) + 친밀도 상승</t>
        </is>
      </c>
      <c r="F26" s="8" t="inlineStr">
        <is>
          <t>자유 (혈맹장 개최)</t>
        </is>
      </c>
      <c r="G26" s="8" t="inlineStr">
        <is>
          <t>편안한 소셜, 버프 받으며 담소</t>
        </is>
      </c>
    </row>
    <row r="27">
      <c r="A27" s="9" t="inlineStr">
        <is>
          <t>소셜</t>
        </is>
      </c>
      <c r="B27" s="9" t="inlineStr">
        <is>
          <t>멘토링 시스템</t>
        </is>
      </c>
      <c r="C27" s="9" t="inlineStr">
        <is>
          <t>2명 (1:1)</t>
        </is>
      </c>
      <c r="D27" s="9" t="inlineStr">
        <is>
          <t>고레벨 혈맹원이 신규 멤버 가이드, 성장 미션 동행</t>
        </is>
      </c>
      <c r="E27" s="9" t="inlineStr">
        <is>
          <t>멘토: 멘토 포인트 / 멘티: 성장 가속 보상</t>
        </is>
      </c>
      <c r="F27" s="9" t="inlineStr">
        <is>
          <t>상시</t>
        </is>
      </c>
      <c r="G27" s="9" t="inlineStr">
        <is>
          <t>선배-후배 유대감, 빠른 신규 적응</t>
        </is>
      </c>
    </row>
    <row r="28">
      <c r="A28" s="8" t="inlineStr">
        <is>
          <t>소셜</t>
        </is>
      </c>
      <c r="B28" s="8" t="inlineStr">
        <is>
          <t>혈맹 퀴즈 대회</t>
        </is>
      </c>
      <c r="C28" s="8" t="inlineStr">
        <is>
          <t>5~20명</t>
        </is>
      </c>
      <c r="D28" s="8" t="inlineStr">
        <is>
          <t>게임 지식 퀴즈, 객관식+주관식 혼합</t>
        </is>
      </c>
      <c r="E28" s="8" t="inlineStr">
        <is>
          <t>퀴즈 보상 (골드/아이템) + 지식왕 칭호</t>
        </is>
      </c>
      <c r="F28" s="8" t="inlineStr">
        <is>
          <t>격주</t>
        </is>
      </c>
      <c r="G28" s="8" t="inlineStr">
        <is>
          <t>재미있게 게임 지식 습득, 의외의 고수 발견</t>
        </is>
      </c>
    </row>
    <row r="29">
      <c r="A29" s="9" t="inlineStr">
        <is>
          <t>소셜</t>
        </is>
      </c>
      <c r="B29" s="9" t="inlineStr">
        <is>
          <t>스크린샷 대회</t>
        </is>
      </c>
      <c r="C29" s="9" t="inlineStr">
        <is>
          <t>1~20명</t>
        </is>
      </c>
      <c r="D29" s="9" t="inlineStr">
        <is>
          <t>주제별 게임 내 스크린샷 촬영 후 투표</t>
        </is>
      </c>
      <c r="E29" s="9" t="inlineStr">
        <is>
          <t>순위 보상 + 혈맹 갤러리 등재</t>
        </is>
      </c>
      <c r="F29" s="9" t="inlineStr">
        <is>
          <t>월 1회</t>
        </is>
      </c>
      <c r="G29" s="9" t="inlineStr">
        <is>
          <t>창의력 발휘, 게임의 아름다움 재발견</t>
        </is>
      </c>
    </row>
    <row r="30">
      <c r="A30" s="8" t="inlineStr">
        <is>
          <t>소셜</t>
        </is>
      </c>
      <c r="B30" s="8" t="inlineStr">
        <is>
          <t>혈맹 요리 대회</t>
        </is>
      </c>
      <c r="C30" s="8" t="inlineStr">
        <is>
          <t>3~10명</t>
        </is>
      </c>
      <c r="D30" s="8" t="inlineStr">
        <is>
          <t>제한 시간 내 최고 등급 요리 제작 경쟁</t>
        </is>
      </c>
      <c r="E30" s="8" t="inlineStr">
        <is>
          <t>요리 재료 + 순위 보상 + 요리왕 칭호</t>
        </is>
      </c>
      <c r="F30" s="8" t="inlineStr">
        <is>
          <t>격주</t>
        </is>
      </c>
      <c r="G30" s="8" t="inlineStr">
        <is>
          <t>생활 콘텐츠 경쟁, 레시피 연구의 재미</t>
        </is>
      </c>
    </row>
    <row r="31">
      <c r="A31" s="9" t="inlineStr">
        <is>
          <t>소셜</t>
        </is>
      </c>
      <c r="B31" s="9" t="inlineStr">
        <is>
          <t>용병 패션쇼</t>
        </is>
      </c>
      <c r="C31" s="9" t="inlineStr">
        <is>
          <t>5~20명</t>
        </is>
      </c>
      <c r="D31" s="9" t="inlineStr">
        <is>
          <t>용병 외형 꾸미기 대회, 혈맹원 투표</t>
        </is>
      </c>
      <c r="E31" s="9" t="inlineStr">
        <is>
          <t>치장 아이템 + 패션왕 칭호</t>
        </is>
      </c>
      <c r="F31" s="9" t="inlineStr">
        <is>
          <t>월 1회</t>
        </is>
      </c>
      <c r="G31" s="9" t="inlineStr">
        <is>
          <t>꾸미기의 재미, 개성 표현</t>
        </is>
      </c>
    </row>
    <row r="32">
      <c r="A32" s="8" t="inlineStr">
        <is>
          <t>소셜</t>
        </is>
      </c>
      <c r="B32" s="8" t="inlineStr">
        <is>
          <t>혈맹 스토리텔링</t>
        </is>
      </c>
      <c r="C32" s="8" t="inlineStr">
        <is>
          <t>3~15명</t>
        </is>
      </c>
      <c r="D32" s="8" t="inlineStr">
        <is>
          <t>혈맹 역사/모험담 공유, 롤플레이 이벤트</t>
        </is>
      </c>
      <c r="E32" s="8" t="inlineStr">
        <is>
          <t>참여 보상 + 스토리 기록 보관</t>
        </is>
      </c>
      <c r="F32" s="8" t="inlineStr">
        <is>
          <t>자유 (월 1회 권장)</t>
        </is>
      </c>
      <c r="G32" s="8" t="inlineStr">
        <is>
          <t>혈맹 정체성 형성, 추억 만들기</t>
        </is>
      </c>
    </row>
    <row r="33">
      <c r="A33" s="9" t="inlineStr">
        <is>
          <t>소셜</t>
        </is>
      </c>
      <c r="B33" s="9" t="inlineStr">
        <is>
          <t>혈맹 봉사 활동</t>
        </is>
      </c>
      <c r="C33" s="9" t="inlineStr">
        <is>
          <t>5~10명</t>
        </is>
      </c>
      <c r="D33" s="9" t="inlineStr">
        <is>
          <t>초보자 마을에서 신규 유저 도움, 아이템 기부</t>
        </is>
      </c>
      <c r="E33" s="9" t="inlineStr">
        <is>
          <t>봉사 포인트 + 혈맹 평판 상승 + 칭호</t>
        </is>
      </c>
      <c r="F33" s="9" t="inlineStr">
        <is>
          <t>주 1회</t>
        </is>
      </c>
      <c r="G33" s="9" t="inlineStr">
        <is>
          <t>선행의 보람, 서버 내 혈맹 이미지 제고</t>
        </is>
      </c>
    </row>
  </sheetData>
  <mergeCells count="1">
    <mergeCell ref="A1:G1"/>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4" customWidth="1" min="1" max="1"/>
    <col width="14" customWidth="1" min="2" max="2"/>
    <col width="18" customWidth="1" min="3" max="3"/>
    <col width="18" customWidth="1" min="4" max="4"/>
    <col width="18" customWidth="1" min="5" max="5"/>
    <col width="18" customWidth="1" min="6" max="6"/>
    <col width="18" customWidth="1" min="7" max="7"/>
    <col width="12" customWidth="1" min="8" max="8"/>
    <col width="8" customWidth="1" min="9" max="9"/>
  </cols>
  <sheetData>
    <row r="1">
      <c r="A1" s="6" t="inlineStr">
        <is>
          <t>진화 합성 전체 경로도 (일반→초신화)</t>
        </is>
      </c>
    </row>
    <row r="3">
      <c r="A3" s="7" t="inlineStr">
        <is>
          <t>시작 용병</t>
        </is>
      </c>
      <c r="B3" s="7" t="inlineStr">
        <is>
          <t>1차 합성</t>
        </is>
      </c>
      <c r="C3" s="7" t="inlineStr">
        <is>
          <t>재료</t>
        </is>
      </c>
      <c r="D3" s="7" t="inlineStr">
        <is>
          <t>2차 합성</t>
        </is>
      </c>
      <c r="E3" s="7" t="inlineStr">
        <is>
          <t>재료</t>
        </is>
      </c>
      <c r="F3" s="7" t="inlineStr">
        <is>
          <t>3차 합성(최종)</t>
        </is>
      </c>
      <c r="G3" s="7" t="inlineStr">
        <is>
          <t>재료</t>
        </is>
      </c>
      <c r="H3" s="7" t="inlineStr">
        <is>
          <t>총 비용</t>
        </is>
      </c>
      <c r="I3" s="7" t="inlineStr">
        <is>
          <t>난이도</t>
        </is>
      </c>
    </row>
    <row r="4">
      <c r="A4" s="8" t="inlineStr">
        <is>
          <t>보병 ×3</t>
        </is>
      </c>
      <c r="B4" s="8" t="inlineStr">
        <is>
          <t>→ 기사</t>
        </is>
      </c>
      <c r="C4" s="8" t="inlineStr">
        <is>
          <t>보병 3체+5,000G</t>
        </is>
      </c>
      <c r="D4" s="8" t="inlineStr">
        <is>
          <t>기사+사제 → 성기사</t>
        </is>
      </c>
      <c r="E4" s="8" t="inlineStr">
        <is>
          <t>기사+수습사제+15,000G</t>
        </is>
      </c>
      <c r="F4" s="8" t="inlineStr">
        <is>
          <t>성기사+불사조깃털 → 불사조 기사</t>
        </is>
      </c>
      <c r="G4" s="8" t="inlineStr">
        <is>
          <t>성기사+깃털+40,000G</t>
        </is>
      </c>
      <c r="H4" s="8" t="inlineStr">
        <is>
          <t>~65,000G+재료</t>
        </is>
      </c>
      <c r="I4" s="8" t="inlineStr">
        <is>
          <t>★★★☆</t>
        </is>
      </c>
    </row>
    <row r="5">
      <c r="A5" s="9" t="inlineStr">
        <is>
          <t>보병 ×3</t>
        </is>
      </c>
      <c r="B5" s="9" t="inlineStr">
        <is>
          <t>→ 기사</t>
        </is>
      </c>
      <c r="C5" s="9" t="inlineStr">
        <is>
          <t>보병 3체+5,000G</t>
        </is>
      </c>
      <c r="D5" s="9" t="inlineStr">
        <is>
          <t>기사+성기사+용알 → 드래곤나이트</t>
        </is>
      </c>
      <c r="E5" s="9" t="inlineStr">
        <is>
          <t>기사+성기사+용알+50,000G</t>
        </is>
      </c>
      <c r="F5" s="9" t="inlineStr">
        <is>
          <t>드래곤나이트+세라핌 → 천상의 기사</t>
        </is>
      </c>
      <c r="G5" s="9" t="inlineStr">
        <is>
          <t>드래곤+세라핌+150,000G</t>
        </is>
      </c>
      <c r="H5" s="9" t="inlineStr">
        <is>
          <t>~225,000G+재료</t>
        </is>
      </c>
      <c r="I5" s="9" t="inlineStr">
        <is>
          <t>★★★★★</t>
        </is>
      </c>
    </row>
    <row r="6">
      <c r="A6" s="8" t="inlineStr">
        <is>
          <t>보병 ×3</t>
        </is>
      </c>
      <c r="B6" s="8" t="inlineStr">
        <is>
          <t>→ 기사</t>
        </is>
      </c>
      <c r="C6" s="8" t="inlineStr">
        <is>
          <t>보병 3체+5,000G</t>
        </is>
      </c>
      <c r="D6" s="8" t="inlineStr">
        <is>
          <t>기사+사제+궁수 → 발키리</t>
        </is>
      </c>
      <c r="E6" s="8" t="inlineStr">
        <is>
          <t>기사+수습사제+궁수+15,000G</t>
        </is>
      </c>
      <c r="F6" s="8" t="inlineStr">
        <is>
          <t>(최종)</t>
        </is>
      </c>
      <c r="G6" s="8" t="inlineStr"/>
      <c r="H6" s="8" t="inlineStr">
        <is>
          <t>~25,000G</t>
        </is>
      </c>
      <c r="I6" s="8" t="inlineStr">
        <is>
          <t>★★☆☆</t>
        </is>
      </c>
    </row>
    <row r="7">
      <c r="A7" s="9" t="inlineStr">
        <is>
          <t>마법사 ×2</t>
        </is>
      </c>
      <c r="B7" s="9" t="inlineStr">
        <is>
          <t>→ 흑마법사</t>
        </is>
      </c>
      <c r="C7" s="9" t="inlineStr">
        <is>
          <t>마법사 2체+12,000G</t>
        </is>
      </c>
      <c r="D7" s="9" t="inlineStr">
        <is>
          <t>흑마+그림자 군주 → 죽음의 기사</t>
        </is>
      </c>
      <c r="E7" s="9" t="inlineStr">
        <is>
          <t>흑마+그림자+100,000G</t>
        </is>
      </c>
      <c r="F7" s="9" t="inlineStr">
        <is>
          <t>(최종)</t>
        </is>
      </c>
      <c r="G7" s="9" t="inlineStr"/>
      <c r="H7" s="9" t="inlineStr">
        <is>
          <t>~117,000G+영웅</t>
        </is>
      </c>
      <c r="I7" s="9" t="inlineStr">
        <is>
          <t>★★★★☆</t>
        </is>
      </c>
    </row>
    <row r="8">
      <c r="A8" s="8" t="inlineStr">
        <is>
          <t>마법사 ×2</t>
        </is>
      </c>
      <c r="B8" s="8" t="inlineStr">
        <is>
          <t>→ 흑마법사</t>
        </is>
      </c>
      <c r="C8" s="8" t="inlineStr">
        <is>
          <t>마법사 2체+12,000G</t>
        </is>
      </c>
      <c r="D8" s="8" t="inlineStr">
        <is>
          <t>흑마+마법사×2 → 서리 여왕</t>
        </is>
      </c>
      <c r="E8" s="8" t="inlineStr">
        <is>
          <t>흑마+마법사2+45,000G</t>
        </is>
      </c>
      <c r="F8" s="8" t="inlineStr">
        <is>
          <t>(최종)</t>
        </is>
      </c>
      <c r="G8" s="8" t="inlineStr"/>
      <c r="H8" s="8" t="inlineStr">
        <is>
          <t>~69,000G</t>
        </is>
      </c>
      <c r="I8" s="8" t="inlineStr">
        <is>
          <t>★★★☆</t>
        </is>
      </c>
    </row>
    <row r="9">
      <c r="A9" s="9" t="inlineStr">
        <is>
          <t>도둑+레인저</t>
        </is>
      </c>
      <c r="B9" s="9" t="inlineStr">
        <is>
          <t>→ 닌자</t>
        </is>
      </c>
      <c r="C9" s="9" t="inlineStr">
        <is>
          <t>도둑+레인저+10,000G</t>
        </is>
      </c>
      <c r="D9" s="9" t="inlineStr">
        <is>
          <t>(최종)</t>
        </is>
      </c>
      <c r="E9" s="9" t="inlineStr"/>
      <c r="F9" s="9" t="inlineStr"/>
      <c r="G9" s="9" t="inlineStr"/>
      <c r="H9" s="9" t="inlineStr">
        <is>
          <t>10,000G</t>
        </is>
      </c>
      <c r="I9" s="9" t="inlineStr">
        <is>
          <t>★★☆☆</t>
        </is>
      </c>
    </row>
    <row r="10">
      <c r="A10" s="8" t="inlineStr">
        <is>
          <t>드래곤나이트 ×2+천상</t>
        </is>
      </c>
      <c r="B10" s="8" t="inlineStr">
        <is>
          <t>→ 용왕 바하무트</t>
        </is>
      </c>
      <c r="C10" s="8" t="inlineStr">
        <is>
          <t>드래곤2+천상+500,000G</t>
        </is>
      </c>
      <c r="D10" s="8" t="inlineStr">
        <is>
          <t>(최종 — 게임 최고)</t>
        </is>
      </c>
      <c r="E10" s="8" t="inlineStr"/>
      <c r="F10" s="8" t="inlineStr"/>
      <c r="G10" s="8" t="inlineStr"/>
      <c r="H10" s="8" t="inlineStr">
        <is>
          <t>~1,000,000G+</t>
        </is>
      </c>
      <c r="I10" s="8" t="inlineStr">
        <is>
          <t>★★★★★</t>
        </is>
      </c>
    </row>
    <row r="11">
      <c r="A11" s="9" t="inlineStr"/>
      <c r="B11" s="9" t="inlineStr"/>
      <c r="C11" s="9" t="inlineStr"/>
      <c r="D11" s="9" t="inlineStr"/>
      <c r="E11" s="9" t="inlineStr"/>
      <c r="F11" s="9" t="inlineStr"/>
      <c r="G11" s="9" t="inlineStr"/>
      <c r="H11" s="9" t="inlineStr"/>
      <c r="I11" s="9" t="inlineStr"/>
    </row>
    <row r="12">
      <c r="A12" s="8" t="inlineStr">
        <is>
          <t>비밀 합성</t>
        </is>
      </c>
      <c r="B12" s="8" t="inlineStr"/>
      <c r="C12" s="8" t="inlineStr"/>
      <c r="D12" s="8" t="inlineStr"/>
      <c r="E12" s="8" t="inlineStr"/>
      <c r="F12" s="8" t="inlineStr"/>
      <c r="G12" s="8" t="inlineStr"/>
      <c r="H12" s="8" t="inlineStr"/>
      <c r="I12" s="8" t="inlineStr"/>
    </row>
    <row r="13">
      <c r="A13" s="9" t="inlineStr">
        <is>
          <t>보병 ×5+전쟁깃발</t>
        </is>
      </c>
      <c r="B13" s="9" t="inlineStr">
        <is>
          <t>→ 전쟁군주 (영웅)</t>
        </is>
      </c>
      <c r="C13" s="9" t="inlineStr">
        <is>
          <t>공성 10연승 필요</t>
        </is>
      </c>
      <c r="D13" s="9" t="inlineStr"/>
      <c r="E13" s="9" t="inlineStr"/>
      <c r="F13" s="9" t="inlineStr"/>
      <c r="G13" s="9" t="inlineStr"/>
      <c r="H13" s="9" t="inlineStr">
        <is>
          <t>~50,000G+업적</t>
        </is>
      </c>
      <c r="I13" s="9" t="inlineStr">
        <is>
          <t>★★★☆</t>
        </is>
      </c>
    </row>
    <row r="14">
      <c r="A14" s="8" t="inlineStr">
        <is>
          <t>궁수 ×3+바람결정</t>
        </is>
      </c>
      <c r="B14" s="8" t="inlineStr">
        <is>
          <t>→ 매의 눈 (영웅)</t>
        </is>
      </c>
      <c r="C14" s="8" t="inlineStr">
        <is>
          <t>무역 전루트 완주</t>
        </is>
      </c>
      <c r="D14" s="8" t="inlineStr"/>
      <c r="E14" s="8" t="inlineStr"/>
      <c r="F14" s="8" t="inlineStr"/>
      <c r="G14" s="8" t="inlineStr"/>
      <c r="H14" s="8" t="inlineStr">
        <is>
          <t>~30,000G+업적</t>
        </is>
      </c>
      <c r="I14" s="8" t="inlineStr">
        <is>
          <t>★★★☆</t>
        </is>
      </c>
    </row>
    <row r="15">
      <c r="A15" s="9" t="inlineStr">
        <is>
          <t>4원소 마법사+왕관</t>
        </is>
      </c>
      <c r="B15" s="9" t="inlineStr">
        <is>
          <t>→ 원소의 왕 (신화)</t>
        </is>
      </c>
      <c r="C15" s="9" t="inlineStr">
        <is>
          <t>4원소 던전 올클리어</t>
        </is>
      </c>
      <c r="D15" s="9" t="inlineStr"/>
      <c r="E15" s="9" t="inlineStr"/>
      <c r="F15" s="9" t="inlineStr"/>
      <c r="G15" s="9" t="inlineStr"/>
      <c r="H15" s="9" t="inlineStr">
        <is>
          <t>~200,000G+업적</t>
        </is>
      </c>
      <c r="I15" s="9" t="inlineStr">
        <is>
          <t>★★★★★</t>
        </is>
      </c>
    </row>
    <row r="16">
      <c r="A16" s="8" t="inlineStr">
        <is>
          <t>바하무트+세계의끝+창세조각</t>
        </is>
      </c>
      <c r="B16" s="8" t="inlineStr">
        <is>
          <t>→ 태초의 존재 (초신화)</t>
        </is>
      </c>
      <c r="C16" s="8" t="inlineStr">
        <is>
          <t>서버 1위 달성</t>
        </is>
      </c>
      <c r="D16" s="8" t="inlineStr"/>
      <c r="E16" s="8" t="inlineStr"/>
      <c r="F16" s="8" t="inlineStr"/>
      <c r="G16" s="8" t="inlineStr"/>
      <c r="H16" s="8" t="inlineStr">
        <is>
          <t>~2,000,000G+</t>
        </is>
      </c>
      <c r="I16" s="8" t="inlineStr">
        <is>
          <t>★★★★★+</t>
        </is>
      </c>
    </row>
  </sheetData>
  <mergeCells count="1">
    <mergeCell ref="A1:I1"/>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14" customWidth="1" min="1" max="1"/>
    <col width="10" customWidth="1" min="2" max="2"/>
    <col width="7" customWidth="1" min="3" max="3"/>
    <col width="7" customWidth="1" min="4" max="4"/>
    <col width="7" customWidth="1" min="5" max="5"/>
    <col width="7" customWidth="1" min="6" max="6"/>
    <col width="7" customWidth="1" min="7" max="7"/>
    <col width="7" customWidth="1" min="8" max="8"/>
    <col width="14" customWidth="1" min="9" max="9"/>
    <col width="20" customWidth="1" min="10" max="10"/>
  </cols>
  <sheetData>
    <row r="1">
      <c r="A1" s="6" t="inlineStr">
        <is>
          <t>용병 소환 확률 상세표</t>
        </is>
      </c>
    </row>
    <row r="3">
      <c r="A3" s="7" t="inlineStr">
        <is>
          <t>소환 종류</t>
        </is>
      </c>
      <c r="B3" s="7" t="inlineStr">
        <is>
          <t>비용</t>
        </is>
      </c>
      <c r="C3" s="7" t="inlineStr">
        <is>
          <t>일반</t>
        </is>
      </c>
      <c r="D3" s="7" t="inlineStr">
        <is>
          <t>고급</t>
        </is>
      </c>
      <c r="E3" s="7" t="inlineStr">
        <is>
          <t>희귀</t>
        </is>
      </c>
      <c r="F3" s="7" t="inlineStr">
        <is>
          <t>영웅</t>
        </is>
      </c>
      <c r="G3" s="7" t="inlineStr">
        <is>
          <t>전설</t>
        </is>
      </c>
      <c r="H3" s="7" t="inlineStr">
        <is>
          <t>신화</t>
        </is>
      </c>
      <c r="I3" s="7" t="inlineStr">
        <is>
          <t>보장</t>
        </is>
      </c>
      <c r="J3" s="7" t="inlineStr">
        <is>
          <t>특이사항</t>
        </is>
      </c>
    </row>
    <row r="4">
      <c r="A4" s="8" t="inlineStr">
        <is>
          <t>골드 소환</t>
        </is>
      </c>
      <c r="B4" s="8" t="inlineStr">
        <is>
          <t>3,000G</t>
        </is>
      </c>
      <c r="C4" s="8" t="inlineStr">
        <is>
          <t>60%</t>
        </is>
      </c>
      <c r="D4" s="8" t="inlineStr">
        <is>
          <t>35%</t>
        </is>
      </c>
      <c r="E4" s="8" t="inlineStr">
        <is>
          <t>5%</t>
        </is>
      </c>
      <c r="F4" s="8" t="inlineStr">
        <is>
          <t>—</t>
        </is>
      </c>
      <c r="G4" s="8" t="inlineStr">
        <is>
          <t>—</t>
        </is>
      </c>
      <c r="H4" s="8" t="inlineStr">
        <is>
          <t>—</t>
        </is>
      </c>
      <c r="I4" s="8" t="inlineStr">
        <is>
          <t>없음</t>
        </is>
      </c>
      <c r="J4" s="8" t="inlineStr">
        <is>
          <t>1일 1회 무료</t>
        </is>
      </c>
    </row>
    <row r="5">
      <c r="A5" s="9" t="inlineStr">
        <is>
          <t>다이아 소환 1회</t>
        </is>
      </c>
      <c r="B5" s="9" t="inlineStr">
        <is>
          <t>30💎</t>
        </is>
      </c>
      <c r="C5" s="9" t="inlineStr">
        <is>
          <t>—</t>
        </is>
      </c>
      <c r="D5" s="9" t="inlineStr">
        <is>
          <t>—</t>
        </is>
      </c>
      <c r="E5" s="9" t="inlineStr">
        <is>
          <t>70%</t>
        </is>
      </c>
      <c r="F5" s="9" t="inlineStr">
        <is>
          <t>25%</t>
        </is>
      </c>
      <c r="G5" s="9" t="inlineStr">
        <is>
          <t>4.5%</t>
        </is>
      </c>
      <c r="H5" s="9" t="inlineStr">
        <is>
          <t>0.5%</t>
        </is>
      </c>
      <c r="I5" s="9" t="inlineStr">
        <is>
          <t>없음</t>
        </is>
      </c>
      <c r="J5" s="9" t="inlineStr">
        <is>
          <t>천장 카운트 +1</t>
        </is>
      </c>
    </row>
    <row r="6">
      <c r="A6" s="8" t="inlineStr">
        <is>
          <t>다이아 10연차</t>
        </is>
      </c>
      <c r="B6" s="8" t="inlineStr">
        <is>
          <t>300💎</t>
        </is>
      </c>
      <c r="C6" s="8" t="inlineStr">
        <is>
          <t>—</t>
        </is>
      </c>
      <c r="D6" s="8" t="inlineStr">
        <is>
          <t>—</t>
        </is>
      </c>
      <c r="E6" s="8" t="inlineStr">
        <is>
          <t>70%</t>
        </is>
      </c>
      <c r="F6" s="8" t="inlineStr">
        <is>
          <t>25%</t>
        </is>
      </c>
      <c r="G6" s="8" t="inlineStr">
        <is>
          <t>4.5%</t>
        </is>
      </c>
      <c r="H6" s="8" t="inlineStr">
        <is>
          <t>0.5%</t>
        </is>
      </c>
      <c r="I6" s="8" t="inlineStr">
        <is>
          <t>고급+ 1체 보장</t>
        </is>
      </c>
      <c r="J6" s="8" t="inlineStr">
        <is>
          <t>포인트 ×2</t>
        </is>
      </c>
    </row>
    <row r="7">
      <c r="A7" s="9" t="inlineStr"/>
      <c r="B7" s="9" t="inlineStr"/>
      <c r="C7" s="9" t="inlineStr"/>
      <c r="D7" s="9" t="inlineStr"/>
      <c r="E7" s="9" t="inlineStr"/>
      <c r="F7" s="9" t="inlineStr"/>
      <c r="G7" s="9" t="inlineStr"/>
      <c r="H7" s="9" t="inlineStr"/>
      <c r="I7" s="9" t="inlineStr"/>
      <c r="J7" s="9" t="inlineStr"/>
    </row>
    <row r="8">
      <c r="A8" s="8" t="inlineStr">
        <is>
          <t>소프트 천장 (50회~)</t>
        </is>
      </c>
      <c r="B8" s="8" t="inlineStr">
        <is>
          <t>자동</t>
        </is>
      </c>
      <c r="C8" s="8" t="inlineStr">
        <is>
          <t>확률 감소</t>
        </is>
      </c>
      <c r="D8" s="8" t="inlineStr"/>
      <c r="E8" s="8" t="inlineStr"/>
      <c r="F8" s="8" t="inlineStr">
        <is>
          <t>매회 +3%</t>
        </is>
      </c>
      <c r="G8" s="8" t="inlineStr"/>
      <c r="H8" s="8" t="inlineStr"/>
      <c r="I8" s="8" t="inlineStr">
        <is>
          <t>50회부터 작동</t>
        </is>
      </c>
      <c r="J8" s="8" t="inlineStr">
        <is>
          <t>영웅 확률 매회 +3%</t>
        </is>
      </c>
    </row>
    <row r="9">
      <c r="A9" s="9" t="inlineStr">
        <is>
          <t>하드 천장 (80회)</t>
        </is>
      </c>
      <c r="B9" s="9" t="inlineStr">
        <is>
          <t>자동</t>
        </is>
      </c>
      <c r="C9" s="9" t="inlineStr">
        <is>
          <t>—</t>
        </is>
      </c>
      <c r="D9" s="9" t="inlineStr">
        <is>
          <t>—</t>
        </is>
      </c>
      <c r="E9" s="9" t="inlineStr">
        <is>
          <t>—</t>
        </is>
      </c>
      <c r="F9" s="9" t="inlineStr">
        <is>
          <t>85%</t>
        </is>
      </c>
      <c r="G9" s="9" t="inlineStr">
        <is>
          <t>12%</t>
        </is>
      </c>
      <c r="H9" s="9" t="inlineStr">
        <is>
          <t>3%</t>
        </is>
      </c>
      <c r="I9" s="9" t="inlineStr">
        <is>
          <t>영웅 확정</t>
        </is>
      </c>
      <c r="J9" s="9" t="inlineStr">
        <is>
          <t>80회째 확정</t>
        </is>
      </c>
    </row>
    <row r="10">
      <c r="A10" s="8" t="inlineStr">
        <is>
          <t>신화 천장 (200회)</t>
        </is>
      </c>
      <c r="B10" s="8" t="inlineStr">
        <is>
          <t>자동</t>
        </is>
      </c>
      <c r="C10" s="8" t="inlineStr">
        <is>
          <t>—</t>
        </is>
      </c>
      <c r="D10" s="8" t="inlineStr">
        <is>
          <t>—</t>
        </is>
      </c>
      <c r="E10" s="8" t="inlineStr">
        <is>
          <t>—</t>
        </is>
      </c>
      <c r="F10" s="8" t="inlineStr">
        <is>
          <t>—</t>
        </is>
      </c>
      <c r="G10" s="8" t="inlineStr">
        <is>
          <t>—</t>
        </is>
      </c>
      <c r="H10" s="8" t="inlineStr">
        <is>
          <t>100%</t>
        </is>
      </c>
      <c r="I10" s="8" t="inlineStr">
        <is>
          <t>신화 확정</t>
        </is>
      </c>
      <c r="J10" s="8" t="inlineStr">
        <is>
          <t>200회째 확정</t>
        </is>
      </c>
    </row>
    <row r="11">
      <c r="A11" s="9" t="inlineStr"/>
      <c r="B11" s="9" t="inlineStr"/>
      <c r="C11" s="9" t="inlineStr"/>
      <c r="D11" s="9" t="inlineStr"/>
      <c r="E11" s="9" t="inlineStr"/>
      <c r="F11" s="9" t="inlineStr"/>
      <c r="G11" s="9" t="inlineStr"/>
      <c r="H11" s="9" t="inlineStr"/>
      <c r="I11" s="9" t="inlineStr"/>
      <c r="J11" s="9" t="inlineStr"/>
    </row>
    <row r="12">
      <c r="A12" s="8" t="inlineStr">
        <is>
          <t>포인트 교환</t>
        </is>
      </c>
      <c r="B12" s="8" t="inlineStr"/>
      <c r="C12" s="8" t="inlineStr"/>
      <c r="D12" s="8" t="inlineStr"/>
      <c r="E12" s="8" t="inlineStr"/>
      <c r="F12" s="8" t="inlineStr"/>
      <c r="G12" s="8" t="inlineStr"/>
      <c r="H12" s="8" t="inlineStr"/>
      <c r="I12" s="8" t="inlineStr"/>
      <c r="J12" s="8" t="inlineStr"/>
    </row>
    <row r="13">
      <c r="A13" s="9" t="inlineStr">
        <is>
          <t>고급 교환</t>
        </is>
      </c>
      <c r="B13" s="9" t="inlineStr">
        <is>
          <t>30pt</t>
        </is>
      </c>
      <c r="C13" s="9" t="inlineStr"/>
      <c r="D13" s="9" t="inlineStr">
        <is>
          <t>100%</t>
        </is>
      </c>
      <c r="E13" s="9" t="inlineStr"/>
      <c r="F13" s="9" t="inlineStr"/>
      <c r="G13" s="9" t="inlineStr"/>
      <c r="H13" s="9" t="inlineStr"/>
      <c r="I13" s="9" t="inlineStr">
        <is>
          <t>원하는 고급 선택</t>
        </is>
      </c>
      <c r="J13" s="9" t="inlineStr">
        <is>
          <t>소환 1회=1pt, 10연차=20pt</t>
        </is>
      </c>
    </row>
    <row r="14">
      <c r="A14" s="8" t="inlineStr">
        <is>
          <t>희귀 교환</t>
        </is>
      </c>
      <c r="B14" s="8" t="inlineStr">
        <is>
          <t>80pt</t>
        </is>
      </c>
      <c r="C14" s="8" t="inlineStr"/>
      <c r="D14" s="8" t="inlineStr"/>
      <c r="E14" s="8" t="inlineStr">
        <is>
          <t>100%</t>
        </is>
      </c>
      <c r="F14" s="8" t="inlineStr"/>
      <c r="G14" s="8" t="inlineStr"/>
      <c r="H14" s="8" t="inlineStr"/>
      <c r="I14" s="8" t="inlineStr">
        <is>
          <t>원하는 희귀 선택</t>
        </is>
      </c>
      <c r="J14" s="8" t="inlineStr"/>
    </row>
    <row r="15">
      <c r="A15" s="9" t="inlineStr">
        <is>
          <t>영웅 교환</t>
        </is>
      </c>
      <c r="B15" s="9" t="inlineStr">
        <is>
          <t>200pt</t>
        </is>
      </c>
      <c r="C15" s="9" t="inlineStr"/>
      <c r="D15" s="9" t="inlineStr"/>
      <c r="E15" s="9" t="inlineStr"/>
      <c r="F15" s="9" t="inlineStr">
        <is>
          <t>100%</t>
        </is>
      </c>
      <c r="G15" s="9" t="inlineStr"/>
      <c r="H15" s="9" t="inlineStr"/>
      <c r="I15" s="9" t="inlineStr">
        <is>
          <t>원하는 영웅 선택</t>
        </is>
      </c>
      <c r="J15" s="9" t="inlineStr"/>
    </row>
    <row r="16">
      <c r="A16" s="8" t="inlineStr"/>
      <c r="B16" s="8" t="inlineStr"/>
      <c r="C16" s="8" t="inlineStr"/>
      <c r="D16" s="8" t="inlineStr"/>
      <c r="E16" s="8" t="inlineStr"/>
      <c r="F16" s="8" t="inlineStr"/>
      <c r="G16" s="8" t="inlineStr"/>
      <c r="H16" s="8" t="inlineStr"/>
      <c r="I16" s="8" t="inlineStr"/>
      <c r="J16" s="8" t="inlineStr"/>
    </row>
    <row r="17">
      <c r="A17" s="9" t="inlineStr">
        <is>
          <t>기댓값 계산</t>
        </is>
      </c>
      <c r="B17" s="9" t="inlineStr"/>
      <c r="C17" s="9" t="inlineStr"/>
      <c r="D17" s="9" t="inlineStr"/>
      <c r="E17" s="9" t="inlineStr"/>
      <c r="F17" s="9" t="inlineStr"/>
      <c r="G17" s="9" t="inlineStr"/>
      <c r="H17" s="9" t="inlineStr"/>
      <c r="I17" s="9" t="inlineStr"/>
      <c r="J17" s="9" t="inlineStr"/>
    </row>
    <row r="18">
      <c r="A18" s="8" t="inlineStr">
        <is>
          <t>영웅 1체 평균</t>
        </is>
      </c>
      <c r="B18" s="8" t="inlineStr">
        <is>
          <t>~32회 (소프트 천장 포함)</t>
        </is>
      </c>
      <c r="C18" s="8" t="inlineStr">
        <is>
          <t>960💎</t>
        </is>
      </c>
      <c r="D18" s="8" t="inlineStr"/>
      <c r="E18" s="8" t="inlineStr"/>
      <c r="F18" s="8" t="inlineStr"/>
      <c r="G18" s="8" t="inlineStr"/>
      <c r="H18" s="8" t="inlineStr"/>
      <c r="I18" s="8" t="inlineStr">
        <is>
          <t>최대 80회 보장</t>
        </is>
      </c>
      <c r="J18" s="8" t="inlineStr"/>
    </row>
    <row r="19">
      <c r="A19" s="9" t="inlineStr">
        <is>
          <t>전설 1체 평균</t>
        </is>
      </c>
      <c r="B19" s="9" t="inlineStr">
        <is>
          <t>~80회</t>
        </is>
      </c>
      <c r="C19" s="9" t="inlineStr">
        <is>
          <t>2,400💎</t>
        </is>
      </c>
      <c r="D19" s="9" t="inlineStr"/>
      <c r="E19" s="9" t="inlineStr"/>
      <c r="F19" s="9" t="inlineStr"/>
      <c r="G19" s="9" t="inlineStr"/>
      <c r="H19" s="9" t="inlineStr"/>
      <c r="I19" s="9" t="inlineStr">
        <is>
          <t>미보장 (영웅 천장만)</t>
        </is>
      </c>
      <c r="J19" s="9" t="inlineStr"/>
    </row>
    <row r="20">
      <c r="A20" s="8" t="inlineStr">
        <is>
          <t>신화 1체 평균</t>
        </is>
      </c>
      <c r="B20" s="8" t="inlineStr">
        <is>
          <t>~200회</t>
        </is>
      </c>
      <c r="C20" s="8" t="inlineStr">
        <is>
          <t>6,000💎</t>
        </is>
      </c>
      <c r="D20" s="8" t="inlineStr"/>
      <c r="E20" s="8" t="inlineStr"/>
      <c r="F20" s="8" t="inlineStr"/>
      <c r="G20" s="8" t="inlineStr"/>
      <c r="H20" s="8" t="inlineStr"/>
      <c r="I20" s="8" t="inlineStr">
        <is>
          <t>최대 200회 보장</t>
        </is>
      </c>
      <c r="J20" s="8" t="inlineStr"/>
    </row>
    <row r="21">
      <c r="A21" s="9" t="inlineStr">
        <is>
          <t>무과금 월간</t>
        </is>
      </c>
      <c r="B21" s="9" t="inlineStr">
        <is>
          <t>소환 ~34회 (무료+보상)</t>
        </is>
      </c>
      <c r="C21" s="9" t="inlineStr"/>
      <c r="D21" s="9" t="inlineStr"/>
      <c r="E21" s="9" t="inlineStr"/>
      <c r="F21" s="9" t="inlineStr">
        <is>
          <t>영웅 ~1체/월</t>
        </is>
      </c>
      <c r="G21" s="9" t="inlineStr"/>
      <c r="H21" s="9" t="inlineStr"/>
      <c r="I21" s="9" t="inlineStr">
        <is>
          <t>꾸준히 하면 가능!</t>
        </is>
      </c>
      <c r="J21" s="9" t="inlineStr"/>
    </row>
  </sheetData>
  <mergeCells count="1">
    <mergeCell ref="A1:J1"/>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12" customWidth="1" min="1" max="1"/>
    <col width="10" customWidth="1" min="2" max="2"/>
    <col width="16" customWidth="1" min="3" max="3"/>
    <col width="16" customWidth="1" min="4" max="4"/>
    <col width="16" customWidth="1" min="5" max="5"/>
    <col width="32" customWidth="1" min="6" max="6"/>
    <col width="18" customWidth="1" min="7" max="7"/>
  </cols>
  <sheetData>
    <row r="1">
      <c r="A1" s="6" t="inlineStr">
        <is>
          <t>용병 특성 조합 추천 가이드</t>
        </is>
      </c>
    </row>
    <row r="3">
      <c r="A3" s="7" t="inlineStr">
        <is>
          <t>용병</t>
        </is>
      </c>
      <c r="B3" s="7" t="inlineStr">
        <is>
          <t>역할</t>
        </is>
      </c>
      <c r="C3" s="7" t="inlineStr">
        <is>
          <t>추천 특성 1</t>
        </is>
      </c>
      <c r="D3" s="7" t="inlineStr">
        <is>
          <t>추천 특성 2</t>
        </is>
      </c>
      <c r="E3" s="7" t="inlineStr">
        <is>
          <t>추천 특성 3</t>
        </is>
      </c>
      <c r="F3" s="7" t="inlineStr">
        <is>
          <t>전략 설명</t>
        </is>
      </c>
      <c r="G3" s="7" t="inlineStr">
        <is>
          <t>리롤 우선순위</t>
        </is>
      </c>
    </row>
    <row r="4">
      <c r="A4" s="8" t="inlineStr">
        <is>
          <t>드래곤나이트</t>
        </is>
      </c>
      <c r="B4" s="8" t="inlineStr">
        <is>
          <t>메인 딜러</t>
        </is>
      </c>
      <c r="C4" s="8" t="inlineStr">
        <is>
          <t>관통(DEF무시15%)</t>
        </is>
      </c>
      <c r="D4" s="8" t="inlineStr">
        <is>
          <t>광전(HP↓ATK↑)</t>
        </is>
      </c>
      <c r="E4" s="8" t="inlineStr">
        <is>
          <t>흡혈(3%회복)</t>
        </is>
      </c>
      <c r="F4" s="8" t="inlineStr">
        <is>
          <t>광전으로 저HP에서 극한 딜, 흡혈로 생존, 관통으로 탱커 무시</t>
        </is>
      </c>
      <c r="G4" s="8" t="inlineStr">
        <is>
          <t>관통 &gt; 광전 &gt; 흡혈</t>
        </is>
      </c>
    </row>
    <row r="5">
      <c r="A5" s="9" t="inlineStr">
        <is>
          <t>세라핌</t>
        </is>
      </c>
      <c r="B5" s="9" t="inlineStr">
        <is>
          <t>메인 힐러</t>
        </is>
      </c>
      <c r="C5" s="9" t="inlineStr">
        <is>
          <t>치유강화(받힐+30%)</t>
        </is>
      </c>
      <c r="D5" s="9" t="inlineStr">
        <is>
          <t>불굴(HP1 생존)</t>
        </is>
      </c>
      <c r="E5" s="9" t="inlineStr">
        <is>
          <t>수호(인접DEF+5%)</t>
        </is>
      </c>
      <c r="F5" s="9" t="inlineStr">
        <is>
          <t>치유강화로 자힐 극대화, 불굴로 1회 생존, 수호로 주변 방어</t>
        </is>
      </c>
      <c r="G5" s="9" t="inlineStr">
        <is>
          <t>치유강화 &gt; 불굴 &gt; 수호</t>
        </is>
      </c>
    </row>
    <row r="6">
      <c r="A6" s="8" t="inlineStr">
        <is>
          <t>죽음의 기사</t>
        </is>
      </c>
      <c r="B6" s="8" t="inlineStr">
        <is>
          <t>탱커/딜러</t>
        </is>
      </c>
      <c r="C6" s="8" t="inlineStr">
        <is>
          <t>철벽(DEF+10%)</t>
        </is>
      </c>
      <c r="D6" s="8" t="inlineStr">
        <is>
          <t>반격(30%반사)</t>
        </is>
      </c>
      <c r="E6" s="8" t="inlineStr">
        <is>
          <t>생명(HP+12%)</t>
        </is>
      </c>
      <c r="F6" s="8" t="inlineStr">
        <is>
          <t>철벽+생명으로 극한 내구, 반격으로 맞으면서 딜, 소환수와 시너지</t>
        </is>
      </c>
      <c r="G6" s="8" t="inlineStr">
        <is>
          <t>철벽 &gt; 생명 &gt; 반격</t>
        </is>
      </c>
    </row>
    <row r="7">
      <c r="A7" s="9" t="inlineStr">
        <is>
          <t>암살자</t>
        </is>
      </c>
      <c r="B7" s="9" t="inlineStr">
        <is>
          <t>원킬 특화</t>
        </is>
      </c>
      <c r="C7" s="9" t="inlineStr">
        <is>
          <t>기습(첫타2배)</t>
        </is>
      </c>
      <c r="D7" s="9" t="inlineStr">
        <is>
          <t>회심(크리+10%)</t>
        </is>
      </c>
      <c r="E7" s="9" t="inlineStr">
        <is>
          <t>민첩(SPD+10%)</t>
        </is>
      </c>
      <c r="F7" s="9" t="inlineStr">
        <is>
          <t>기습+회심으로 첫타 극대화, 민첩으로 선공, 확정크리 스킬과 조합</t>
        </is>
      </c>
      <c r="G7" s="9" t="inlineStr">
        <is>
          <t>기습 &gt; 회심 &gt; 민첩</t>
        </is>
      </c>
    </row>
    <row r="8">
      <c r="A8" s="8" t="inlineStr">
        <is>
          <t>대마법사</t>
        </is>
      </c>
      <c r="B8" s="8" t="inlineStr">
        <is>
          <t>광역 딜러</t>
        </is>
      </c>
      <c r="C8" s="8" t="inlineStr">
        <is>
          <t>천재(스킬DMG+12%)</t>
        </is>
      </c>
      <c r="D8" s="8" t="inlineStr">
        <is>
          <t>집중(단일+20%)</t>
        </is>
      </c>
      <c r="E8" s="8" t="inlineStr">
        <is>
          <t>철권(ATK+8%)</t>
        </is>
      </c>
      <c r="F8" s="8" t="inlineStr">
        <is>
          <t>천재로 메테오 극대화, 보스전엔 집중, 기본 딜은 철권</t>
        </is>
      </c>
      <c r="G8" s="8" t="inlineStr">
        <is>
          <t>천재 &gt; 철권 &gt; 집중</t>
        </is>
      </c>
    </row>
    <row r="9">
      <c r="A9" s="9" t="inlineStr">
        <is>
          <t>사제</t>
        </is>
      </c>
      <c r="B9" s="9" t="inlineStr">
        <is>
          <t>서포터</t>
        </is>
      </c>
      <c r="C9" s="9" t="inlineStr">
        <is>
          <t>치유강화(받힐+30%)</t>
        </is>
      </c>
      <c r="D9" s="9" t="inlineStr">
        <is>
          <t>재생(HP2%/초)</t>
        </is>
      </c>
      <c r="E9" s="9" t="inlineStr">
        <is>
          <t>저항(상태이상-50%)</t>
        </is>
      </c>
      <c r="F9" s="9" t="inlineStr">
        <is>
          <t>치유강화로 전체힐 극대화, 재생으로 지속 생존, 저항으로 CC 면역</t>
        </is>
      </c>
      <c r="G9" s="9" t="inlineStr">
        <is>
          <t>치유강화 &gt; 저항 &gt; 재생</t>
        </is>
      </c>
    </row>
    <row r="10">
      <c r="A10" s="8" t="inlineStr">
        <is>
          <t>검성</t>
        </is>
      </c>
      <c r="B10" s="8" t="inlineStr">
        <is>
          <t>연참 딜러</t>
        </is>
      </c>
      <c r="C10" s="8" t="inlineStr">
        <is>
          <t>회심(크리+10%)</t>
        </is>
      </c>
      <c r="D10" s="8" t="inlineStr">
        <is>
          <t>분노(킬시ATK+5%)</t>
        </is>
      </c>
      <c r="E10" s="8" t="inlineStr">
        <is>
          <t>철권(ATK+8%)</t>
        </is>
      </c>
      <c r="F10" s="8" t="inlineStr">
        <is>
          <t>5연참 × 크리 = 폭발 딜, 킬당 분노 누적, 기본 ATK 철권</t>
        </is>
      </c>
      <c r="G10" s="8" t="inlineStr">
        <is>
          <t>회심 &gt; 분노 &gt; 철권</t>
        </is>
      </c>
    </row>
    <row r="11">
      <c r="A11" s="9" t="inlineStr">
        <is>
          <t>서리 여왕</t>
        </is>
      </c>
      <c r="B11" s="9" t="inlineStr">
        <is>
          <t>CC 특화</t>
        </is>
      </c>
      <c r="C11" s="9" t="inlineStr">
        <is>
          <t>천재(스킬DMG+12%)</t>
        </is>
      </c>
      <c r="D11" s="9" t="inlineStr">
        <is>
          <t>저항(상태이상-50%)</t>
        </is>
      </c>
      <c r="E11" s="9" t="inlineStr">
        <is>
          <t>보호막(시작HP20%쉴드)</t>
        </is>
      </c>
      <c r="F11" s="9" t="inlineStr">
        <is>
          <t>천재로 빙결+딜 강화, 저항으로 상대 CC 면역, 보호막으로 초반 생존</t>
        </is>
      </c>
      <c r="G11" s="9" t="inlineStr">
        <is>
          <t>천재 &gt; 보호막 &gt; 저항</t>
        </is>
      </c>
    </row>
    <row r="12">
      <c r="A12" s="8" t="inlineStr">
        <is>
          <t>바하무트</t>
        </is>
      </c>
      <c r="B12" s="8" t="inlineStr">
        <is>
          <t>최종 딜러</t>
        </is>
      </c>
      <c r="C12" s="8" t="inlineStr">
        <is>
          <t>광전(HP↓ATK↑)</t>
        </is>
      </c>
      <c r="D12" s="8" t="inlineStr">
        <is>
          <t>관통(DEF무시15%)</t>
        </is>
      </c>
      <c r="E12" s="8" t="inlineStr">
        <is>
          <t>불사(사망시부활)</t>
        </is>
      </c>
      <c r="F12" s="8" t="inlineStr">
        <is>
          <t>광전+관통으로 극한 딜, 불사로 1회 보험, 전체 10배와 시너지</t>
        </is>
      </c>
      <c r="G12" s="8" t="inlineStr">
        <is>
          <t>관통 &gt; 광전 &gt; 불사</t>
        </is>
      </c>
    </row>
    <row r="13">
      <c r="A13" s="9" t="inlineStr">
        <is>
          <t>수호천사</t>
        </is>
      </c>
      <c r="B13" s="9" t="inlineStr">
        <is>
          <t>풀서포터</t>
        </is>
      </c>
      <c r="C13" s="9" t="inlineStr">
        <is>
          <t>치유강화(+30%)</t>
        </is>
      </c>
      <c r="D13" s="9" t="inlineStr">
        <is>
          <t>수호(인접DEF+5%)</t>
        </is>
      </c>
      <c r="E13" s="9" t="inlineStr">
        <is>
          <t>축복(전스탯+3%)</t>
        </is>
      </c>
      <c r="F13" s="9" t="inlineStr">
        <is>
          <t>전체 80힐+보호막을 치유강화로 극대화, 수호로 인접 방어, 축복으로 전체 버프</t>
        </is>
      </c>
      <c r="G13" s="9" t="inlineStr">
        <is>
          <t>치유강화 &gt; 축복 &gt; 수호</t>
        </is>
      </c>
    </row>
    <row r="14">
      <c r="A14" s="8" t="inlineStr">
        <is>
          <t>시간 마법사</t>
        </is>
      </c>
      <c r="B14" s="8" t="inlineStr">
        <is>
          <t>CC 왕</t>
        </is>
      </c>
      <c r="C14" s="8" t="inlineStr">
        <is>
          <t>천재(스킬DMG+12%)</t>
        </is>
      </c>
      <c r="D14" s="8" t="inlineStr">
        <is>
          <t>민첩(SPD+10%)</t>
        </is>
      </c>
      <c r="E14" s="8" t="inlineStr">
        <is>
          <t>저항(CC-50%)</t>
        </is>
      </c>
      <c r="F14" s="8" t="inlineStr">
        <is>
          <t>4초 전체 정지를 천재로 강화, 민첩으로 선공 정지, 저항으로 상대 CC 방어</t>
        </is>
      </c>
      <c r="G14" s="8" t="inlineStr">
        <is>
          <t>천재 &gt; 민첩 &gt; 저항</t>
        </is>
      </c>
    </row>
    <row r="15">
      <c r="A15" s="9" t="inlineStr">
        <is>
          <t>불사조 기사</t>
        </is>
      </c>
      <c r="B15" s="9" t="inlineStr">
        <is>
          <t>불사 탱커</t>
        </is>
      </c>
      <c r="C15" s="9" t="inlineStr">
        <is>
          <t>불굴(HP1 생존)</t>
        </is>
      </c>
      <c r="D15" s="9" t="inlineStr">
        <is>
          <t>재생(HP2%/초)</t>
        </is>
      </c>
      <c r="E15" s="9" t="inlineStr">
        <is>
          <t>반격(30%반사)</t>
        </is>
      </c>
      <c r="F15" s="9" t="inlineStr">
        <is>
          <t>부활 패시브+불굴로 2중 보험, 재생으로 부활 후 회복, 반격으로 수동 딜</t>
        </is>
      </c>
      <c r="G15" s="9" t="inlineStr">
        <is>
          <t>불굴 &gt; 재생 &gt; 반격</t>
        </is>
      </c>
    </row>
    <row r="16">
      <c r="A16" s="8" t="inlineStr"/>
      <c r="B16" s="8" t="inlineStr"/>
      <c r="C16" s="8" t="inlineStr"/>
      <c r="D16" s="8" t="inlineStr"/>
      <c r="E16" s="8" t="inlineStr"/>
      <c r="F16" s="8" t="inlineStr"/>
      <c r="G16" s="8" t="inlineStr"/>
    </row>
    <row r="17">
      <c r="A17" s="9" t="inlineStr">
        <is>
          <t>전설 특성 추천</t>
        </is>
      </c>
      <c r="B17" s="9" t="inlineStr"/>
      <c r="C17" s="9" t="inlineStr"/>
      <c r="D17" s="9" t="inlineStr"/>
      <c r="E17" s="9" t="inlineStr"/>
      <c r="F17" s="9" t="inlineStr"/>
      <c r="G17" s="9" t="inlineStr"/>
    </row>
    <row r="18">
      <c r="A18" s="8" t="inlineStr">
        <is>
          <t>딜러 공통</t>
        </is>
      </c>
      <c r="B18" s="8" t="inlineStr"/>
      <c r="C18" s="8" t="inlineStr">
        <is>
          <t>불사(부활)</t>
        </is>
      </c>
      <c r="D18" s="8" t="inlineStr">
        <is>
          <t>운명의 주사위(30% 3배)</t>
        </is>
      </c>
      <c r="E18" s="8" t="inlineStr">
        <is>
          <t>흡성대법(킬시 스탯흡수)</t>
        </is>
      </c>
      <c r="F18" s="8" t="inlineStr">
        <is>
          <t>불사로 보험+주사위로 도박 딜+흡성으로 스노우볼</t>
        </is>
      </c>
      <c r="G18" s="8" t="inlineStr">
        <is>
          <t>불사 &gt; 주사위 &gt; 흡성</t>
        </is>
      </c>
    </row>
    <row r="19">
      <c r="A19" s="9" t="inlineStr">
        <is>
          <t>탱커 공통</t>
        </is>
      </c>
      <c r="B19" s="9" t="inlineStr"/>
      <c r="C19" s="9" t="inlineStr">
        <is>
          <t>불사(부활)</t>
        </is>
      </c>
      <c r="D19" s="9" t="inlineStr">
        <is>
          <t>천재 지휘관(전원+8%)</t>
        </is>
      </c>
      <c r="E19" s="9" t="inlineStr"/>
      <c r="F19" s="9" t="inlineStr">
        <is>
          <t>불사 필수, 지휘관으로 파티 전체 버프</t>
        </is>
      </c>
      <c r="G19" s="9" t="inlineStr">
        <is>
          <t>불사 &gt; 지휘관</t>
        </is>
      </c>
    </row>
    <row r="20">
      <c r="A20" s="8" t="inlineStr">
        <is>
          <t>서포터 공통</t>
        </is>
      </c>
      <c r="B20" s="8" t="inlineStr"/>
      <c r="C20" s="8" t="inlineStr">
        <is>
          <t>천재 지휘관(전원+8%)</t>
        </is>
      </c>
      <c r="D20" s="8" t="inlineStr">
        <is>
          <t>시간 왜곡(CD-25%)</t>
        </is>
      </c>
      <c r="E20" s="8" t="inlineStr"/>
      <c r="F20" s="8" t="inlineStr">
        <is>
          <t>지휘관으로 파티 강화, 시간왜곡으로 힐 회전율 극대화</t>
        </is>
      </c>
      <c r="G20" s="8" t="inlineStr">
        <is>
          <t>지휘관 &gt; 시간왜곡</t>
        </is>
      </c>
    </row>
  </sheetData>
  <mergeCells count="1">
    <mergeCell ref="A1:G1"/>
  </mergeCell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4" customWidth="1" min="1" max="1"/>
    <col width="18" customWidth="1" min="2" max="2"/>
    <col width="36" customWidth="1" min="3" max="3"/>
    <col width="36" customWidth="1" min="4" max="4"/>
    <col width="14" customWidth="1" min="5" max="5"/>
    <col width="28" customWidth="1" min="6" max="6"/>
    <col width="28" customWidth="1" min="7" max="7"/>
    <col width="36" customWidth="1" min="8" max="8"/>
  </cols>
  <sheetData>
    <row r="1">
      <c r="A1" s="6" t="inlineStr">
        <is>
          <t>용병 시너지 조합 가이드 20선</t>
        </is>
      </c>
    </row>
    <row r="3">
      <c r="A3" s="7" t="inlineStr">
        <is>
          <t>#</t>
        </is>
      </c>
      <c r="B3" s="7" t="inlineStr">
        <is>
          <t>조합명</t>
        </is>
      </c>
      <c r="C3" s="7" t="inlineStr">
        <is>
          <t>용병 편성</t>
        </is>
      </c>
      <c r="D3" s="7" t="inlineStr">
        <is>
          <t>시너지 효과</t>
        </is>
      </c>
      <c r="E3" s="7" t="inlineStr">
        <is>
          <t>전투력 목표</t>
        </is>
      </c>
      <c r="F3" s="7" t="inlineStr">
        <is>
          <t>적합 콘텐츠</t>
        </is>
      </c>
      <c r="G3" s="7" t="inlineStr">
        <is>
          <t>약점</t>
        </is>
      </c>
      <c r="H3" s="7" t="inlineStr">
        <is>
          <t>대응 전략</t>
        </is>
      </c>
    </row>
    <row r="4">
      <c r="A4" s="8" t="n">
        <v>1</v>
      </c>
      <c r="B4" s="8" t="inlineStr">
        <is>
          <t>광역 섬멸팀</t>
        </is>
      </c>
      <c r="C4" s="8" t="inlineStr">
        <is>
          <t>대마법사, 서리여왕, 화염술사, 흑마법사, 음유시인, 사제</t>
        </is>
      </c>
      <c r="D4" s="8" t="inlineStr">
        <is>
          <t>마법 공명(4): 스킬DMG+25%, CD-40% / 음유시인 ATK 버프</t>
        </is>
      </c>
      <c r="E4" s="8" t="inlineStr">
        <is>
          <t>전투력 800+</t>
        </is>
      </c>
      <c r="F4" s="8" t="inlineStr">
        <is>
          <t>IO서바이벌 — 광역으로 웨이브 빠른 클리어</t>
        </is>
      </c>
      <c r="G4" s="8" t="inlineStr">
        <is>
          <t>방어력 부족, 보스 페이즈에서 취약</t>
        </is>
      </c>
      <c r="H4" s="8" t="inlineStr">
        <is>
          <t>보스전에선 사제 힐에 의존, 서리여왕 빙결로 시간 벌기</t>
        </is>
      </c>
    </row>
    <row r="5">
      <c r="A5" s="9" t="n">
        <v>2</v>
      </c>
      <c r="B5" s="9" t="inlineStr">
        <is>
          <t>불멸 생존팀</t>
        </is>
      </c>
      <c r="C5" s="9" t="inlineStr">
        <is>
          <t>불사조 기사, 세라핌, 수호천사, 사제, 드루이드, 성기사</t>
        </is>
      </c>
      <c r="D5" s="9" t="inlineStr">
        <is>
          <t>천상의 기사단: 5초 무적 / 생명의 빛(3): 사망 시 부활 / 불사조 패시브 부활</t>
        </is>
      </c>
      <c r="E5" s="9" t="inlineStr">
        <is>
          <t>전투력 700+</t>
        </is>
      </c>
      <c r="F5" s="9" t="inlineStr">
        <is>
          <t>IO서바이벌 — 죽지 않고 끝까지 버티기</t>
        </is>
      </c>
      <c r="G5" s="9" t="inlineStr">
        <is>
          <t>딜 부족으로 클리어 시간 길어짐</t>
        </is>
      </c>
      <c r="H5" s="9" t="inlineStr">
        <is>
          <t>웨이브 사이 버프 중첩, 장기전으로 레벨 우위 확보</t>
        </is>
      </c>
    </row>
    <row r="6">
      <c r="A6" s="8" t="n">
        <v>3</v>
      </c>
      <c r="B6" s="8" t="inlineStr">
        <is>
          <t>보스킬러팀</t>
        </is>
      </c>
      <c r="C6" s="8" t="inlineStr">
        <is>
          <t>검성, 저격수, 암살자, 닌자, 시간마법사, 연금술사</t>
        </is>
      </c>
      <c r="D6" s="8" t="inlineStr">
        <is>
          <t>그림자 결사(4): 첫타 2배+킬 시 은신 / 시공의 문: CD-25%</t>
        </is>
      </c>
      <c r="E6" s="8" t="inlineStr">
        <is>
          <t>전투력 900+</t>
        </is>
      </c>
      <c r="F6" s="8" t="inlineStr">
        <is>
          <t>IO서바이벌 — 보스 웨이브 특화</t>
        </is>
      </c>
      <c r="G6" s="8" t="inlineStr">
        <is>
          <t>잡몹 광역 처리 느림</t>
        </is>
      </c>
      <c r="H6" s="8" t="inlineStr">
        <is>
          <t>보스 등장 전 레벨업으로 단일 딜 극대화, 시간정지+암살 연계</t>
        </is>
      </c>
    </row>
    <row r="7">
      <c r="A7" s="9" t="n">
        <v>4</v>
      </c>
      <c r="B7" s="9" t="inlineStr">
        <is>
          <t>골드 파밍팀</t>
        </is>
      </c>
      <c r="C7" s="9" t="inlineStr">
        <is>
          <t>도둑, 해적, 음유시인, 연금술사, 궁수, 레인저</t>
        </is>
      </c>
      <c r="D7" s="9" t="inlineStr">
        <is>
          <t>해적 약탈: 킬 시 골드 / 도둑 패시브 골드 / 음유시인 ATK 버프</t>
        </is>
      </c>
      <c r="E7" s="9" t="inlineStr">
        <is>
          <t>전투력 500+</t>
        </is>
      </c>
      <c r="F7" s="9" t="inlineStr">
        <is>
          <t>IO서바이벌 — 골드 수집 극대화</t>
        </is>
      </c>
      <c r="G7" s="9" t="inlineStr">
        <is>
          <t>순수 전투력 낮음, 고레벨 웨이브에서 힘듦</t>
        </is>
      </c>
      <c r="H7" s="9" t="inlineStr">
        <is>
          <t>초반 파밍 후 강화에 투자, 중후반 용병 교체 활용</t>
        </is>
      </c>
    </row>
    <row r="8">
      <c r="A8" s="8" t="n">
        <v>5</v>
      </c>
      <c r="B8" s="8" t="inlineStr">
        <is>
          <t>스피드런팀</t>
        </is>
      </c>
      <c r="C8" s="8" t="inlineStr">
        <is>
          <t>광전사, 기마병, 보병, 검성, 발키리, 사무라이</t>
        </is>
      </c>
      <c r="D8" s="8" t="inlineStr">
        <is>
          <t>전사의 맹세(5): ATK+30%+반격 50%</t>
        </is>
      </c>
      <c r="E8" s="8" t="inlineStr">
        <is>
          <t>전투력 850+</t>
        </is>
      </c>
      <c r="F8" s="8" t="inlineStr">
        <is>
          <t>IO서바이벌 — 최단 시간 클리어</t>
        </is>
      </c>
      <c r="G8" s="8" t="inlineStr">
        <is>
          <t>힐러 없어 피격 관리 필수</t>
        </is>
      </c>
      <c r="H8" s="8" t="inlineStr">
        <is>
          <t>광전사 분노+검성 연참으로 즉살, 발키리 관통으로 라인 클리어</t>
        </is>
      </c>
    </row>
    <row r="9">
      <c r="A9" s="9" t="n">
        <v>6</v>
      </c>
      <c r="B9" s="9" t="inlineStr">
        <is>
          <t>돌격 선봉팀</t>
        </is>
      </c>
      <c r="C9" s="9" t="inlineStr">
        <is>
          <t>드래곤나이트, 기마병, 기사, 광전사, 음유시인, 사제</t>
        </is>
      </c>
      <c r="D9" s="9" t="inlineStr">
        <is>
          <t>용의 혈맹: HP+20% / 전사의 맹세(3): ATK+15%</t>
        </is>
      </c>
      <c r="E9" s="9" t="inlineStr">
        <is>
          <t>전투력 750+</t>
        </is>
      </c>
      <c r="F9" s="9" t="inlineStr">
        <is>
          <t>공성전 공격 — 성문 돌파 선봉</t>
        </is>
      </c>
      <c r="G9" s="9" t="inlineStr">
        <is>
          <t>방어탑 집중 포화에 취약</t>
        </is>
      </c>
      <c r="H9" s="9" t="inlineStr">
        <is>
          <t>음유시인 ATK 버프 후 일제 돌격, 사제 힐로 유지</t>
        </is>
      </c>
    </row>
    <row r="10">
      <c r="A10" s="8" t="n">
        <v>7</v>
      </c>
      <c r="B10" s="8" t="inlineStr">
        <is>
          <t>매복 기습팀</t>
        </is>
      </c>
      <c r="C10" s="8" t="inlineStr">
        <is>
          <t>그림자 군주, 닌자, 암살자, 구미호, 도둑, 해적</t>
        </is>
      </c>
      <c r="D10" s="8" t="inlineStr">
        <is>
          <t>그림자 결사(4): 첫타 2배+킬 시 은신 3초</t>
        </is>
      </c>
      <c r="E10" s="8" t="inlineStr">
        <is>
          <t>전투력 800+</t>
        </is>
      </c>
      <c r="F10" s="8" t="inlineStr">
        <is>
          <t>공성전 공격 — 수비대 배후 기습</t>
        </is>
      </c>
      <c r="G10" s="8" t="inlineStr">
        <is>
          <t>정면 전투력 약함, 철벽 방어에 무력</t>
        </is>
      </c>
      <c r="H10" s="8" t="inlineStr">
        <is>
          <t>은신으로 성벽 우회, 구미호 매혹으로 수비병 무력화 후 각개격파</t>
        </is>
      </c>
    </row>
    <row r="11">
      <c r="A11" s="9" t="n">
        <v>8</v>
      </c>
      <c r="B11" s="9" t="inlineStr">
        <is>
          <t>보스킬러 공성팀</t>
        </is>
      </c>
      <c r="C11" s="9" t="inlineStr">
        <is>
          <t>검성, 사무라이, 저격수, 시간마법사, 연금술사, 발키리</t>
        </is>
      </c>
      <c r="D11" s="9" t="inlineStr">
        <is>
          <t>시공의 문: CD-25% / 명사수 연합(2): 크리+20%</t>
        </is>
      </c>
      <c r="E11" s="9" t="inlineStr">
        <is>
          <t>전투력 900+</t>
        </is>
      </c>
      <c r="F11" s="9" t="inlineStr">
        <is>
          <t>공성전 공격 — 성주/핵심 타겟 즉살</t>
        </is>
      </c>
      <c r="G11" s="9" t="inlineStr">
        <is>
          <t>잡병 처리 느려 포위당할 수 있음</t>
        </is>
      </c>
      <c r="H11" s="9" t="inlineStr">
        <is>
          <t>시간정지로 호위 무력화 → 검성+사무라이 집중 타격 → 저격수 마무리</t>
        </is>
      </c>
    </row>
    <row r="12">
      <c r="A12" s="8" t="n">
        <v>9</v>
      </c>
      <c r="B12" s="8" t="inlineStr">
        <is>
          <t>CC 특화 공성팀</t>
        </is>
      </c>
      <c r="C12" s="8" t="inlineStr">
        <is>
          <t>서리여왕, 시간마법사, 주술사, 흑마법사, 대마법사, 드루이드</t>
        </is>
      </c>
      <c r="D12" s="8" t="inlineStr">
        <is>
          <t>마법 공명(4): CD-40% / 서리여왕 빙결+시간정지 연계</t>
        </is>
      </c>
      <c r="E12" s="8" t="inlineStr">
        <is>
          <t>전투력 750+</t>
        </is>
      </c>
      <c r="F12" s="8" t="inlineStr">
        <is>
          <t>공성전 공격 — 수비대 행동 봉쇄</t>
        </is>
      </c>
      <c r="G12" s="8" t="inlineStr">
        <is>
          <t>순수 딜 부족, 마법 저항 높은 적에 약함</t>
        </is>
      </c>
      <c r="H12" s="8" t="inlineStr">
        <is>
          <t>빙결→시간정지→저주 순서로 CC 체인, 대마법사 메테오로 마무리</t>
        </is>
      </c>
    </row>
    <row r="13">
      <c r="A13" s="9" t="n">
        <v>10</v>
      </c>
      <c r="B13" s="9" t="inlineStr">
        <is>
          <t>밸런스 공성팀</t>
        </is>
      </c>
      <c r="C13" s="9" t="inlineStr">
        <is>
          <t>드래곤나이트, 대마법사, 성기사, 사제, 암살자, 저격수</t>
        </is>
      </c>
      <c r="D13" s="9" t="inlineStr">
        <is>
          <t>용의 혈맹+마법 공명(2): 스킬DMG+25%</t>
        </is>
      </c>
      <c r="E13" s="9" t="inlineStr">
        <is>
          <t>전투력 800+</t>
        </is>
      </c>
      <c r="F13" s="9" t="inlineStr">
        <is>
          <t>공성전 공격 — 어떤 상황에도 대응</t>
        </is>
      </c>
      <c r="G13" s="9" t="inlineStr">
        <is>
          <t>특정 상황에서 특화팀에 밀림</t>
        </is>
      </c>
      <c r="H13" s="9" t="inlineStr">
        <is>
          <t>역할 분담 명확: 드래곤 탱킹, 대마법사 광역, 암살자 저격, 사제 힐</t>
        </is>
      </c>
    </row>
    <row r="14">
      <c r="A14" s="8" t="n">
        <v>11</v>
      </c>
      <c r="B14" s="8" t="inlineStr">
        <is>
          <t>철벽 수비팀</t>
        </is>
      </c>
      <c r="C14" s="8" t="inlineStr">
        <is>
          <t>죽음의 기사, 성기사, 창병, 농부전사, 사제, 수호천사</t>
        </is>
      </c>
      <c r="D14" s="8" t="inlineStr">
        <is>
          <t>전사의 맹세(3): ATK+15% / 생명의 빛(2): HP 2% 회복</t>
        </is>
      </c>
      <c r="E14" s="8" t="inlineStr">
        <is>
          <t>전투력 750+</t>
        </is>
      </c>
      <c r="F14" s="8" t="inlineStr">
        <is>
          <t>공성전 방어 — 성문 사수</t>
        </is>
      </c>
      <c r="G14" s="8" t="inlineStr">
        <is>
          <t>기동력 부족, 우회 공격에 취약</t>
        </is>
      </c>
      <c r="H14" s="8" t="inlineStr">
        <is>
          <t>창병+농부전사 통로 방어, 죽음의 기사 불사로 시간 끌기</t>
        </is>
      </c>
    </row>
    <row r="15">
      <c r="A15" s="9" t="n">
        <v>12</v>
      </c>
      <c r="B15" s="9" t="inlineStr">
        <is>
          <t>화력 방어팀</t>
        </is>
      </c>
      <c r="C15" s="9" t="inlineStr">
        <is>
          <t>저격수, 석궁병, 엘프궁수, 화염술사, 대마법사, 드루이드</t>
        </is>
      </c>
      <c r="D15" s="9" t="inlineStr">
        <is>
          <t>명사수 연합(4): 크리+40%+사거리+50%</t>
        </is>
      </c>
      <c r="E15" s="9" t="inlineStr">
        <is>
          <t>전투력 850+</t>
        </is>
      </c>
      <c r="F15" s="9" t="inlineStr">
        <is>
          <t>공성전 방어 — 원거리 화력으로 접근 차단</t>
        </is>
      </c>
      <c r="G15" s="9" t="inlineStr">
        <is>
          <t>접근전에 극도로 취약</t>
        </is>
      </c>
      <c r="H15" s="9" t="inlineStr">
        <is>
          <t>성벽 위 배치, 사거리 버프로 접근 전 섬멸, 드루이드 힐로 유지</t>
        </is>
      </c>
    </row>
    <row r="16">
      <c r="A16" s="8" t="n">
        <v>13</v>
      </c>
      <c r="B16" s="8" t="inlineStr">
        <is>
          <t>지연 방어팀</t>
        </is>
      </c>
      <c r="C16" s="8" t="inlineStr">
        <is>
          <t>서리여왕, 시간마법사, 주술사, 강령술사, 세계수정령, 사제</t>
        </is>
      </c>
      <c r="D16" s="8" t="inlineStr">
        <is>
          <t>마법 공명(2): 스킬DMG+25% / 세계수 150힐+부활</t>
        </is>
      </c>
      <c r="E16" s="8" t="inlineStr">
        <is>
          <t>전투력 700+</t>
        </is>
      </c>
      <c r="F16" s="8" t="inlineStr">
        <is>
          <t>공성전 방어 — 시간 끌기 전략</t>
        </is>
      </c>
      <c r="G16" s="8" t="inlineStr">
        <is>
          <t>결정력 부족, 장기전에선 자원 소모</t>
        </is>
      </c>
      <c r="H16" s="8" t="inlineStr">
        <is>
          <t>빙결→정지→감속 CC 체인으로 진입 지연, 세계수 정령 부활로 소모전 승리</t>
        </is>
      </c>
    </row>
    <row r="17">
      <c r="A17" s="9" t="n">
        <v>14</v>
      </c>
      <c r="B17" s="9" t="inlineStr">
        <is>
          <t>소환수 방어팀</t>
        </is>
      </c>
      <c r="C17" s="9" t="inlineStr">
        <is>
          <t>강령술사, 늑대왕, 맹수조련사, 마왕, 음유시인, 연금술사</t>
        </is>
      </c>
      <c r="D17" s="9" t="inlineStr">
        <is>
          <t>어둠의 맹약(3): 소환수 ATK+100% / 언데드 군단: 소환수 2배</t>
        </is>
      </c>
      <c r="E17" s="9" t="inlineStr">
        <is>
          <t>전투력 800+</t>
        </is>
      </c>
      <c r="F17" s="9" t="inlineStr">
        <is>
          <t>공성전 방어 — 소환수 물량으로 성벽 방어</t>
        </is>
      </c>
      <c r="G17" s="9" t="inlineStr">
        <is>
          <t>광역기에 소환수 일소, 핵심 용병 노출</t>
        </is>
      </c>
      <c r="H17" s="9" t="inlineStr">
        <is>
          <t>소환수를 전방 배치하고 본체는 후방, 음유시인 버프로 소환수 강화</t>
        </is>
      </c>
    </row>
    <row r="18">
      <c r="A18" s="8" t="n">
        <v>15</v>
      </c>
      <c r="B18" s="8" t="inlineStr">
        <is>
          <t>하이브리드 방어팀</t>
        </is>
      </c>
      <c r="C18" s="8" t="inlineStr">
        <is>
          <t>드래곤나이트, 세라핌, 검성, 사제, 저격수, 서리여왕</t>
        </is>
      </c>
      <c r="D18" s="8" t="inlineStr">
        <is>
          <t>용의 혈맹+천상의 기사단: 5초 무적 / 상극 시너지</t>
        </is>
      </c>
      <c r="E18" s="8" t="inlineStr">
        <is>
          <t>전투력 900+</t>
        </is>
      </c>
      <c r="F18" s="8" t="inlineStr">
        <is>
          <t>공성전 방어 — 공수 겸비 만능형</t>
        </is>
      </c>
      <c r="G18" s="8" t="inlineStr">
        <is>
          <t>특화팀 대비 약간 밀림</t>
        </is>
      </c>
      <c r="H18" s="8" t="inlineStr">
        <is>
          <t>세라핌 부활+서리여왕 CC로 수비, 검성+저격수로 핵심 적 제거</t>
        </is>
      </c>
    </row>
    <row r="19">
      <c r="A19" s="9" t="n">
        <v>16</v>
      </c>
      <c r="B19" s="9" t="inlineStr">
        <is>
          <t>암살 원킬팀</t>
        </is>
      </c>
      <c r="C19" s="9" t="inlineStr">
        <is>
          <t>그림자 군주, 검성, 암살자, 사무라이, 닌자, 구미호</t>
        </is>
      </c>
      <c r="D19" s="9" t="inlineStr">
        <is>
          <t>그림자 결사(4): 첫타 2배 / 구미호 매혹으로 적 무력화</t>
        </is>
      </c>
      <c r="E19" s="9" t="inlineStr">
        <is>
          <t>전투력 850+</t>
        </is>
      </c>
      <c r="F19" s="9" t="inlineStr">
        <is>
          <t>PvP 아레나 — 핵심 적 즉살</t>
        </is>
      </c>
      <c r="G19" s="9" t="inlineStr">
        <is>
          <t>탱커 상대로 원킬 실패 시 붕괴</t>
        </is>
      </c>
      <c r="H19" s="9" t="inlineStr">
        <is>
          <t>구미호 매혹으로 탱커 분리 → 그림자 결사 은신+첫타 2배로 힐러 제거</t>
        </is>
      </c>
    </row>
    <row r="20">
      <c r="A20" s="8" t="n">
        <v>17</v>
      </c>
      <c r="B20" s="8" t="inlineStr">
        <is>
          <t>지구전 소모팀</t>
        </is>
      </c>
      <c r="C20" s="8" t="inlineStr">
        <is>
          <t>죽음의 기사, 세라핌, 세계수정령, 사제, 드루이드, 수호천사</t>
        </is>
      </c>
      <c r="D20" s="8" t="inlineStr">
        <is>
          <t>생명의 빛(3): 부활 / 세라핌+죽음의 기사 인연: 무한 부활</t>
        </is>
      </c>
      <c r="E20" s="8" t="inlineStr">
        <is>
          <t>전투력 750+</t>
        </is>
      </c>
      <c r="F20" s="8" t="inlineStr">
        <is>
          <t>PvP 아레나 — 상대 자원 소진까지 버티기</t>
        </is>
      </c>
      <c r="G20" s="8" t="inlineStr">
        <is>
          <t>딜 부족, 시간 제한 아레나에서 판정 불리</t>
        </is>
      </c>
      <c r="H20" s="8" t="inlineStr">
        <is>
          <t>부활+회복으로 끝까지 버티면서 상대 스킬 CD 소진 유도</t>
        </is>
      </c>
    </row>
    <row r="21">
      <c r="A21" s="9" t="n">
        <v>18</v>
      </c>
      <c r="B21" s="9" t="inlineStr">
        <is>
          <t>CC 제압팀</t>
        </is>
      </c>
      <c r="C21" s="9" t="inlineStr">
        <is>
          <t>시간마법사, 서리여왕, 흑마법사, 주술사, 대마법사, 연금술사</t>
        </is>
      </c>
      <c r="D21" s="9" t="inlineStr">
        <is>
          <t>마법 공명(4): CD-40% / 시간정지+빙결+저주 3중 CC</t>
        </is>
      </c>
      <c r="E21" s="9" t="inlineStr">
        <is>
          <t>전투력 800+</t>
        </is>
      </c>
      <c r="F21" s="9" t="inlineStr">
        <is>
          <t>PvP 아레나 — 행동 봉쇄 후 일방 공격</t>
        </is>
      </c>
      <c r="G21" s="9" t="inlineStr">
        <is>
          <t>CC 면역/해제 스킬 보유 적에게 무력</t>
        </is>
      </c>
      <c r="H21" s="9" t="inlineStr">
        <is>
          <t>CC 순서 관리: 정지(4초)→빙결(3초)→저주 DEF-30%→메테오 마무리</t>
        </is>
      </c>
    </row>
    <row r="22">
      <c r="A22" s="8" t="n">
        <v>19</v>
      </c>
      <c r="B22" s="8" t="inlineStr">
        <is>
          <t>카운터 메타팀</t>
        </is>
      </c>
      <c r="C22" s="8" t="inlineStr">
        <is>
          <t>마왕, 공허의 왕, 혼돈의 군주, 연금술사, 사제, 시간마법사</t>
        </is>
      </c>
      <c r="D22" s="8" t="inlineStr">
        <is>
          <t>혼돈과 질서: 스탯+25% / 마왕 공포+혼돈 혼란 CC</t>
        </is>
      </c>
      <c r="E22" s="8" t="inlineStr">
        <is>
          <t>전투력 950+</t>
        </is>
      </c>
      <c r="F22" s="8" t="inlineStr">
        <is>
          <t>PvP 아레나 — 현재 메타 카운터</t>
        </is>
      </c>
      <c r="G22" s="8" t="inlineStr">
        <is>
          <t>합성/획득 난이도 극상</t>
        </is>
      </c>
      <c r="H22" s="8" t="inlineStr">
        <is>
          <t>혼돈의 군주 혼란으로 적끼리 공격 유도, 공허의 왕 스탯 흡수로 역전</t>
        </is>
      </c>
    </row>
    <row r="23">
      <c r="A23" s="9" t="n">
        <v>20</v>
      </c>
      <c r="B23" s="9" t="inlineStr">
        <is>
          <t>풀공격 화력팀</t>
        </is>
      </c>
      <c r="C23" s="9" t="inlineStr">
        <is>
          <t>바하무트, 전쟁의 신, 세계의 끝, 검황, 원소의 왕, 음유시인</t>
        </is>
      </c>
      <c r="D23" s="9" t="inlineStr">
        <is>
          <t>신화급 순수 화력 + 음유시인 ATK 버프</t>
        </is>
      </c>
      <c r="E23" s="9" t="inlineStr">
        <is>
          <t>전투력 1200+</t>
        </is>
      </c>
      <c r="F23" s="9" t="inlineStr">
        <is>
          <t>PvP 아레나 — 압도적 화력 승부</t>
        </is>
      </c>
      <c r="G23" s="9" t="inlineStr">
        <is>
          <t>획득 난이도 최상, 힐 없음</t>
        </is>
      </c>
      <c r="H23" s="9" t="inlineStr">
        <is>
          <t>바하무트 전체 10배+전쟁의 신 스턴으로 선제공격, 1라운드 킬 목표</t>
        </is>
      </c>
    </row>
  </sheetData>
  <mergeCells count="1">
    <mergeCell ref="A1:H1"/>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22" customWidth="1" min="1" max="1"/>
    <col width="12" customWidth="1" min="2" max="2"/>
    <col width="40" customWidth="1" min="3" max="3"/>
    <col width="18" customWidth="1" min="4" max="4"/>
    <col width="10" customWidth="1" min="5" max="5"/>
    <col width="14" customWidth="1" min="6" max="6"/>
    <col width="24" customWidth="1" min="7" max="7"/>
    <col width="20" customWidth="1" min="8" max="8"/>
    <col width="50" customWidth="1" min="9" max="9"/>
  </cols>
  <sheetData>
    <row r="1">
      <c r="A1" s="6" t="inlineStr">
        <is>
          <t>무역 루트 최적 전략 가이드 (12종)</t>
        </is>
      </c>
    </row>
    <row r="3">
      <c r="A3" s="7" t="inlineStr">
        <is>
          <t>전략명</t>
        </is>
      </c>
      <c r="B3" s="7" t="inlineStr">
        <is>
          <t>시작 골드</t>
        </is>
      </c>
      <c r="C3" s="7" t="inlineStr">
        <is>
          <t>루트 순서</t>
        </is>
      </c>
      <c r="D3" s="7" t="inlineStr">
        <is>
          <t>예상 이윤</t>
        </is>
      </c>
      <c r="E3" s="7" t="inlineStr">
        <is>
          <t>소요 시간</t>
        </is>
      </c>
      <c r="F3" s="7" t="inlineStr">
        <is>
          <t>위험도</t>
        </is>
      </c>
      <c r="G3" s="7" t="inlineStr">
        <is>
          <t>필요 업그레이드</t>
        </is>
      </c>
      <c r="H3" s="7" t="inlineStr">
        <is>
          <t>적합 시기</t>
        </is>
      </c>
      <c r="I3" s="7" t="inlineStr">
        <is>
          <t>팁</t>
        </is>
      </c>
    </row>
    <row r="4">
      <c r="A4" s="8" t="inlineStr">
        <is>
          <t>안전 곡물 루트</t>
        </is>
      </c>
      <c r="B4" s="8" t="inlineStr">
        <is>
          <t>1,000G</t>
        </is>
      </c>
      <c r="C4" s="8" t="inlineStr">
        <is>
          <t>바람개비→별빛 항구 (r1: 곡물)</t>
        </is>
      </c>
      <c r="D4" s="8" t="inlineStr">
        <is>
          <t>800G (80%)</t>
        </is>
      </c>
      <c r="E4" s="8" t="inlineStr">
        <is>
          <t>30초</t>
        </is>
      </c>
      <c r="F4" s="8" t="inlineStr">
        <is>
          <t>10% (최저)</t>
        </is>
      </c>
      <c r="G4" s="8" t="inlineStr">
        <is>
          <t>없음</t>
        </is>
      </c>
      <c r="H4" s="8" t="inlineStr">
        <is>
          <t>게임 시작 직후~Lv.5</t>
        </is>
      </c>
      <c r="I4" s="8" t="inlineStr">
        <is>
          <t>가장 안전한 입문 루트. 곡물 매입 100G→매도 180G. 위험도 10%로 거의 손실 없음. 반복하여 자본금 축적</t>
        </is>
      </c>
    </row>
    <row r="5">
      <c r="A5" s="9" t="inlineStr">
        <is>
          <t>목재 순환 루트</t>
        </is>
      </c>
      <c r="B5" s="9" t="inlineStr">
        <is>
          <t>2,000G</t>
        </is>
      </c>
      <c r="C5" s="9" t="inlineStr">
        <is>
          <t>바람개비→구름마루 (r9: 목재)</t>
        </is>
      </c>
      <c r="D5" s="9" t="inlineStr">
        <is>
          <t>2,000G (100%)</t>
        </is>
      </c>
      <c r="E5" s="9" t="inlineStr">
        <is>
          <t>40초</t>
        </is>
      </c>
      <c r="F5" s="9" t="inlineStr">
        <is>
          <t>15% (낮음)</t>
        </is>
      </c>
      <c r="G5" s="9" t="inlineStr">
        <is>
          <t>카라반 Lv.1</t>
        </is>
      </c>
      <c r="H5" s="9" t="inlineStr">
        <is>
          <t>Lv.5~10, 초기 자본 확보</t>
        </is>
      </c>
      <c r="I5" s="9" t="inlineStr">
        <is>
          <t>목재 80G→160G 이윤율 100%! 시간 대비 효율 최고. 위험 15%로 안전. 2,000G면 25세트 운영 가능</t>
        </is>
      </c>
    </row>
    <row r="6">
      <c r="A6" s="8" t="inlineStr">
        <is>
          <t>해산물 무역 루트</t>
        </is>
      </c>
      <c r="B6" s="8" t="inlineStr">
        <is>
          <t>5,000G</t>
        </is>
      </c>
      <c r="C6" s="8" t="inlineStr">
        <is>
          <t>별빛 항구→달빛 오아시스 (r2: 해산물)</t>
        </is>
      </c>
      <c r="D6" s="8" t="inlineStr">
        <is>
          <t>4,350G (87%)</t>
        </is>
      </c>
      <c r="E6" s="8" t="inlineStr">
        <is>
          <t>45초</t>
        </is>
      </c>
      <c r="F6" s="8" t="inlineStr">
        <is>
          <t>20% (보통)</t>
        </is>
      </c>
      <c r="G6" s="8" t="inlineStr">
        <is>
          <t>카라반 Lv.1</t>
        </is>
      </c>
      <c r="H6" s="8" t="inlineStr">
        <is>
          <t>Lv.8~15, 안정적 수익</t>
        </is>
      </c>
      <c r="I6" s="8" t="inlineStr">
        <is>
          <t>해산물 150G→280G. 이윤율 87%에 시간도 45초로 짧음. 5,000G로 33세트 운용. NPC 해적 등장 시 호위병 고용 추천</t>
        </is>
      </c>
    </row>
    <row r="7">
      <c r="A7" s="9" t="inlineStr">
        <is>
          <t>향신료 고수익 루트</t>
        </is>
      </c>
      <c r="B7" s="9" t="inlineStr">
        <is>
          <t>10,000G</t>
        </is>
      </c>
      <c r="C7" s="9" t="inlineStr">
        <is>
          <t>달빛 오아시스→구름마루 (r3: 향신료)</t>
        </is>
      </c>
      <c r="D7" s="9" t="inlineStr">
        <is>
          <t>10,000G (100%)</t>
        </is>
      </c>
      <c r="E7" s="9" t="inlineStr">
        <is>
          <t>60초</t>
        </is>
      </c>
      <c r="F7" s="9" t="inlineStr">
        <is>
          <t>30% (중간)</t>
        </is>
      </c>
      <c r="G7" s="9" t="inlineStr">
        <is>
          <t>카라반 Lv.2, 호위병 1명</t>
        </is>
      </c>
      <c r="H7" s="9" t="inlineStr">
        <is>
          <t>Lv.15~25, 중급 무역상</t>
        </is>
      </c>
      <c r="I7" s="9" t="inlineStr">
        <is>
          <t>향신료 200G→400G 이윤 100%. 위험도 30%이므로 호위병 필수. 10,000G 투자 시 50세트 운영. 날씨 "폭풍" 시 회피</t>
        </is>
      </c>
    </row>
    <row r="8">
      <c r="A8" s="8" t="inlineStr">
        <is>
          <t>비단 쾌속 루트</t>
        </is>
      </c>
      <c r="B8" s="8" t="inlineStr">
        <is>
          <t>15,000G</t>
        </is>
      </c>
      <c r="C8" s="8" t="inlineStr">
        <is>
          <t>별빛 항구→동쪽 항구 (r10: 비단)</t>
        </is>
      </c>
      <c r="D8" s="8" t="inlineStr">
        <is>
          <t>13,800G (92%)</t>
        </is>
      </c>
      <c r="E8" s="8" t="inlineStr">
        <is>
          <t>60초</t>
        </is>
      </c>
      <c r="F8" s="8" t="inlineStr">
        <is>
          <t>25% (중간)</t>
        </is>
      </c>
      <c r="G8" s="8" t="inlineStr">
        <is>
          <t>카라반 Lv.2</t>
        </is>
      </c>
      <c r="H8" s="8" t="inlineStr">
        <is>
          <t>Lv.15~25, 시간 효율 중시</t>
        </is>
      </c>
      <c r="I8" s="8" t="inlineStr">
        <is>
          <t>비단 250G→480G. 해상 루트라 해적 보스 주의. 15,000G로 60세트 가능. 해상 무역 전용 아이템 해금 보너스</t>
        </is>
      </c>
    </row>
    <row r="9">
      <c r="A9" s="9" t="inlineStr">
        <is>
          <t>광석-마법결정 연결 루트</t>
        </is>
      </c>
      <c r="B9" s="9" t="inlineStr">
        <is>
          <t>30,000G</t>
        </is>
      </c>
      <c r="C9" s="9" t="inlineStr">
        <is>
          <t>구름마루→신전 마을 (r4: 광석) → 신전 마을→사막 시장 (r5: 마법결정)</t>
        </is>
      </c>
      <c r="D9" s="9" t="inlineStr">
        <is>
          <t>52,500G (175%)</t>
        </is>
      </c>
      <c r="E9" s="9" t="inlineStr">
        <is>
          <t>210초</t>
        </is>
      </c>
      <c r="F9" s="9" t="inlineStr">
        <is>
          <t>40~50%</t>
        </is>
      </c>
      <c r="G9" s="9" t="inlineStr">
        <is>
          <t>카라반 Lv.3, 호위병 2명</t>
        </is>
      </c>
      <c r="H9" s="9" t="inlineStr">
        <is>
          <t>Lv.20~30, 고수익 추구</t>
        </is>
      </c>
      <c r="I9" s="9" t="inlineStr">
        <is>
          <t>2개 루트 연결! 광석 300G→550G + 마법결정 500G→1000G. 총 이윤율 175%. 위험하지만 호위병으로 안정화</t>
        </is>
      </c>
    </row>
    <row r="10">
      <c r="A10" s="8" t="inlineStr">
        <is>
          <t>용린 밀수 루트</t>
        </is>
      </c>
      <c r="B10" s="8" t="inlineStr">
        <is>
          <t>50,000G</t>
        </is>
      </c>
      <c r="C10" s="8" t="inlineStr">
        <is>
          <t>구름마루→사막 시장 (r8: 용린)</t>
        </is>
      </c>
      <c r="D10" s="8" t="inlineStr">
        <is>
          <t>60,000G (120%)</t>
        </is>
      </c>
      <c r="E10" s="8" t="inlineStr">
        <is>
          <t>180초</t>
        </is>
      </c>
      <c r="F10" s="8" t="inlineStr">
        <is>
          <t>70% (위험)</t>
        </is>
      </c>
      <c r="G10" s="8" t="inlineStr">
        <is>
          <t>카라반 Lv.4, 호위병 3명, 전투력 500+</t>
        </is>
      </c>
      <c r="H10" s="8" t="inlineStr">
        <is>
          <t>Lv.30+, 하이리스크 하이리턴</t>
        </is>
      </c>
      <c r="I10" s="8" t="inlineStr">
        <is>
          <t>용린 1000G→2200G 이윤 120%. 위험도 70%! NPC 해적+PvP 약탈자 동시 출현. 호위 혈맹원 동행 강력 추천</t>
        </is>
      </c>
    </row>
    <row r="11">
      <c r="A11" s="9" t="inlineStr">
        <is>
          <t>보석 장거리 루트</t>
        </is>
      </c>
      <c r="B11" s="9" t="inlineStr">
        <is>
          <t>80,000G</t>
        </is>
      </c>
      <c r="C11" s="9" t="inlineStr">
        <is>
          <t>사막 시장→바람개비 (r6: 보석)</t>
        </is>
      </c>
      <c r="D11" s="9" t="inlineStr">
        <is>
          <t>70,400G (88%)</t>
        </is>
      </c>
      <c r="E11" s="9" t="inlineStr">
        <is>
          <t>150초</t>
        </is>
      </c>
      <c r="F11" s="9" t="inlineStr">
        <is>
          <t>60% (높음)</t>
        </is>
      </c>
      <c r="G11" s="9" t="inlineStr">
        <is>
          <t>카라반 Lv.4, 무역 보험</t>
        </is>
      </c>
      <c r="H11" s="9" t="inlineStr">
        <is>
          <t>Lv.30+, 안정적 고수익</t>
        </is>
      </c>
      <c r="I11" s="9" t="inlineStr">
        <is>
          <t>보석 800G→1500G. 장거리지만 이윤 88%에 단가가 높아 절대 수익 큼. 무역 보험 가입 시 손실 50% 보전</t>
        </is>
      </c>
    </row>
    <row r="12">
      <c r="A12" s="8" t="inlineStr">
        <is>
          <t>성수-보석 왕복 루트</t>
        </is>
      </c>
      <c r="B12" s="8" t="inlineStr">
        <is>
          <t>100,000G</t>
        </is>
      </c>
      <c r="C12" s="8" t="inlineStr">
        <is>
          <t>동쪽 항구→신전 마을 (r7: 성수) → 사막 시장→바람개비 (r6: 보석)</t>
        </is>
      </c>
      <c r="D12" s="8" t="inlineStr">
        <is>
          <t>176,000G (176%)</t>
        </is>
      </c>
      <c r="E12" s="8" t="inlineStr">
        <is>
          <t>230초</t>
        </is>
      </c>
      <c r="F12" s="8" t="inlineStr">
        <is>
          <t>35~60%</t>
        </is>
      </c>
      <c r="G12" s="8" t="inlineStr">
        <is>
          <t>카라반 Lv.4, 호위병 3명</t>
        </is>
      </c>
      <c r="H12" s="8" t="inlineStr">
        <is>
          <t>Lv.35+, 왕복 효율</t>
        </is>
      </c>
      <c r="I12" s="8" t="inlineStr">
        <is>
          <t>성수 400G→750G + 보석 800G→1500G 왕복. 편도보다 왕복이 시간 효율 2배. 동쪽 항구 출발이 핵심</t>
        </is>
      </c>
    </row>
    <row r="13">
      <c r="A13" s="9" t="inlineStr">
        <is>
          <t>서부 대순환 루트</t>
        </is>
      </c>
      <c r="B13" s="9" t="inlineStr">
        <is>
          <t>100,000G</t>
        </is>
      </c>
      <c r="C13" s="9" t="inlineStr">
        <is>
          <t>바람개비(곡물)→별빛 항구(해산물)→달빛 오아시스(향신료)→구름마루→바람개비</t>
        </is>
      </c>
      <c r="D13" s="9" t="inlineStr">
        <is>
          <t>38,000G (38%/회전)</t>
        </is>
      </c>
      <c r="E13" s="9" t="inlineStr">
        <is>
          <t>175초</t>
        </is>
      </c>
      <c r="F13" s="9" t="inlineStr">
        <is>
          <t>10~30%</t>
        </is>
      </c>
      <c r="G13" s="9" t="inlineStr">
        <is>
          <t>카라반 Lv.5, 자동 무역 해금</t>
        </is>
      </c>
      <c r="H13" s="9" t="inlineStr">
        <is>
          <t>Lv.40+, 안전한 대량 순환</t>
        </is>
      </c>
      <c r="I13" s="9" t="inlineStr">
        <is>
          <t>r1→r2→r3→r9 순환. 위험도 낮은 루트만 연결. 자동 무역 설정 시 AFK 수익 가능. 시간당 약 45,000G</t>
        </is>
      </c>
    </row>
    <row r="14">
      <c r="A14" s="8" t="inlineStr">
        <is>
          <t>동부 고수익 순환</t>
        </is>
      </c>
      <c r="B14" s="8" t="inlineStr">
        <is>
          <t>200,000G</t>
        </is>
      </c>
      <c r="C14" s="8" t="inlineStr">
        <is>
          <t>별빛 항구(비단)→동쪽 항구(성수)→신전 마을(마법결정)→사막 시장→별빛 항구</t>
        </is>
      </c>
      <c r="D14" s="8" t="inlineStr">
        <is>
          <t>310,000G (155%/회전)</t>
        </is>
      </c>
      <c r="E14" s="8" t="inlineStr">
        <is>
          <t>310초</t>
        </is>
      </c>
      <c r="F14" s="8" t="inlineStr">
        <is>
          <t>25~50%</t>
        </is>
      </c>
      <c r="G14" s="8" t="inlineStr">
        <is>
          <t>카라반 Lv.5, 호위병 4명, 혈맹 호위</t>
        </is>
      </c>
      <c r="H14" s="8" t="inlineStr">
        <is>
          <t>Lv.45+, 최대 수익 순환</t>
        </is>
      </c>
      <c r="I14" s="8" t="inlineStr">
        <is>
          <t>r10→r7→r5 순환. 고단가 물품만 취급. 혈맹 무역단 구성 시 호위 비용 분담 가능. 시간당 약 180,000G</t>
        </is>
      </c>
    </row>
    <row r="15">
      <c r="A15" s="9" t="inlineStr">
        <is>
          <t>풀 루트 마스터 순환</t>
        </is>
      </c>
      <c r="B15" s="9" t="inlineStr">
        <is>
          <t>500,000G</t>
        </is>
      </c>
      <c r="C15" s="9" t="inlineStr">
        <is>
          <t>바람개비→별빛→달빛→구름마루→신전→사막→동쪽 항구→(전 루트 완주)</t>
        </is>
      </c>
      <c r="D15" s="9" t="inlineStr">
        <is>
          <t>725,000G (145%/회전)</t>
        </is>
      </c>
      <c r="E15" s="9" t="inlineStr">
        <is>
          <t>600초</t>
        </is>
      </c>
      <c r="F15" s="9" t="inlineStr">
        <is>
          <t>15~70% (구간별)</t>
        </is>
      </c>
      <c r="G15" s="9" t="inlineStr">
        <is>
          <t>카라반 Lv.5 MAX, 모든 업그레이드, 혈맹 무역단</t>
        </is>
      </c>
      <c r="H15" s="9" t="inlineStr">
        <is>
          <t>Lv.50+, 무역왕 도전</t>
        </is>
      </c>
      <c r="I15" s="9" t="inlineStr">
        <is>
          <t>10개 루트 전부 연결! 저위험 구간에서 자본 확보 후 고위험 구간 돌파. "바람의 결정" 칭호 획득 조건. 시간당 약 430,000G</t>
        </is>
      </c>
    </row>
  </sheetData>
  <mergeCells count="1">
    <mergeCell ref="A1:I1"/>
  </mergeCell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4" customWidth="1" min="1" max="1"/>
    <col width="22" customWidth="1" min="2" max="2"/>
    <col width="20" customWidth="1" min="3" max="3"/>
    <col width="20" customWidth="1" min="4" max="4"/>
    <col width="18" customWidth="1" min="5" max="5"/>
    <col width="18" customWidth="1" min="6" max="6"/>
    <col width="40" customWidth="1" min="7" max="7"/>
    <col width="26" customWidth="1" min="8" max="8"/>
    <col width="36" customWidth="1" min="9" max="9"/>
    <col width="30" customWidth="1" min="10" max="10"/>
  </cols>
  <sheetData>
    <row r="1">
      <c r="A1" s="6" t="inlineStr">
        <is>
          <t>IO 무기 조합 빌드 가이드 15선</t>
        </is>
      </c>
    </row>
    <row r="3">
      <c r="A3" s="7" t="inlineStr">
        <is>
          <t>#</t>
        </is>
      </c>
      <c r="B3" s="7" t="inlineStr">
        <is>
          <t>빌드명</t>
        </is>
      </c>
      <c r="C3" s="7" t="inlineStr">
        <is>
          <t>무기 1</t>
        </is>
      </c>
      <c r="D3" s="7" t="inlineStr">
        <is>
          <t>무기 2</t>
        </is>
      </c>
      <c r="E3" s="7" t="inlineStr">
        <is>
          <t>무기 3</t>
        </is>
      </c>
      <c r="F3" s="7" t="inlineStr">
        <is>
          <t>조합 결과</t>
        </is>
      </c>
      <c r="G3" s="7" t="inlineStr">
        <is>
          <t>전략</t>
        </is>
      </c>
      <c r="H3" s="7" t="inlineStr">
        <is>
          <t>적합 상황</t>
        </is>
      </c>
      <c r="I3" s="7" t="inlineStr">
        <is>
          <t>강점</t>
        </is>
      </c>
      <c r="J3" s="7" t="inlineStr">
        <is>
          <t>약점</t>
        </is>
      </c>
    </row>
    <row r="4">
      <c r="A4" s="8" t="n">
        <v>1</v>
      </c>
      <c r="B4" s="8" t="inlineStr">
        <is>
          <t>쌍검 폭풍 근접형</t>
        </is>
      </c>
      <c r="C4" s="8" t="inlineStr">
        <is>
          <t>회전검 (Lv.5)</t>
        </is>
      </c>
      <c r="D4" s="8" t="inlineStr">
        <is>
          <t>회전검 (Lv.5)</t>
        </is>
      </c>
      <c r="E4" s="8" t="inlineStr">
        <is>
          <t>파이어볼 (서브)</t>
        </is>
      </c>
      <c r="F4" s="8" t="inlineStr">
        <is>
          <t>쌍검 폭풍</t>
        </is>
      </c>
      <c r="G4" s="8" t="inlineStr">
        <is>
          <t>Lv.1~3: 회전검 2개 선택 → Lv.4: 패시브 → Lv.5: 쌍검 폭풍 조합 → 이후 파이어볼 추가</t>
        </is>
      </c>
      <c r="H4" s="8" t="inlineStr">
        <is>
          <t>근접 난전, 소규모 몹 밀집 구간</t>
        </is>
      </c>
      <c r="I4" s="8" t="inlineStr">
        <is>
          <t>검 4개 궤도 DMG x2.5+공속+50%. 근접 최강 DPS</t>
        </is>
      </c>
      <c r="J4" s="8" t="inlineStr">
        <is>
          <t>원거리 적, 보스 패턴 회피 어려움</t>
        </is>
      </c>
    </row>
    <row r="5">
      <c r="A5" s="9" t="n">
        <v>2</v>
      </c>
      <c r="B5" s="9" t="inlineStr">
        <is>
          <t>화염 뇌격 원소형</t>
        </is>
      </c>
      <c r="C5" s="9" t="inlineStr">
        <is>
          <t>파이어볼 (Lv.5)</t>
        </is>
      </c>
      <c r="D5" s="9" t="inlineStr">
        <is>
          <t>낙뢰 (Lv.5)</t>
        </is>
      </c>
      <c r="E5" s="9" t="inlineStr">
        <is>
          <t>얼음고리 (서브)</t>
        </is>
      </c>
      <c r="F5" s="9" t="inlineStr">
        <is>
          <t>화염 뇌격</t>
        </is>
      </c>
      <c r="G5" s="9" t="inlineStr">
        <is>
          <t>Lv.1: 파이어볼 → Lv.2: 낙뢰 → Lv.3~4: 둘 다 강화 → Lv.5: 화염 뇌격 조합</t>
        </is>
      </c>
      <c r="H5" s="9" t="inlineStr">
        <is>
          <t>중거리 안전 플레이, 보스전</t>
        </is>
      </c>
      <c r="I5" s="9" t="inlineStr">
        <is>
          <t>추적형 화염+번개 융합탄, 범위 DMG 40. 자동 추적으로 편안한 플레이</t>
        </is>
      </c>
      <c r="J5" s="9" t="inlineStr">
        <is>
          <t>근접 몹 러쉬 시 대응 느림</t>
        </is>
      </c>
    </row>
    <row r="6">
      <c r="A6" s="8" t="n">
        <v>3</v>
      </c>
      <c r="B6" s="8" t="inlineStr">
        <is>
          <t>빙독 장판 CC형</t>
        </is>
      </c>
      <c r="C6" s="8" t="inlineStr">
        <is>
          <t>얼음고리 (Lv.5)</t>
        </is>
      </c>
      <c r="D6" s="8" t="inlineStr">
        <is>
          <t>독안개 (Lv.5)</t>
        </is>
      </c>
      <c r="E6" s="8" t="inlineStr">
        <is>
          <t>신성폭발 (서브)</t>
        </is>
      </c>
      <c r="F6" s="8" t="inlineStr">
        <is>
          <t>빙독 장판</t>
        </is>
      </c>
      <c r="G6" s="8" t="inlineStr">
        <is>
          <t>Lv.1: 얼음고리 → Lv.2: 독안개 → Lv.3~4: 강화 → Lv.5: 빙독 장판 조합</t>
        </is>
      </c>
      <c r="H6" s="8" t="inlineStr">
        <is>
          <t>CC가 필요한 대규모 웨이브, 서바이벌 후반</t>
        </is>
      </c>
      <c r="I6" s="8" t="inlineStr">
        <is>
          <t>감속 70%+독 8/초, 범위 x3. 적이 아예 움직이지 못함</t>
        </is>
      </c>
      <c r="J6" s="8" t="inlineStr">
        <is>
          <t>순수 딜 낮음, 보스 단독 처리 느림</t>
        </is>
      </c>
    </row>
    <row r="7">
      <c r="A7" s="9" t="n">
        <v>4</v>
      </c>
      <c r="B7" s="9" t="inlineStr">
        <is>
          <t>검우 비주얼형</t>
        </is>
      </c>
      <c r="C7" s="9" t="inlineStr">
        <is>
          <t>연속화살 (Lv.5)</t>
        </is>
      </c>
      <c r="D7" s="9" t="inlineStr">
        <is>
          <t>회전검 (Lv.5)</t>
        </is>
      </c>
      <c r="E7" s="9" t="inlineStr">
        <is>
          <t>낙뢰 (서브)</t>
        </is>
      </c>
      <c r="F7" s="9" t="inlineStr">
        <is>
          <t>검우 (검의 비)</t>
        </is>
      </c>
      <c r="G7" s="9" t="inlineStr">
        <is>
          <t>Lv.1: 연속화살 → Lv.2: 회전검 → Lv.3~4: 강화 → Lv.5: 검우 조합</t>
        </is>
      </c>
      <c r="H7" s="9" t="inlineStr">
        <is>
          <t>전방위 공격이 필요한 구간, 멀티 방향 몹</t>
        </is>
      </c>
      <c r="I7" s="9" t="inlineStr">
        <is>
          <t>하늘에서 검 쏟아짐, 전방위 DMG 35. 360도 커버리지</t>
        </is>
      </c>
      <c r="J7" s="9" t="inlineStr">
        <is>
          <t>단일 타겟 집중력 부족</t>
        </is>
      </c>
    </row>
    <row r="8">
      <c r="A8" s="8" t="n">
        <v>5</v>
      </c>
      <c r="B8" s="8" t="inlineStr">
        <is>
          <t>신성 보호막 탱커형</t>
        </is>
      </c>
      <c r="C8" s="8" t="inlineStr">
        <is>
          <t>신성폭발 (Lv.5)</t>
        </is>
      </c>
      <c r="D8" s="8" t="inlineStr">
        <is>
          <t>가시방패 (Lv.5)</t>
        </is>
      </c>
      <c r="E8" s="8" t="inlineStr">
        <is>
          <t>회전검 (서브)</t>
        </is>
      </c>
      <c r="F8" s="8" t="inlineStr">
        <is>
          <t>신성 보호막</t>
        </is>
      </c>
      <c r="G8" s="8" t="inlineStr">
        <is>
          <t>Lv.1: 가시방패 → Lv.2: 신성폭발 → Lv.3~4: 강화 → Lv.5: 신성 보호막 조합</t>
        </is>
      </c>
      <c r="H8" s="8" t="inlineStr">
        <is>
          <t>탱킹 플레이, 보스 밀착 전투</t>
        </is>
      </c>
      <c r="I8" s="8" t="inlineStr">
        <is>
          <t>피격 시 폭발+반사 200%, DMG 30/초. 맞을수록 강해짐</t>
        </is>
      </c>
      <c r="J8" s="8" t="inlineStr">
        <is>
          <t>능동적 딜 출력 낮음, 도주형 적 상대 불가</t>
        </is>
      </c>
    </row>
    <row r="9">
      <c r="A9" s="9" t="n">
        <v>6</v>
      </c>
      <c r="B9" s="9" t="inlineStr">
        <is>
          <t>증기 폭발 숨겨진 조합형</t>
        </is>
      </c>
      <c r="C9" s="9" t="inlineStr">
        <is>
          <t>파이어볼 (Lv.5)</t>
        </is>
      </c>
      <c r="D9" s="9" t="inlineStr">
        <is>
          <t>얼음고리 (Lv.5)</t>
        </is>
      </c>
      <c r="E9" s="9" t="inlineStr">
        <is>
          <t>연속화살 (서브)</t>
        </is>
      </c>
      <c r="F9" s="9" t="inlineStr">
        <is>
          <t>증기 폭발</t>
        </is>
      </c>
      <c r="G9" s="9" t="inlineStr">
        <is>
          <t>Lv.1: 파이어볼 → Lv.2: 얼음고리 → Lv.3~4: 강화 → Lv.5: 증기 폭발 (숨겨진!)</t>
        </is>
      </c>
      <c r="H9" s="9" t="inlineStr">
        <is>
          <t>시야 차단이 유효한 PvP, 대규모 전투</t>
        </is>
      </c>
      <c r="I9" s="9" t="inlineStr">
        <is>
          <t>화+빙 융합, 3초마다 전체 DMG 25+시야 차단. 숨겨진 조합!</t>
        </is>
      </c>
      <c r="J9" s="9" t="inlineStr">
        <is>
          <t>시야 차단이 아군에게도 적용, 팀전 주의</t>
        </is>
      </c>
    </row>
    <row r="10">
      <c r="A10" s="8" t="n">
        <v>7</v>
      </c>
      <c r="B10" s="8" t="inlineStr">
        <is>
          <t>만검귀환 최종 근접</t>
        </is>
      </c>
      <c r="C10" s="8" t="inlineStr">
        <is>
          <t>회전검→쌍검 폭풍 (Lv.7)</t>
        </is>
      </c>
      <c r="D10" s="8" t="inlineStr">
        <is>
          <t>연속화살→검우 (Lv.7)</t>
        </is>
      </c>
      <c r="E10" s="8" t="inlineStr">
        <is>
          <t>—</t>
        </is>
      </c>
      <c r="F10" s="8" t="inlineStr">
        <is>
          <t>만검귀환</t>
        </is>
      </c>
      <c r="G10" s="8" t="inlineStr">
        <is>
          <t>Lv.1~5: 회전검 x2→쌍검 폭풍 / 연속화살+회전검→검우 → Lv.7: 만검귀환</t>
        </is>
      </c>
      <c r="H10" s="8" t="inlineStr">
        <is>
          <t>최종 보스, 서바이벌 최후반</t>
        </is>
      </c>
      <c r="I10" s="8" t="inlineStr">
        <is>
          <t>화면 전체 검, 매초 DMG 60, 회피 불가. 최종 근접 무기!</t>
        </is>
      </c>
      <c r="J10" s="8" t="inlineStr">
        <is>
          <t>조합 경로 길어 운이 필요, Lv.7+7 도달 난이도 높음</t>
        </is>
      </c>
    </row>
    <row r="11">
      <c r="A11" s="9" t="n">
        <v>8</v>
      </c>
      <c r="B11" s="9" t="inlineStr">
        <is>
          <t>원소 대재앙 최종 마법</t>
        </is>
      </c>
      <c r="C11" s="9" t="inlineStr">
        <is>
          <t>파이어볼→화염 뇌격 (Lv.7)</t>
        </is>
      </c>
      <c r="D11" s="9" t="inlineStr">
        <is>
          <t>얼음고리→빙독 장판 (Lv.7)</t>
        </is>
      </c>
      <c r="E11" s="9" t="inlineStr">
        <is>
          <t>—</t>
        </is>
      </c>
      <c r="F11" s="9" t="inlineStr">
        <is>
          <t>원소 대재앙</t>
        </is>
      </c>
      <c r="G11" s="9" t="inlineStr">
        <is>
          <t>Lv.1~5: 파이어볼+낙뢰→화염 뇌격 / 얼음+독→빙독 → Lv.7: 원소 대재앙</t>
        </is>
      </c>
      <c r="H11" s="9" t="inlineStr">
        <is>
          <t>최종 보스, 대규모 PvP</t>
        </is>
      </c>
      <c r="I11" s="9" t="inlineStr">
        <is>
          <t>4원소 동시 폭발, 전체 DMG 80+CC 3초. 최종 마법 무기!</t>
        </is>
      </c>
      <c r="J11" s="9" t="inlineStr">
        <is>
          <t>조합 경로 최장, 4개 기본 무기 필요</t>
        </is>
      </c>
    </row>
    <row r="12">
      <c r="A12" s="8" t="n">
        <v>9</v>
      </c>
      <c r="B12" s="8" t="inlineStr">
        <is>
          <t>태양의 심판 최종 보스킬러</t>
        </is>
      </c>
      <c r="C12" s="8" t="inlineStr">
        <is>
          <t>신성폭발→신성 보호막 (Lv.7)</t>
        </is>
      </c>
      <c r="D12" s="8" t="inlineStr">
        <is>
          <t>파이어볼→화염 뇌격 (Lv.7)</t>
        </is>
      </c>
      <c r="E12" s="8" t="inlineStr">
        <is>
          <t>—</t>
        </is>
      </c>
      <c r="F12" s="8" t="inlineStr">
        <is>
          <t>태양의 심판</t>
        </is>
      </c>
      <c r="G12" s="8" t="inlineStr">
        <is>
          <t>Lv.1~5: 신성+가시→신성 보호막 / 파이어볼+낙뢰→화염 뇌격 → Lv.7: 태양의 심판</t>
        </is>
      </c>
      <c r="H12" s="8" t="inlineStr">
        <is>
          <t>최종 보스 원킬, 1:1 상황</t>
        </is>
      </c>
      <c r="I12" s="8" t="inlineStr">
        <is>
          <t>자동 추적 광선, 가장 강한 적 DMG 100/초. 최종 보스킬러!</t>
        </is>
      </c>
      <c r="J12" s="8" t="inlineStr">
        <is>
          <t>다수 적 상대 비효율, 단일 타겟 전용</t>
        </is>
      </c>
    </row>
    <row r="13">
      <c r="A13" s="9" t="n">
        <v>10</v>
      </c>
      <c r="B13" s="9" t="inlineStr">
        <is>
          <t>속공 웨이브 클리어</t>
        </is>
      </c>
      <c r="C13" s="9" t="inlineStr">
        <is>
          <t>회전검</t>
        </is>
      </c>
      <c r="D13" s="9" t="inlineStr">
        <is>
          <t>파이어볼</t>
        </is>
      </c>
      <c r="E13" s="9" t="inlineStr">
        <is>
          <t>낙뢰</t>
        </is>
      </c>
      <c r="F13" s="9" t="inlineStr">
        <is>
          <t>조합 안 함 (3무기 병행)</t>
        </is>
      </c>
      <c r="G13" s="9" t="inlineStr">
        <is>
          <t>Lv.1: 회전검 → Lv.2: 파이어볼 → Lv.3: 낙뢰 → 이후 균등 강화</t>
        </is>
      </c>
      <c r="H13" s="9" t="inlineStr">
        <is>
          <t>웨이브 1~20 빠른 클리어</t>
        </is>
      </c>
      <c r="I13" s="9" t="inlineStr">
        <is>
          <t>근접+중거리+원거리 3종 커버리지, 어떤 몹이든 대응</t>
        </is>
      </c>
      <c r="J13" s="9" t="inlineStr">
        <is>
          <t>조합 포기로 후반 화력 부족</t>
        </is>
      </c>
    </row>
    <row r="14">
      <c r="A14" s="8" t="n">
        <v>11</v>
      </c>
      <c r="B14" s="8" t="inlineStr">
        <is>
          <t>CC 지옥 서바이벌</t>
        </is>
      </c>
      <c r="C14" s="8" t="inlineStr">
        <is>
          <t>얼음고리</t>
        </is>
      </c>
      <c r="D14" s="8" t="inlineStr">
        <is>
          <t>독안개</t>
        </is>
      </c>
      <c r="E14" s="8" t="inlineStr">
        <is>
          <t>가시방패</t>
        </is>
      </c>
      <c r="F14" s="8" t="inlineStr">
        <is>
          <t>빙독 장판 + 가시방패</t>
        </is>
      </c>
      <c r="G14" s="8" t="inlineStr">
        <is>
          <t>Lv.1: 얼음고리 → Lv.2: 독안개 → Lv.3: 가시방패 → Lv.5: 빙독 장판 조합</t>
        </is>
      </c>
      <c r="H14" s="8" t="inlineStr">
        <is>
          <t>웨이브 30+ 생존 특화</t>
        </is>
      </c>
      <c r="I14" s="8" t="inlineStr">
        <is>
          <t>감속+독+반사로 가만히 있어도 적이 죽음</t>
        </is>
      </c>
      <c r="J14" s="8" t="inlineStr">
        <is>
          <t>보스전 딜 부족, 클리어 시간 매우 길어짐</t>
        </is>
      </c>
    </row>
    <row r="15">
      <c r="A15" s="9" t="n">
        <v>12</v>
      </c>
      <c r="B15" s="9" t="inlineStr">
        <is>
          <t>암살자 원샷 빌드</t>
        </is>
      </c>
      <c r="C15" s="9" t="inlineStr">
        <is>
          <t>연속화살</t>
        </is>
      </c>
      <c r="D15" s="9" t="inlineStr">
        <is>
          <t>낙뢰</t>
        </is>
      </c>
      <c r="E15" s="9" t="inlineStr">
        <is>
          <t>회전검</t>
        </is>
      </c>
      <c r="F15" s="9" t="inlineStr">
        <is>
          <t>검우 + 낙뢰</t>
        </is>
      </c>
      <c r="G15" s="9" t="inlineStr">
        <is>
          <t>Lv.1: 연속화살 → Lv.2: 회전검 → Lv.5: 검우 → 낙뢰 강화</t>
        </is>
      </c>
      <c r="H15" s="9" t="inlineStr">
        <is>
          <t>PvP IO 모드, 대인전</t>
        </is>
      </c>
      <c r="I15" s="9" t="inlineStr">
        <is>
          <t>검우 전방위+낙뢰 연쇄로 은신 적도 탐지 공격</t>
        </is>
      </c>
      <c r="J15" s="9" t="inlineStr">
        <is>
          <t>방어력 전무, 피격 시 즉사 위험</t>
        </is>
      </c>
    </row>
    <row r="16">
      <c r="A16" s="8" t="n">
        <v>13</v>
      </c>
      <c r="B16" s="8" t="inlineStr">
        <is>
          <t>힐러 서포터 빌드</t>
        </is>
      </c>
      <c r="C16" s="8" t="inlineStr">
        <is>
          <t>신성폭발</t>
        </is>
      </c>
      <c r="D16" s="8" t="inlineStr">
        <is>
          <t>가시방패</t>
        </is>
      </c>
      <c r="E16" s="8" t="inlineStr">
        <is>
          <t>얼음고리</t>
        </is>
      </c>
      <c r="F16" s="8" t="inlineStr">
        <is>
          <t>신성 보호막 + 얼음고리</t>
        </is>
      </c>
      <c r="G16" s="8" t="inlineStr">
        <is>
          <t>Lv.1: 신성폭발 → Lv.2: 가시방패 → Lv.5: 신성 보호막 → 얼음고리</t>
        </is>
      </c>
      <c r="H16" s="8" t="inlineStr">
        <is>
          <t>팀 IO 모드 서포터 역할</t>
        </is>
      </c>
      <c r="I16" s="8" t="inlineStr">
        <is>
          <t>반사+폭발로 탱킹하면서 얼음고리 CC로 팀 보호</t>
        </is>
      </c>
      <c r="J16" s="8" t="inlineStr">
        <is>
          <t>단독 딜 최하, 솔로 플레이 불가능</t>
        </is>
      </c>
    </row>
    <row r="17">
      <c r="A17" s="9" t="n">
        <v>14</v>
      </c>
      <c r="B17" s="9" t="inlineStr">
        <is>
          <t>올라운더 밸런스</t>
        </is>
      </c>
      <c r="C17" s="9" t="inlineStr">
        <is>
          <t>파이어볼</t>
        </is>
      </c>
      <c r="D17" s="9" t="inlineStr">
        <is>
          <t>회전검</t>
        </is>
      </c>
      <c r="E17" s="9" t="inlineStr">
        <is>
          <t>신성폭발</t>
        </is>
      </c>
      <c r="F17" s="9" t="inlineStr">
        <is>
          <t>화염 뇌격 or 검우 (선택)</t>
        </is>
      </c>
      <c r="G17" s="9" t="inlineStr">
        <is>
          <t>Lv.1: 파이어볼 → Lv.2: 회전검 → Lv.3: 신성폭발 → Lv.5: 상황에 따라 조합 선택</t>
        </is>
      </c>
      <c r="H17" s="9" t="inlineStr">
        <is>
          <t>처음 IO 하는 초보자 추천</t>
        </is>
      </c>
      <c r="I17" s="9" t="inlineStr">
        <is>
          <t>어떤 상황에도 무난한 대응, 조합 선택지 2개</t>
        </is>
      </c>
      <c r="J17" s="9" t="inlineStr">
        <is>
          <t>특화 빌드 대비 모든 면에서 약간 밀림</t>
        </is>
      </c>
    </row>
    <row r="18">
      <c r="A18" s="8" t="n">
        <v>15</v>
      </c>
      <c r="B18" s="8" t="inlineStr">
        <is>
          <t>도박사 히든 빌드</t>
        </is>
      </c>
      <c r="C18" s="8" t="inlineStr">
        <is>
          <t>파이어볼</t>
        </is>
      </c>
      <c r="D18" s="8" t="inlineStr">
        <is>
          <t>얼음고리</t>
        </is>
      </c>
      <c r="E18" s="8" t="inlineStr">
        <is>
          <t>(운에 따라 변경)</t>
        </is>
      </c>
      <c r="F18" s="8" t="inlineStr">
        <is>
          <t>증기 폭발 → 추가 조합 시도</t>
        </is>
      </c>
      <c r="G18" s="8" t="inlineStr">
        <is>
          <t>Lv.1: 파이어볼 → Lv.2: 얼음고리 → Lv.5: 증기 폭발 → 남은 슬롯으로 2차 조합 도전</t>
        </is>
      </c>
      <c r="H18" s="8" t="inlineStr">
        <is>
          <t>숨겨진 조합 탐험, 재미 추구</t>
        </is>
      </c>
      <c r="I18" s="8" t="inlineStr">
        <is>
          <t>증기 폭발 확보 후 남은 슬롯으로 추가 조합 가능성</t>
        </is>
      </c>
      <c r="J18" s="8" t="inlineStr">
        <is>
          <t>숨겨진 조합 출현 확률 낮음, 실패 시 애매한 빌드</t>
        </is>
      </c>
    </row>
  </sheetData>
  <mergeCells count="1">
    <mergeCell ref="A1:J1"/>
  </mergeCell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Q52"/>
  <sheetViews>
    <sheetView workbookViewId="0">
      <selection activeCell="A1" sqref="A1"/>
    </sheetView>
  </sheetViews>
  <sheetFormatPr baseColWidth="8" defaultRowHeight="15"/>
  <cols>
    <col width="14" customWidth="1" min="1" max="1"/>
    <col width="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s>
  <sheetData>
    <row r="1">
      <c r="A1" s="6" t="inlineStr">
        <is>
          <t>용병 60종 레벨별 스탯표</t>
        </is>
      </c>
    </row>
    <row r="3">
      <c r="A3" s="7" t="inlineStr">
        <is>
          <t>이름</t>
        </is>
      </c>
      <c r="B3" s="7" t="inlineStr">
        <is>
          <t>등급</t>
        </is>
      </c>
      <c r="C3" s="7" t="inlineStr">
        <is>
          <t>Lv1 ATK</t>
        </is>
      </c>
      <c r="D3" s="7" t="inlineStr">
        <is>
          <t>Lv1 DEF</t>
        </is>
      </c>
      <c r="E3" s="7" t="inlineStr">
        <is>
          <t>Lv1 HP</t>
        </is>
      </c>
      <c r="F3" s="7" t="inlineStr">
        <is>
          <t>Lv25 ATK</t>
        </is>
      </c>
      <c r="G3" s="7" t="inlineStr">
        <is>
          <t>Lv25 DEF</t>
        </is>
      </c>
      <c r="H3" s="7" t="inlineStr">
        <is>
          <t>Lv25 HP</t>
        </is>
      </c>
      <c r="I3" s="7" t="inlineStr">
        <is>
          <t>Lv50 ATK</t>
        </is>
      </c>
      <c r="J3" s="7" t="inlineStr">
        <is>
          <t>Lv50 DEF</t>
        </is>
      </c>
      <c r="K3" s="7" t="inlineStr">
        <is>
          <t>Lv50 HP</t>
        </is>
      </c>
      <c r="L3" s="7" t="inlineStr">
        <is>
          <t>Lv75 ATK</t>
        </is>
      </c>
      <c r="M3" s="7" t="inlineStr">
        <is>
          <t>Lv75 DEF</t>
        </is>
      </c>
      <c r="N3" s="7" t="inlineStr">
        <is>
          <t>Lv75 HP</t>
        </is>
      </c>
      <c r="O3" s="7" t="inlineStr">
        <is>
          <t>Lv100 ATK</t>
        </is>
      </c>
      <c r="P3" s="7" t="inlineStr">
        <is>
          <t>Lv100 DEF</t>
        </is>
      </c>
      <c r="Q3" s="7" t="inlineStr">
        <is>
          <t>Lv100 HP</t>
        </is>
      </c>
    </row>
    <row r="4">
      <c r="A4" s="8" t="inlineStr">
        <is>
          <t>궁수</t>
        </is>
      </c>
      <c r="B4" s="8" t="inlineStr">
        <is>
          <t>일반</t>
        </is>
      </c>
      <c r="C4" s="8" t="n">
        <v>14</v>
      </c>
      <c r="D4" s="8" t="n">
        <v>5</v>
      </c>
      <c r="E4" s="8" t="n">
        <v>80</v>
      </c>
      <c r="F4" s="8" t="n">
        <v>38</v>
      </c>
      <c r="G4" s="8" t="n">
        <v>29</v>
      </c>
      <c r="H4" s="8" t="n">
        <v>200</v>
      </c>
      <c r="I4" s="8" t="n">
        <v>63</v>
      </c>
      <c r="J4" s="8" t="n">
        <v>54</v>
      </c>
      <c r="K4" s="8" t="n">
        <v>325</v>
      </c>
      <c r="L4" s="8" t="n">
        <v>88</v>
      </c>
      <c r="M4" s="8" t="n">
        <v>79</v>
      </c>
      <c r="N4" s="8" t="n">
        <v>450</v>
      </c>
      <c r="O4" s="8" t="n">
        <v>113</v>
      </c>
      <c r="P4" s="8" t="n">
        <v>104</v>
      </c>
      <c r="Q4" s="8" t="n">
        <v>575</v>
      </c>
    </row>
    <row r="5">
      <c r="A5" s="9" t="inlineStr">
        <is>
          <t>농부 전사</t>
        </is>
      </c>
      <c r="B5" s="9" t="inlineStr">
        <is>
          <t>일반</t>
        </is>
      </c>
      <c r="C5" s="9" t="n">
        <v>9</v>
      </c>
      <c r="D5" s="9" t="n">
        <v>11</v>
      </c>
      <c r="E5" s="9" t="n">
        <v>140</v>
      </c>
      <c r="F5" s="9" t="n">
        <v>33</v>
      </c>
      <c r="G5" s="9" t="n">
        <v>35</v>
      </c>
      <c r="H5" s="9" t="n">
        <v>260</v>
      </c>
      <c r="I5" s="9" t="n">
        <v>58</v>
      </c>
      <c r="J5" s="9" t="n">
        <v>60</v>
      </c>
      <c r="K5" s="9" t="n">
        <v>385</v>
      </c>
      <c r="L5" s="9" t="n">
        <v>83</v>
      </c>
      <c r="M5" s="9" t="n">
        <v>85</v>
      </c>
      <c r="N5" s="9" t="n">
        <v>510</v>
      </c>
      <c r="O5" s="9" t="n">
        <v>108</v>
      </c>
      <c r="P5" s="9" t="n">
        <v>110</v>
      </c>
      <c r="Q5" s="9" t="n">
        <v>635</v>
      </c>
    </row>
    <row r="6">
      <c r="A6" s="8" t="inlineStr">
        <is>
          <t>도둑</t>
        </is>
      </c>
      <c r="B6" s="8" t="inlineStr">
        <is>
          <t>일반</t>
        </is>
      </c>
      <c r="C6" s="8" t="n">
        <v>10</v>
      </c>
      <c r="D6" s="8" t="n">
        <v>3</v>
      </c>
      <c r="E6" s="8" t="n">
        <v>65</v>
      </c>
      <c r="F6" s="8" t="n">
        <v>34</v>
      </c>
      <c r="G6" s="8" t="n">
        <v>27</v>
      </c>
      <c r="H6" s="8" t="n">
        <v>185</v>
      </c>
      <c r="I6" s="8" t="n">
        <v>59</v>
      </c>
      <c r="J6" s="8" t="n">
        <v>52</v>
      </c>
      <c r="K6" s="8" t="n">
        <v>310</v>
      </c>
      <c r="L6" s="8" t="n">
        <v>84</v>
      </c>
      <c r="M6" s="8" t="n">
        <v>77</v>
      </c>
      <c r="N6" s="8" t="n">
        <v>435</v>
      </c>
      <c r="O6" s="8" t="n">
        <v>109</v>
      </c>
      <c r="P6" s="8" t="n">
        <v>102</v>
      </c>
      <c r="Q6" s="8" t="n">
        <v>560</v>
      </c>
    </row>
    <row r="7">
      <c r="A7" s="9" t="inlineStr">
        <is>
          <t>보병</t>
        </is>
      </c>
      <c r="B7" s="9" t="inlineStr">
        <is>
          <t>일반</t>
        </is>
      </c>
      <c r="C7" s="9" t="n">
        <v>12</v>
      </c>
      <c r="D7" s="9" t="n">
        <v>10</v>
      </c>
      <c r="E7" s="9" t="n">
        <v>120</v>
      </c>
      <c r="F7" s="9" t="n">
        <v>36</v>
      </c>
      <c r="G7" s="9" t="n">
        <v>34</v>
      </c>
      <c r="H7" s="9" t="n">
        <v>240</v>
      </c>
      <c r="I7" s="9" t="n">
        <v>61</v>
      </c>
      <c r="J7" s="9" t="n">
        <v>59</v>
      </c>
      <c r="K7" s="9" t="n">
        <v>365</v>
      </c>
      <c r="L7" s="9" t="n">
        <v>86</v>
      </c>
      <c r="M7" s="9" t="n">
        <v>84</v>
      </c>
      <c r="N7" s="9" t="n">
        <v>490</v>
      </c>
      <c r="O7" s="9" t="n">
        <v>111</v>
      </c>
      <c r="P7" s="9" t="n">
        <v>109</v>
      </c>
      <c r="Q7" s="9" t="n">
        <v>615</v>
      </c>
    </row>
    <row r="8">
      <c r="A8" s="8" t="inlineStr">
        <is>
          <t>수도승</t>
        </is>
      </c>
      <c r="B8" s="8" t="inlineStr">
        <is>
          <t>일반</t>
        </is>
      </c>
      <c r="C8" s="8" t="n">
        <v>13</v>
      </c>
      <c r="D8" s="8" t="n">
        <v>8</v>
      </c>
      <c r="E8" s="8" t="n">
        <v>110</v>
      </c>
      <c r="F8" s="8" t="n">
        <v>37</v>
      </c>
      <c r="G8" s="8" t="n">
        <v>32</v>
      </c>
      <c r="H8" s="8" t="n">
        <v>230</v>
      </c>
      <c r="I8" s="8" t="n">
        <v>62</v>
      </c>
      <c r="J8" s="8" t="n">
        <v>57</v>
      </c>
      <c r="K8" s="8" t="n">
        <v>355</v>
      </c>
      <c r="L8" s="8" t="n">
        <v>87</v>
      </c>
      <c r="M8" s="8" t="n">
        <v>82</v>
      </c>
      <c r="N8" s="8" t="n">
        <v>480</v>
      </c>
      <c r="O8" s="8" t="n">
        <v>112</v>
      </c>
      <c r="P8" s="8" t="n">
        <v>107</v>
      </c>
      <c r="Q8" s="8" t="n">
        <v>605</v>
      </c>
    </row>
    <row r="9">
      <c r="A9" s="9" t="inlineStr">
        <is>
          <t>수습 사제</t>
        </is>
      </c>
      <c r="B9" s="9" t="inlineStr">
        <is>
          <t>일반</t>
        </is>
      </c>
      <c r="C9" s="9" t="n">
        <v>6</v>
      </c>
      <c r="D9" s="9" t="n">
        <v>6</v>
      </c>
      <c r="E9" s="9" t="n">
        <v>90</v>
      </c>
      <c r="F9" s="9" t="n">
        <v>30</v>
      </c>
      <c r="G9" s="9" t="n">
        <v>30</v>
      </c>
      <c r="H9" s="9" t="n">
        <v>210</v>
      </c>
      <c r="I9" s="9" t="n">
        <v>55</v>
      </c>
      <c r="J9" s="9" t="n">
        <v>55</v>
      </c>
      <c r="K9" s="9" t="n">
        <v>335</v>
      </c>
      <c r="L9" s="9" t="n">
        <v>80</v>
      </c>
      <c r="M9" s="9" t="n">
        <v>80</v>
      </c>
      <c r="N9" s="9" t="n">
        <v>460</v>
      </c>
      <c r="O9" s="9" t="n">
        <v>105</v>
      </c>
      <c r="P9" s="9" t="n">
        <v>105</v>
      </c>
      <c r="Q9" s="9" t="n">
        <v>585</v>
      </c>
    </row>
    <row r="10">
      <c r="A10" s="8" t="inlineStr">
        <is>
          <t>창병</t>
        </is>
      </c>
      <c r="B10" s="8" t="inlineStr">
        <is>
          <t>일반</t>
        </is>
      </c>
      <c r="C10" s="8" t="n">
        <v>11</v>
      </c>
      <c r="D10" s="8" t="n">
        <v>12</v>
      </c>
      <c r="E10" s="8" t="n">
        <v>130</v>
      </c>
      <c r="F10" s="8" t="n">
        <v>35</v>
      </c>
      <c r="G10" s="8" t="n">
        <v>36</v>
      </c>
      <c r="H10" s="8" t="n">
        <v>250</v>
      </c>
      <c r="I10" s="8" t="n">
        <v>60</v>
      </c>
      <c r="J10" s="8" t="n">
        <v>61</v>
      </c>
      <c r="K10" s="8" t="n">
        <v>375</v>
      </c>
      <c r="L10" s="8" t="n">
        <v>85</v>
      </c>
      <c r="M10" s="8" t="n">
        <v>86</v>
      </c>
      <c r="N10" s="8" t="n">
        <v>500</v>
      </c>
      <c r="O10" s="8" t="n">
        <v>110</v>
      </c>
      <c r="P10" s="8" t="n">
        <v>111</v>
      </c>
      <c r="Q10" s="8" t="n">
        <v>625</v>
      </c>
    </row>
    <row r="11">
      <c r="A11" s="9" t="inlineStr">
        <is>
          <t>광전사</t>
        </is>
      </c>
      <c r="B11" s="9" t="inlineStr">
        <is>
          <t>고급</t>
        </is>
      </c>
      <c r="C11" s="9" t="n">
        <v>24</v>
      </c>
      <c r="D11" s="9" t="n">
        <v>4</v>
      </c>
      <c r="E11" s="9" t="n">
        <v>130</v>
      </c>
      <c r="F11" s="9" t="n">
        <v>48</v>
      </c>
      <c r="G11" s="9" t="n">
        <v>28</v>
      </c>
      <c r="H11" s="9" t="n">
        <v>274</v>
      </c>
      <c r="I11" s="9" t="n">
        <v>73</v>
      </c>
      <c r="J11" s="9" t="n">
        <v>53</v>
      </c>
      <c r="K11" s="9" t="n">
        <v>424</v>
      </c>
      <c r="L11" s="9" t="n">
        <v>98</v>
      </c>
      <c r="M11" s="9" t="n">
        <v>78</v>
      </c>
      <c r="N11" s="9" t="n">
        <v>574</v>
      </c>
      <c r="O11" s="9" t="n">
        <v>123</v>
      </c>
      <c r="P11" s="9" t="n">
        <v>103</v>
      </c>
      <c r="Q11" s="9" t="n">
        <v>724</v>
      </c>
    </row>
    <row r="12">
      <c r="A12" s="8" t="inlineStr">
        <is>
          <t>기마병</t>
        </is>
      </c>
      <c r="B12" s="8" t="inlineStr">
        <is>
          <t>고급</t>
        </is>
      </c>
      <c r="C12" s="8" t="n">
        <v>20</v>
      </c>
      <c r="D12" s="8" t="n">
        <v>10</v>
      </c>
      <c r="E12" s="8" t="n">
        <v>160</v>
      </c>
      <c r="F12" s="8" t="n">
        <v>44</v>
      </c>
      <c r="G12" s="8" t="n">
        <v>34</v>
      </c>
      <c r="H12" s="8" t="n">
        <v>304</v>
      </c>
      <c r="I12" s="8" t="n">
        <v>69</v>
      </c>
      <c r="J12" s="8" t="n">
        <v>59</v>
      </c>
      <c r="K12" s="8" t="n">
        <v>454</v>
      </c>
      <c r="L12" s="8" t="n">
        <v>94</v>
      </c>
      <c r="M12" s="8" t="n">
        <v>84</v>
      </c>
      <c r="N12" s="8" t="n">
        <v>604</v>
      </c>
      <c r="O12" s="8" t="n">
        <v>119</v>
      </c>
      <c r="P12" s="8" t="n">
        <v>109</v>
      </c>
      <c r="Q12" s="8" t="n">
        <v>754</v>
      </c>
    </row>
    <row r="13">
      <c r="A13" s="9" t="inlineStr">
        <is>
          <t>기사</t>
        </is>
      </c>
      <c r="B13" s="9" t="inlineStr">
        <is>
          <t>고급</t>
        </is>
      </c>
      <c r="C13" s="9" t="n">
        <v>18</v>
      </c>
      <c r="D13" s="9" t="n">
        <v>16</v>
      </c>
      <c r="E13" s="9" t="n">
        <v>180</v>
      </c>
      <c r="F13" s="9" t="n">
        <v>42</v>
      </c>
      <c r="G13" s="9" t="n">
        <v>40</v>
      </c>
      <c r="H13" s="9" t="n">
        <v>324</v>
      </c>
      <c r="I13" s="9" t="n">
        <v>67</v>
      </c>
      <c r="J13" s="9" t="n">
        <v>65</v>
      </c>
      <c r="K13" s="9" t="n">
        <v>474</v>
      </c>
      <c r="L13" s="9" t="n">
        <v>92</v>
      </c>
      <c r="M13" s="9" t="n">
        <v>90</v>
      </c>
      <c r="N13" s="9" t="n">
        <v>624</v>
      </c>
      <c r="O13" s="9" t="n">
        <v>117</v>
      </c>
      <c r="P13" s="9" t="n">
        <v>115</v>
      </c>
      <c r="Q13" s="9" t="n">
        <v>774</v>
      </c>
    </row>
    <row r="14">
      <c r="A14" s="8" t="inlineStr">
        <is>
          <t>레인저</t>
        </is>
      </c>
      <c r="B14" s="8" t="inlineStr">
        <is>
          <t>고급</t>
        </is>
      </c>
      <c r="C14" s="8" t="n">
        <v>20</v>
      </c>
      <c r="D14" s="8" t="n">
        <v>8</v>
      </c>
      <c r="E14" s="8" t="n">
        <v>100</v>
      </c>
      <c r="F14" s="8" t="n">
        <v>44</v>
      </c>
      <c r="G14" s="8" t="n">
        <v>32</v>
      </c>
      <c r="H14" s="8" t="n">
        <v>244</v>
      </c>
      <c r="I14" s="8" t="n">
        <v>69</v>
      </c>
      <c r="J14" s="8" t="n">
        <v>57</v>
      </c>
      <c r="K14" s="8" t="n">
        <v>394</v>
      </c>
      <c r="L14" s="8" t="n">
        <v>94</v>
      </c>
      <c r="M14" s="8" t="n">
        <v>82</v>
      </c>
      <c r="N14" s="8" t="n">
        <v>544</v>
      </c>
      <c r="O14" s="8" t="n">
        <v>119</v>
      </c>
      <c r="P14" s="8" t="n">
        <v>107</v>
      </c>
      <c r="Q14" s="8" t="n">
        <v>694</v>
      </c>
    </row>
    <row r="15">
      <c r="A15" s="9" t="inlineStr">
        <is>
          <t>마법사</t>
        </is>
      </c>
      <c r="B15" s="9" t="inlineStr">
        <is>
          <t>고급</t>
        </is>
      </c>
      <c r="C15" s="9" t="n">
        <v>22</v>
      </c>
      <c r="D15" s="9" t="n">
        <v>4</v>
      </c>
      <c r="E15" s="9" t="n">
        <v>70</v>
      </c>
      <c r="F15" s="9" t="n">
        <v>46</v>
      </c>
      <c r="G15" s="9" t="n">
        <v>28</v>
      </c>
      <c r="H15" s="9" t="n">
        <v>214</v>
      </c>
      <c r="I15" s="9" t="n">
        <v>71</v>
      </c>
      <c r="J15" s="9" t="n">
        <v>53</v>
      </c>
      <c r="K15" s="9" t="n">
        <v>364</v>
      </c>
      <c r="L15" s="9" t="n">
        <v>96</v>
      </c>
      <c r="M15" s="9" t="n">
        <v>78</v>
      </c>
      <c r="N15" s="9" t="n">
        <v>514</v>
      </c>
      <c r="O15" s="9" t="n">
        <v>121</v>
      </c>
      <c r="P15" s="9" t="n">
        <v>103</v>
      </c>
      <c r="Q15" s="9" t="n">
        <v>664</v>
      </c>
    </row>
    <row r="16">
      <c r="A16" s="8" t="inlineStr">
        <is>
          <t>무희</t>
        </is>
      </c>
      <c r="B16" s="8" t="inlineStr">
        <is>
          <t>고급</t>
        </is>
      </c>
      <c r="C16" s="8" t="n">
        <v>8</v>
      </c>
      <c r="D16" s="8" t="n">
        <v>6</v>
      </c>
      <c r="E16" s="8" t="n">
        <v>90</v>
      </c>
      <c r="F16" s="8" t="n">
        <v>32</v>
      </c>
      <c r="G16" s="8" t="n">
        <v>30</v>
      </c>
      <c r="H16" s="8" t="n">
        <v>234</v>
      </c>
      <c r="I16" s="8" t="n">
        <v>57</v>
      </c>
      <c r="J16" s="8" t="n">
        <v>55</v>
      </c>
      <c r="K16" s="8" t="n">
        <v>384</v>
      </c>
      <c r="L16" s="8" t="n">
        <v>82</v>
      </c>
      <c r="M16" s="8" t="n">
        <v>80</v>
      </c>
      <c r="N16" s="8" t="n">
        <v>534</v>
      </c>
      <c r="O16" s="8" t="n">
        <v>107</v>
      </c>
      <c r="P16" s="8" t="n">
        <v>105</v>
      </c>
      <c r="Q16" s="8" t="n">
        <v>684</v>
      </c>
    </row>
    <row r="17">
      <c r="A17" s="9" t="inlineStr">
        <is>
          <t>석궁병</t>
        </is>
      </c>
      <c r="B17" s="9" t="inlineStr">
        <is>
          <t>고급</t>
        </is>
      </c>
      <c r="C17" s="9" t="n">
        <v>22</v>
      </c>
      <c r="D17" s="9" t="n">
        <v>6</v>
      </c>
      <c r="E17" s="9" t="n">
        <v>85</v>
      </c>
      <c r="F17" s="9" t="n">
        <v>46</v>
      </c>
      <c r="G17" s="9" t="n">
        <v>30</v>
      </c>
      <c r="H17" s="9" t="n">
        <v>229</v>
      </c>
      <c r="I17" s="9" t="n">
        <v>71</v>
      </c>
      <c r="J17" s="9" t="n">
        <v>55</v>
      </c>
      <c r="K17" s="9" t="n">
        <v>379</v>
      </c>
      <c r="L17" s="9" t="n">
        <v>96</v>
      </c>
      <c r="M17" s="9" t="n">
        <v>80</v>
      </c>
      <c r="N17" s="9" t="n">
        <v>529</v>
      </c>
      <c r="O17" s="9" t="n">
        <v>121</v>
      </c>
      <c r="P17" s="9" t="n">
        <v>105</v>
      </c>
      <c r="Q17" s="9" t="n">
        <v>679</v>
      </c>
    </row>
    <row r="18">
      <c r="A18" s="8" t="inlineStr">
        <is>
          <t>성전사</t>
        </is>
      </c>
      <c r="B18" s="8" t="inlineStr">
        <is>
          <t>고급</t>
        </is>
      </c>
      <c r="C18" s="8" t="n">
        <v>16</v>
      </c>
      <c r="D18" s="8" t="n">
        <v>15</v>
      </c>
      <c r="E18" s="8" t="n">
        <v>170</v>
      </c>
      <c r="F18" s="8" t="n">
        <v>40</v>
      </c>
      <c r="G18" s="8" t="n">
        <v>39</v>
      </c>
      <c r="H18" s="8" t="n">
        <v>314</v>
      </c>
      <c r="I18" s="8" t="n">
        <v>65</v>
      </c>
      <c r="J18" s="8" t="n">
        <v>64</v>
      </c>
      <c r="K18" s="8" t="n">
        <v>464</v>
      </c>
      <c r="L18" s="8" t="n">
        <v>90</v>
      </c>
      <c r="M18" s="8" t="n">
        <v>89</v>
      </c>
      <c r="N18" s="8" t="n">
        <v>614</v>
      </c>
      <c r="O18" s="8" t="n">
        <v>115</v>
      </c>
      <c r="P18" s="8" t="n">
        <v>114</v>
      </c>
      <c r="Q18" s="8" t="n">
        <v>764</v>
      </c>
    </row>
    <row r="19">
      <c r="A19" s="9" t="inlineStr">
        <is>
          <t>음유시인</t>
        </is>
      </c>
      <c r="B19" s="9" t="inlineStr">
        <is>
          <t>고급</t>
        </is>
      </c>
      <c r="C19" s="9" t="n">
        <v>8</v>
      </c>
      <c r="D19" s="9" t="n">
        <v>7</v>
      </c>
      <c r="E19" s="9" t="n">
        <v>95</v>
      </c>
      <c r="F19" s="9" t="n">
        <v>32</v>
      </c>
      <c r="G19" s="9" t="n">
        <v>31</v>
      </c>
      <c r="H19" s="9" t="n">
        <v>239</v>
      </c>
      <c r="I19" s="9" t="n">
        <v>57</v>
      </c>
      <c r="J19" s="9" t="n">
        <v>56</v>
      </c>
      <c r="K19" s="9" t="n">
        <v>389</v>
      </c>
      <c r="L19" s="9" t="n">
        <v>82</v>
      </c>
      <c r="M19" s="9" t="n">
        <v>81</v>
      </c>
      <c r="N19" s="9" t="n">
        <v>539</v>
      </c>
      <c r="O19" s="9" t="n">
        <v>107</v>
      </c>
      <c r="P19" s="9" t="n">
        <v>106</v>
      </c>
      <c r="Q19" s="9" t="n">
        <v>689</v>
      </c>
    </row>
    <row r="20">
      <c r="A20" s="8" t="inlineStr">
        <is>
          <t>주술사</t>
        </is>
      </c>
      <c r="B20" s="8" t="inlineStr">
        <is>
          <t>고급</t>
        </is>
      </c>
      <c r="C20" s="8" t="n">
        <v>18</v>
      </c>
      <c r="D20" s="8" t="n">
        <v>5</v>
      </c>
      <c r="E20" s="8" t="n">
        <v>80</v>
      </c>
      <c r="F20" s="8" t="n">
        <v>42</v>
      </c>
      <c r="G20" s="8" t="n">
        <v>29</v>
      </c>
      <c r="H20" s="8" t="n">
        <v>224</v>
      </c>
      <c r="I20" s="8" t="n">
        <v>67</v>
      </c>
      <c r="J20" s="8" t="n">
        <v>54</v>
      </c>
      <c r="K20" s="8" t="n">
        <v>374</v>
      </c>
      <c r="L20" s="8" t="n">
        <v>92</v>
      </c>
      <c r="M20" s="8" t="n">
        <v>79</v>
      </c>
      <c r="N20" s="8" t="n">
        <v>524</v>
      </c>
      <c r="O20" s="8" t="n">
        <v>117</v>
      </c>
      <c r="P20" s="8" t="n">
        <v>104</v>
      </c>
      <c r="Q20" s="8" t="n">
        <v>674</v>
      </c>
    </row>
    <row r="21">
      <c r="A21" s="9" t="inlineStr">
        <is>
          <t>해적</t>
        </is>
      </c>
      <c r="B21" s="9" t="inlineStr">
        <is>
          <t>고급</t>
        </is>
      </c>
      <c r="C21" s="9" t="n">
        <v>19</v>
      </c>
      <c r="D21" s="9" t="n">
        <v>7</v>
      </c>
      <c r="E21" s="9" t="n">
        <v>110</v>
      </c>
      <c r="F21" s="9" t="n">
        <v>43</v>
      </c>
      <c r="G21" s="9" t="n">
        <v>31</v>
      </c>
      <c r="H21" s="9" t="n">
        <v>254</v>
      </c>
      <c r="I21" s="9" t="n">
        <v>68</v>
      </c>
      <c r="J21" s="9" t="n">
        <v>56</v>
      </c>
      <c r="K21" s="9" t="n">
        <v>404</v>
      </c>
      <c r="L21" s="9" t="n">
        <v>93</v>
      </c>
      <c r="M21" s="9" t="n">
        <v>81</v>
      </c>
      <c r="N21" s="9" t="n">
        <v>554</v>
      </c>
      <c r="O21" s="9" t="n">
        <v>118</v>
      </c>
      <c r="P21" s="9" t="n">
        <v>106</v>
      </c>
      <c r="Q21" s="9" t="n">
        <v>704</v>
      </c>
    </row>
    <row r="22">
      <c r="A22" s="8" t="inlineStr">
        <is>
          <t>강령술사</t>
        </is>
      </c>
      <c r="B22" s="8" t="inlineStr">
        <is>
          <t>희귀</t>
        </is>
      </c>
      <c r="C22" s="8" t="n">
        <v>26</v>
      </c>
      <c r="D22" s="8" t="n">
        <v>7</v>
      </c>
      <c r="E22" s="8" t="n">
        <v>100</v>
      </c>
      <c r="F22" s="8" t="n">
        <v>74</v>
      </c>
      <c r="G22" s="8" t="n">
        <v>31</v>
      </c>
      <c r="H22" s="8" t="n">
        <v>292</v>
      </c>
      <c r="I22" s="8" t="n">
        <v>124</v>
      </c>
      <c r="J22" s="8" t="n">
        <v>56</v>
      </c>
      <c r="K22" s="8" t="n">
        <v>492</v>
      </c>
      <c r="L22" s="8" t="n">
        <v>174</v>
      </c>
      <c r="M22" s="8" t="n">
        <v>81</v>
      </c>
      <c r="N22" s="8" t="n">
        <v>692</v>
      </c>
      <c r="O22" s="8" t="n">
        <v>224</v>
      </c>
      <c r="P22" s="8" t="n">
        <v>106</v>
      </c>
      <c r="Q22" s="8" t="n">
        <v>892</v>
      </c>
    </row>
    <row r="23">
      <c r="A23" s="9" t="inlineStr">
        <is>
          <t>닌자</t>
        </is>
      </c>
      <c r="B23" s="9" t="inlineStr">
        <is>
          <t>희귀</t>
        </is>
      </c>
      <c r="C23" s="9" t="n">
        <v>32</v>
      </c>
      <c r="D23" s="9" t="n">
        <v>5</v>
      </c>
      <c r="E23" s="9" t="n">
        <v>85</v>
      </c>
      <c r="F23" s="9" t="n">
        <v>80</v>
      </c>
      <c r="G23" s="9" t="n">
        <v>29</v>
      </c>
      <c r="H23" s="9" t="n">
        <v>277</v>
      </c>
      <c r="I23" s="9" t="n">
        <v>130</v>
      </c>
      <c r="J23" s="9" t="n">
        <v>54</v>
      </c>
      <c r="K23" s="9" t="n">
        <v>477</v>
      </c>
      <c r="L23" s="9" t="n">
        <v>180</v>
      </c>
      <c r="M23" s="9" t="n">
        <v>79</v>
      </c>
      <c r="N23" s="9" t="n">
        <v>677</v>
      </c>
      <c r="O23" s="9" t="n">
        <v>230</v>
      </c>
      <c r="P23" s="9" t="n">
        <v>104</v>
      </c>
      <c r="Q23" s="9" t="n">
        <v>877</v>
      </c>
    </row>
    <row r="24">
      <c r="A24" s="8" t="inlineStr">
        <is>
          <t>드루이드</t>
        </is>
      </c>
      <c r="B24" s="8" t="inlineStr">
        <is>
          <t>희귀</t>
        </is>
      </c>
      <c r="C24" s="8" t="n">
        <v>14</v>
      </c>
      <c r="D24" s="8" t="n">
        <v>10</v>
      </c>
      <c r="E24" s="8" t="n">
        <v>150</v>
      </c>
      <c r="F24" s="8" t="n">
        <v>62</v>
      </c>
      <c r="G24" s="8" t="n">
        <v>34</v>
      </c>
      <c r="H24" s="8" t="n">
        <v>342</v>
      </c>
      <c r="I24" s="8" t="n">
        <v>112</v>
      </c>
      <c r="J24" s="8" t="n">
        <v>59</v>
      </c>
      <c r="K24" s="8" t="n">
        <v>542</v>
      </c>
      <c r="L24" s="8" t="n">
        <v>162</v>
      </c>
      <c r="M24" s="8" t="n">
        <v>84</v>
      </c>
      <c r="N24" s="8" t="n">
        <v>742</v>
      </c>
      <c r="O24" s="8" t="n">
        <v>212</v>
      </c>
      <c r="P24" s="8" t="n">
        <v>109</v>
      </c>
      <c r="Q24" s="8" t="n">
        <v>942</v>
      </c>
    </row>
    <row r="25">
      <c r="A25" s="9" t="inlineStr">
        <is>
          <t>맹수 조련사</t>
        </is>
      </c>
      <c r="B25" s="9" t="inlineStr">
        <is>
          <t>희귀</t>
        </is>
      </c>
      <c r="C25" s="9" t="n">
        <v>27</v>
      </c>
      <c r="D25" s="9" t="n">
        <v>10</v>
      </c>
      <c r="E25" s="9" t="n">
        <v>160</v>
      </c>
      <c r="F25" s="9" t="n">
        <v>75</v>
      </c>
      <c r="G25" s="9" t="n">
        <v>34</v>
      </c>
      <c r="H25" s="9" t="n">
        <v>352</v>
      </c>
      <c r="I25" s="9" t="n">
        <v>125</v>
      </c>
      <c r="J25" s="9" t="n">
        <v>59</v>
      </c>
      <c r="K25" s="9" t="n">
        <v>552</v>
      </c>
      <c r="L25" s="9" t="n">
        <v>175</v>
      </c>
      <c r="M25" s="9" t="n">
        <v>84</v>
      </c>
      <c r="N25" s="9" t="n">
        <v>752</v>
      </c>
      <c r="O25" s="9" t="n">
        <v>225</v>
      </c>
      <c r="P25" s="9" t="n">
        <v>109</v>
      </c>
      <c r="Q25" s="9" t="n">
        <v>952</v>
      </c>
    </row>
    <row r="26">
      <c r="A26" s="8" t="inlineStr">
        <is>
          <t>발키리</t>
        </is>
      </c>
      <c r="B26" s="8" t="inlineStr">
        <is>
          <t>희귀</t>
        </is>
      </c>
      <c r="C26" s="8" t="n">
        <v>28</v>
      </c>
      <c r="D26" s="8" t="n">
        <v>16</v>
      </c>
      <c r="E26" s="8" t="n">
        <v>180</v>
      </c>
      <c r="F26" s="8" t="n">
        <v>76</v>
      </c>
      <c r="G26" s="8" t="n">
        <v>40</v>
      </c>
      <c r="H26" s="8" t="n">
        <v>372</v>
      </c>
      <c r="I26" s="8" t="n">
        <v>126</v>
      </c>
      <c r="J26" s="8" t="n">
        <v>65</v>
      </c>
      <c r="K26" s="8" t="n">
        <v>572</v>
      </c>
      <c r="L26" s="8" t="n">
        <v>176</v>
      </c>
      <c r="M26" s="8" t="n">
        <v>90</v>
      </c>
      <c r="N26" s="8" t="n">
        <v>772</v>
      </c>
      <c r="O26" s="8" t="n">
        <v>226</v>
      </c>
      <c r="P26" s="8" t="n">
        <v>115</v>
      </c>
      <c r="Q26" s="8" t="n">
        <v>972</v>
      </c>
    </row>
    <row r="27">
      <c r="A27" s="9" t="inlineStr">
        <is>
          <t>사무라이</t>
        </is>
      </c>
      <c r="B27" s="9" t="inlineStr">
        <is>
          <t>희귀</t>
        </is>
      </c>
      <c r="C27" s="9" t="n">
        <v>30</v>
      </c>
      <c r="D27" s="9" t="n">
        <v>14</v>
      </c>
      <c r="E27" s="9" t="n">
        <v>190</v>
      </c>
      <c r="F27" s="9" t="n">
        <v>78</v>
      </c>
      <c r="G27" s="9" t="n">
        <v>38</v>
      </c>
      <c r="H27" s="9" t="n">
        <v>382</v>
      </c>
      <c r="I27" s="9" t="n">
        <v>128</v>
      </c>
      <c r="J27" s="9" t="n">
        <v>63</v>
      </c>
      <c r="K27" s="9" t="n">
        <v>582</v>
      </c>
      <c r="L27" s="9" t="n">
        <v>178</v>
      </c>
      <c r="M27" s="9" t="n">
        <v>88</v>
      </c>
      <c r="N27" s="9" t="n">
        <v>782</v>
      </c>
      <c r="O27" s="9" t="n">
        <v>228</v>
      </c>
      <c r="P27" s="9" t="n">
        <v>113</v>
      </c>
      <c r="Q27" s="9" t="n">
        <v>982</v>
      </c>
    </row>
    <row r="28">
      <c r="A28" s="8" t="inlineStr">
        <is>
          <t>사제</t>
        </is>
      </c>
      <c r="B28" s="8" t="inlineStr">
        <is>
          <t>희귀</t>
        </is>
      </c>
      <c r="C28" s="8" t="n">
        <v>10</v>
      </c>
      <c r="D28" s="8" t="n">
        <v>12</v>
      </c>
      <c r="E28" s="8" t="n">
        <v>140</v>
      </c>
      <c r="F28" s="8" t="n">
        <v>58</v>
      </c>
      <c r="G28" s="8" t="n">
        <v>36</v>
      </c>
      <c r="H28" s="8" t="n">
        <v>332</v>
      </c>
      <c r="I28" s="8" t="n">
        <v>108</v>
      </c>
      <c r="J28" s="8" t="n">
        <v>61</v>
      </c>
      <c r="K28" s="8" t="n">
        <v>532</v>
      </c>
      <c r="L28" s="8" t="n">
        <v>158</v>
      </c>
      <c r="M28" s="8" t="n">
        <v>86</v>
      </c>
      <c r="N28" s="8" t="n">
        <v>732</v>
      </c>
      <c r="O28" s="8" t="n">
        <v>208</v>
      </c>
      <c r="P28" s="8" t="n">
        <v>111</v>
      </c>
      <c r="Q28" s="8" t="n">
        <v>932</v>
      </c>
    </row>
    <row r="29">
      <c r="A29" s="9" t="inlineStr">
        <is>
          <t>성기사</t>
        </is>
      </c>
      <c r="B29" s="9" t="inlineStr">
        <is>
          <t>희귀</t>
        </is>
      </c>
      <c r="C29" s="9" t="n">
        <v>25</v>
      </c>
      <c r="D29" s="9" t="n">
        <v>22</v>
      </c>
      <c r="E29" s="9" t="n">
        <v>250</v>
      </c>
      <c r="F29" s="9" t="n">
        <v>73</v>
      </c>
      <c r="G29" s="9" t="n">
        <v>46</v>
      </c>
      <c r="H29" s="9" t="n">
        <v>442</v>
      </c>
      <c r="I29" s="9" t="n">
        <v>123</v>
      </c>
      <c r="J29" s="9" t="n">
        <v>71</v>
      </c>
      <c r="K29" s="9" t="n">
        <v>642</v>
      </c>
      <c r="L29" s="9" t="n">
        <v>173</v>
      </c>
      <c r="M29" s="9" t="n">
        <v>96</v>
      </c>
      <c r="N29" s="9" t="n">
        <v>842</v>
      </c>
      <c r="O29" s="9" t="n">
        <v>223</v>
      </c>
      <c r="P29" s="9" t="n">
        <v>121</v>
      </c>
      <c r="Q29" s="9" t="n">
        <v>1042</v>
      </c>
    </row>
    <row r="30">
      <c r="A30" s="8" t="inlineStr">
        <is>
          <t>암살자</t>
        </is>
      </c>
      <c r="B30" s="8" t="inlineStr">
        <is>
          <t>희귀</t>
        </is>
      </c>
      <c r="C30" s="8" t="n">
        <v>30</v>
      </c>
      <c r="D30" s="8" t="n">
        <v>6</v>
      </c>
      <c r="E30" s="8" t="n">
        <v>90</v>
      </c>
      <c r="F30" s="8" t="n">
        <v>78</v>
      </c>
      <c r="G30" s="8" t="n">
        <v>30</v>
      </c>
      <c r="H30" s="8" t="n">
        <v>282</v>
      </c>
      <c r="I30" s="8" t="n">
        <v>128</v>
      </c>
      <c r="J30" s="8" t="n">
        <v>55</v>
      </c>
      <c r="K30" s="8" t="n">
        <v>482</v>
      </c>
      <c r="L30" s="8" t="n">
        <v>178</v>
      </c>
      <c r="M30" s="8" t="n">
        <v>80</v>
      </c>
      <c r="N30" s="8" t="n">
        <v>682</v>
      </c>
      <c r="O30" s="8" t="n">
        <v>228</v>
      </c>
      <c r="P30" s="8" t="n">
        <v>105</v>
      </c>
      <c r="Q30" s="8" t="n">
        <v>882</v>
      </c>
    </row>
    <row r="31">
      <c r="A31" s="9" t="inlineStr">
        <is>
          <t>연금술사</t>
        </is>
      </c>
      <c r="B31" s="9" t="inlineStr">
        <is>
          <t>희귀</t>
        </is>
      </c>
      <c r="C31" s="9" t="n">
        <v>16</v>
      </c>
      <c r="D31" s="9" t="n">
        <v>8</v>
      </c>
      <c r="E31" s="9" t="n">
        <v>110</v>
      </c>
      <c r="F31" s="9" t="n">
        <v>64</v>
      </c>
      <c r="G31" s="9" t="n">
        <v>32</v>
      </c>
      <c r="H31" s="9" t="n">
        <v>302</v>
      </c>
      <c r="I31" s="9" t="n">
        <v>114</v>
      </c>
      <c r="J31" s="9" t="n">
        <v>57</v>
      </c>
      <c r="K31" s="9" t="n">
        <v>502</v>
      </c>
      <c r="L31" s="9" t="n">
        <v>164</v>
      </c>
      <c r="M31" s="9" t="n">
        <v>82</v>
      </c>
      <c r="N31" s="9" t="n">
        <v>702</v>
      </c>
      <c r="O31" s="9" t="n">
        <v>214</v>
      </c>
      <c r="P31" s="9" t="n">
        <v>107</v>
      </c>
      <c r="Q31" s="9" t="n">
        <v>902</v>
      </c>
    </row>
    <row r="32">
      <c r="A32" s="8" t="inlineStr">
        <is>
          <t>저격수</t>
        </is>
      </c>
      <c r="B32" s="8" t="inlineStr">
        <is>
          <t>희귀</t>
        </is>
      </c>
      <c r="C32" s="8" t="n">
        <v>35</v>
      </c>
      <c r="D32" s="8" t="n">
        <v>3</v>
      </c>
      <c r="E32" s="8" t="n">
        <v>70</v>
      </c>
      <c r="F32" s="8" t="n">
        <v>83</v>
      </c>
      <c r="G32" s="8" t="n">
        <v>27</v>
      </c>
      <c r="H32" s="8" t="n">
        <v>262</v>
      </c>
      <c r="I32" s="8" t="n">
        <v>133</v>
      </c>
      <c r="J32" s="8" t="n">
        <v>52</v>
      </c>
      <c r="K32" s="8" t="n">
        <v>462</v>
      </c>
      <c r="L32" s="8" t="n">
        <v>183</v>
      </c>
      <c r="M32" s="8" t="n">
        <v>77</v>
      </c>
      <c r="N32" s="8" t="n">
        <v>662</v>
      </c>
      <c r="O32" s="8" t="n">
        <v>233</v>
      </c>
      <c r="P32" s="8" t="n">
        <v>102</v>
      </c>
      <c r="Q32" s="8" t="n">
        <v>862</v>
      </c>
    </row>
    <row r="33">
      <c r="A33" s="9" t="inlineStr">
        <is>
          <t>화염술사</t>
        </is>
      </c>
      <c r="B33" s="9" t="inlineStr">
        <is>
          <t>희귀</t>
        </is>
      </c>
      <c r="C33" s="9" t="n">
        <v>32</v>
      </c>
      <c r="D33" s="9" t="n">
        <v>4</v>
      </c>
      <c r="E33" s="9" t="n">
        <v>75</v>
      </c>
      <c r="F33" s="9" t="n">
        <v>80</v>
      </c>
      <c r="G33" s="9" t="n">
        <v>28</v>
      </c>
      <c r="H33" s="9" t="n">
        <v>267</v>
      </c>
      <c r="I33" s="9" t="n">
        <v>130</v>
      </c>
      <c r="J33" s="9" t="n">
        <v>53</v>
      </c>
      <c r="K33" s="9" t="n">
        <v>467</v>
      </c>
      <c r="L33" s="9" t="n">
        <v>180</v>
      </c>
      <c r="M33" s="9" t="n">
        <v>78</v>
      </c>
      <c r="N33" s="9" t="n">
        <v>667</v>
      </c>
      <c r="O33" s="9" t="n">
        <v>230</v>
      </c>
      <c r="P33" s="9" t="n">
        <v>103</v>
      </c>
      <c r="Q33" s="9" t="n">
        <v>867</v>
      </c>
    </row>
    <row r="34">
      <c r="A34" s="8" t="inlineStr">
        <is>
          <t>흑마법사</t>
        </is>
      </c>
      <c r="B34" s="8" t="inlineStr">
        <is>
          <t>희귀</t>
        </is>
      </c>
      <c r="C34" s="8" t="n">
        <v>28</v>
      </c>
      <c r="D34" s="8" t="n">
        <v>5</v>
      </c>
      <c r="E34" s="8" t="n">
        <v>85</v>
      </c>
      <c r="F34" s="8" t="n">
        <v>76</v>
      </c>
      <c r="G34" s="8" t="n">
        <v>29</v>
      </c>
      <c r="H34" s="8" t="n">
        <v>277</v>
      </c>
      <c r="I34" s="8" t="n">
        <v>126</v>
      </c>
      <c r="J34" s="8" t="n">
        <v>54</v>
      </c>
      <c r="K34" s="8" t="n">
        <v>477</v>
      </c>
      <c r="L34" s="8" t="n">
        <v>176</v>
      </c>
      <c r="M34" s="8" t="n">
        <v>79</v>
      </c>
      <c r="N34" s="8" t="n">
        <v>677</v>
      </c>
      <c r="O34" s="8" t="n">
        <v>226</v>
      </c>
      <c r="P34" s="8" t="n">
        <v>104</v>
      </c>
      <c r="Q34" s="8" t="n">
        <v>877</v>
      </c>
    </row>
    <row r="35">
      <c r="A35" s="9" t="inlineStr">
        <is>
          <t>검성</t>
        </is>
      </c>
      <c r="B35" s="9" t="inlineStr">
        <is>
          <t>영웅</t>
        </is>
      </c>
      <c r="C35" s="9" t="n">
        <v>46</v>
      </c>
      <c r="D35" s="9" t="n">
        <v>16</v>
      </c>
      <c r="E35" s="9" t="n">
        <v>260</v>
      </c>
      <c r="F35" s="9" t="n">
        <v>118</v>
      </c>
      <c r="G35" s="9" t="n">
        <v>64</v>
      </c>
      <c r="H35" s="9" t="n">
        <v>524</v>
      </c>
      <c r="I35" s="9" t="n">
        <v>193</v>
      </c>
      <c r="J35" s="9" t="n">
        <v>114</v>
      </c>
      <c r="K35" s="9" t="n">
        <v>799</v>
      </c>
      <c r="L35" s="9" t="n">
        <v>268</v>
      </c>
      <c r="M35" s="9" t="n">
        <v>164</v>
      </c>
      <c r="N35" s="9" t="n">
        <v>1074</v>
      </c>
      <c r="O35" s="9" t="n">
        <v>343</v>
      </c>
      <c r="P35" s="9" t="n">
        <v>214</v>
      </c>
      <c r="Q35" s="9" t="n">
        <v>1349</v>
      </c>
    </row>
    <row r="36">
      <c r="A36" s="8" t="inlineStr">
        <is>
          <t>그림자 군주</t>
        </is>
      </c>
      <c r="B36" s="8" t="inlineStr">
        <is>
          <t>영웅</t>
        </is>
      </c>
      <c r="C36" s="8" t="n">
        <v>42</v>
      </c>
      <c r="D36" s="8" t="n">
        <v>15</v>
      </c>
      <c r="E36" s="8" t="n">
        <v>200</v>
      </c>
      <c r="F36" s="8" t="n">
        <v>114</v>
      </c>
      <c r="G36" s="8" t="n">
        <v>63</v>
      </c>
      <c r="H36" s="8" t="n">
        <v>464</v>
      </c>
      <c r="I36" s="8" t="n">
        <v>189</v>
      </c>
      <c r="J36" s="8" t="n">
        <v>113</v>
      </c>
      <c r="K36" s="8" t="n">
        <v>739</v>
      </c>
      <c r="L36" s="8" t="n">
        <v>264</v>
      </c>
      <c r="M36" s="8" t="n">
        <v>163</v>
      </c>
      <c r="N36" s="8" t="n">
        <v>1014</v>
      </c>
      <c r="O36" s="8" t="n">
        <v>339</v>
      </c>
      <c r="P36" s="8" t="n">
        <v>213</v>
      </c>
      <c r="Q36" s="8" t="n">
        <v>1289</v>
      </c>
    </row>
    <row r="37">
      <c r="A37" s="9" t="inlineStr">
        <is>
          <t>대마법사</t>
        </is>
      </c>
      <c r="B37" s="9" t="inlineStr">
        <is>
          <t>영웅</t>
        </is>
      </c>
      <c r="C37" s="9" t="n">
        <v>45</v>
      </c>
      <c r="D37" s="9" t="n">
        <v>8</v>
      </c>
      <c r="E37" s="9" t="n">
        <v>150</v>
      </c>
      <c r="F37" s="9" t="n">
        <v>117</v>
      </c>
      <c r="G37" s="9" t="n">
        <v>56</v>
      </c>
      <c r="H37" s="9" t="n">
        <v>414</v>
      </c>
      <c r="I37" s="9" t="n">
        <v>192</v>
      </c>
      <c r="J37" s="9" t="n">
        <v>106</v>
      </c>
      <c r="K37" s="9" t="n">
        <v>689</v>
      </c>
      <c r="L37" s="9" t="n">
        <v>267</v>
      </c>
      <c r="M37" s="9" t="n">
        <v>156</v>
      </c>
      <c r="N37" s="9" t="n">
        <v>964</v>
      </c>
      <c r="O37" s="9" t="n">
        <v>342</v>
      </c>
      <c r="P37" s="9" t="n">
        <v>206</v>
      </c>
      <c r="Q37" s="9" t="n">
        <v>1239</v>
      </c>
    </row>
    <row r="38">
      <c r="A38" s="8" t="inlineStr">
        <is>
          <t>드래곤나이트</t>
        </is>
      </c>
      <c r="B38" s="8" t="inlineStr">
        <is>
          <t>영웅</t>
        </is>
      </c>
      <c r="C38" s="8" t="n">
        <v>40</v>
      </c>
      <c r="D38" s="8" t="n">
        <v>30</v>
      </c>
      <c r="E38" s="8" t="n">
        <v>400</v>
      </c>
      <c r="F38" s="8" t="n">
        <v>112</v>
      </c>
      <c r="G38" s="8" t="n">
        <v>78</v>
      </c>
      <c r="H38" s="8" t="n">
        <v>664</v>
      </c>
      <c r="I38" s="8" t="n">
        <v>187</v>
      </c>
      <c r="J38" s="8" t="n">
        <v>128</v>
      </c>
      <c r="K38" s="8" t="n">
        <v>939</v>
      </c>
      <c r="L38" s="8" t="n">
        <v>262</v>
      </c>
      <c r="M38" s="8" t="n">
        <v>178</v>
      </c>
      <c r="N38" s="8" t="n">
        <v>1214</v>
      </c>
      <c r="O38" s="8" t="n">
        <v>337</v>
      </c>
      <c r="P38" s="8" t="n">
        <v>228</v>
      </c>
      <c r="Q38" s="8" t="n">
        <v>1489</v>
      </c>
    </row>
    <row r="39">
      <c r="A39" s="9" t="inlineStr">
        <is>
          <t>마왕</t>
        </is>
      </c>
      <c r="B39" s="9" t="inlineStr">
        <is>
          <t>영웅</t>
        </is>
      </c>
      <c r="C39" s="9" t="n">
        <v>48</v>
      </c>
      <c r="D39" s="9" t="n">
        <v>18</v>
      </c>
      <c r="E39" s="9" t="n">
        <v>280</v>
      </c>
      <c r="F39" s="9" t="n">
        <v>120</v>
      </c>
      <c r="G39" s="9" t="n">
        <v>66</v>
      </c>
      <c r="H39" s="9" t="n">
        <v>544</v>
      </c>
      <c r="I39" s="9" t="n">
        <v>195</v>
      </c>
      <c r="J39" s="9" t="n">
        <v>116</v>
      </c>
      <c r="K39" s="9" t="n">
        <v>819</v>
      </c>
      <c r="L39" s="9" t="n">
        <v>270</v>
      </c>
      <c r="M39" s="9" t="n">
        <v>166</v>
      </c>
      <c r="N39" s="9" t="n">
        <v>1094</v>
      </c>
      <c r="O39" s="9" t="n">
        <v>345</v>
      </c>
      <c r="P39" s="9" t="n">
        <v>216</v>
      </c>
      <c r="Q39" s="9" t="n">
        <v>1369</v>
      </c>
    </row>
    <row r="40">
      <c r="A40" s="8" t="inlineStr">
        <is>
          <t>불사조 기사</t>
        </is>
      </c>
      <c r="B40" s="8" t="inlineStr">
        <is>
          <t>영웅</t>
        </is>
      </c>
      <c r="C40" s="8" t="n">
        <v>38</v>
      </c>
      <c r="D40" s="8" t="n">
        <v>20</v>
      </c>
      <c r="E40" s="8" t="n">
        <v>350</v>
      </c>
      <c r="F40" s="8" t="n">
        <v>110</v>
      </c>
      <c r="G40" s="8" t="n">
        <v>68</v>
      </c>
      <c r="H40" s="8" t="n">
        <v>614</v>
      </c>
      <c r="I40" s="8" t="n">
        <v>185</v>
      </c>
      <c r="J40" s="8" t="n">
        <v>118</v>
      </c>
      <c r="K40" s="8" t="n">
        <v>889</v>
      </c>
      <c r="L40" s="8" t="n">
        <v>260</v>
      </c>
      <c r="M40" s="8" t="n">
        <v>168</v>
      </c>
      <c r="N40" s="8" t="n">
        <v>1164</v>
      </c>
      <c r="O40" s="8" t="n">
        <v>335</v>
      </c>
      <c r="P40" s="8" t="n">
        <v>218</v>
      </c>
      <c r="Q40" s="8" t="n">
        <v>1439</v>
      </c>
    </row>
    <row r="41">
      <c r="A41" s="9" t="inlineStr">
        <is>
          <t>서리 여왕</t>
        </is>
      </c>
      <c r="B41" s="9" t="inlineStr">
        <is>
          <t>영웅</t>
        </is>
      </c>
      <c r="C41" s="9" t="n">
        <v>44</v>
      </c>
      <c r="D41" s="9" t="n">
        <v>12</v>
      </c>
      <c r="E41" s="9" t="n">
        <v>180</v>
      </c>
      <c r="F41" s="9" t="n">
        <v>116</v>
      </c>
      <c r="G41" s="9" t="n">
        <v>60</v>
      </c>
      <c r="H41" s="9" t="n">
        <v>444</v>
      </c>
      <c r="I41" s="9" t="n">
        <v>191</v>
      </c>
      <c r="J41" s="9" t="n">
        <v>110</v>
      </c>
      <c r="K41" s="9" t="n">
        <v>719</v>
      </c>
      <c r="L41" s="9" t="n">
        <v>266</v>
      </c>
      <c r="M41" s="9" t="n">
        <v>160</v>
      </c>
      <c r="N41" s="9" t="n">
        <v>994</v>
      </c>
      <c r="O41" s="9" t="n">
        <v>341</v>
      </c>
      <c r="P41" s="9" t="n">
        <v>210</v>
      </c>
      <c r="Q41" s="9" t="n">
        <v>1269</v>
      </c>
    </row>
    <row r="42">
      <c r="A42" s="8" t="inlineStr">
        <is>
          <t>수호천사</t>
        </is>
      </c>
      <c r="B42" s="8" t="inlineStr">
        <is>
          <t>영웅</t>
        </is>
      </c>
      <c r="C42" s="8" t="n">
        <v>20</v>
      </c>
      <c r="D42" s="8" t="n">
        <v>25</v>
      </c>
      <c r="E42" s="8" t="n">
        <v>320</v>
      </c>
      <c r="F42" s="8" t="n">
        <v>92</v>
      </c>
      <c r="G42" s="8" t="n">
        <v>73</v>
      </c>
      <c r="H42" s="8" t="n">
        <v>584</v>
      </c>
      <c r="I42" s="8" t="n">
        <v>167</v>
      </c>
      <c r="J42" s="8" t="n">
        <v>123</v>
      </c>
      <c r="K42" s="8" t="n">
        <v>859</v>
      </c>
      <c r="L42" s="8" t="n">
        <v>242</v>
      </c>
      <c r="M42" s="8" t="n">
        <v>173</v>
      </c>
      <c r="N42" s="8" t="n">
        <v>1134</v>
      </c>
      <c r="O42" s="8" t="n">
        <v>317</v>
      </c>
      <c r="P42" s="8" t="n">
        <v>223</v>
      </c>
      <c r="Q42" s="8" t="n">
        <v>1409</v>
      </c>
    </row>
    <row r="43">
      <c r="A43" s="9" t="inlineStr">
        <is>
          <t>시간 마법사</t>
        </is>
      </c>
      <c r="B43" s="9" t="inlineStr">
        <is>
          <t>영웅</t>
        </is>
      </c>
      <c r="C43" s="9" t="n">
        <v>42</v>
      </c>
      <c r="D43" s="9" t="n">
        <v>10</v>
      </c>
      <c r="E43" s="9" t="n">
        <v>170</v>
      </c>
      <c r="F43" s="9" t="n">
        <v>114</v>
      </c>
      <c r="G43" s="9" t="n">
        <v>58</v>
      </c>
      <c r="H43" s="9" t="n">
        <v>434</v>
      </c>
      <c r="I43" s="9" t="n">
        <v>189</v>
      </c>
      <c r="J43" s="9" t="n">
        <v>108</v>
      </c>
      <c r="K43" s="9" t="n">
        <v>709</v>
      </c>
      <c r="L43" s="9" t="n">
        <v>264</v>
      </c>
      <c r="M43" s="9" t="n">
        <v>158</v>
      </c>
      <c r="N43" s="9" t="n">
        <v>984</v>
      </c>
      <c r="O43" s="9" t="n">
        <v>339</v>
      </c>
      <c r="P43" s="9" t="n">
        <v>208</v>
      </c>
      <c r="Q43" s="9" t="n">
        <v>1259</v>
      </c>
    </row>
    <row r="44">
      <c r="A44" s="8" t="inlineStr">
        <is>
          <t>공허의 왕</t>
        </is>
      </c>
      <c r="B44" s="8" t="inlineStr">
        <is>
          <t>전설</t>
        </is>
      </c>
      <c r="C44" s="8" t="n">
        <v>65</v>
      </c>
      <c r="D44" s="8" t="n">
        <v>20</v>
      </c>
      <c r="E44" s="8" t="n">
        <v>400</v>
      </c>
      <c r="F44" s="8" t="n">
        <v>161</v>
      </c>
      <c r="G44" s="8" t="n">
        <v>92</v>
      </c>
      <c r="H44" s="8" t="n">
        <v>760</v>
      </c>
      <c r="I44" s="8" t="n">
        <v>261</v>
      </c>
      <c r="J44" s="8" t="n">
        <v>167</v>
      </c>
      <c r="K44" s="8" t="n">
        <v>1135</v>
      </c>
      <c r="L44" s="8" t="n">
        <v>361</v>
      </c>
      <c r="M44" s="8" t="n">
        <v>242</v>
      </c>
      <c r="N44" s="8" t="n">
        <v>1510</v>
      </c>
      <c r="O44" s="8" t="n">
        <v>461</v>
      </c>
      <c r="P44" s="8" t="n">
        <v>317</v>
      </c>
      <c r="Q44" s="8" t="n">
        <v>1885</v>
      </c>
    </row>
    <row r="45">
      <c r="A45" s="9" t="inlineStr">
        <is>
          <t>세계수 정령</t>
        </is>
      </c>
      <c r="B45" s="9" t="inlineStr">
        <is>
          <t>전설</t>
        </is>
      </c>
      <c r="C45" s="9" t="n">
        <v>25</v>
      </c>
      <c r="D45" s="9" t="n">
        <v>30</v>
      </c>
      <c r="E45" s="9" t="n">
        <v>600</v>
      </c>
      <c r="F45" s="9" t="n">
        <v>121</v>
      </c>
      <c r="G45" s="9" t="n">
        <v>102</v>
      </c>
      <c r="H45" s="9" t="n">
        <v>960</v>
      </c>
      <c r="I45" s="9" t="n">
        <v>221</v>
      </c>
      <c r="J45" s="9" t="n">
        <v>177</v>
      </c>
      <c r="K45" s="9" t="n">
        <v>1335</v>
      </c>
      <c r="L45" s="9" t="n">
        <v>321</v>
      </c>
      <c r="M45" s="9" t="n">
        <v>252</v>
      </c>
      <c r="N45" s="9" t="n">
        <v>1710</v>
      </c>
      <c r="O45" s="9" t="n">
        <v>421</v>
      </c>
      <c r="P45" s="9" t="n">
        <v>327</v>
      </c>
      <c r="Q45" s="9" t="n">
        <v>2085</v>
      </c>
    </row>
    <row r="46">
      <c r="A46" s="8" t="inlineStr">
        <is>
          <t>세라핌</t>
        </is>
      </c>
      <c r="B46" s="8" t="inlineStr">
        <is>
          <t>전설</t>
        </is>
      </c>
      <c r="C46" s="8" t="n">
        <v>35</v>
      </c>
      <c r="D46" s="8" t="n">
        <v>25</v>
      </c>
      <c r="E46" s="8" t="n">
        <v>400</v>
      </c>
      <c r="F46" s="8" t="n">
        <v>131</v>
      </c>
      <c r="G46" s="8" t="n">
        <v>97</v>
      </c>
      <c r="H46" s="8" t="n">
        <v>760</v>
      </c>
      <c r="I46" s="8" t="n">
        <v>231</v>
      </c>
      <c r="J46" s="8" t="n">
        <v>172</v>
      </c>
      <c r="K46" s="8" t="n">
        <v>1135</v>
      </c>
      <c r="L46" s="8" t="n">
        <v>331</v>
      </c>
      <c r="M46" s="8" t="n">
        <v>247</v>
      </c>
      <c r="N46" s="8" t="n">
        <v>1510</v>
      </c>
      <c r="O46" s="8" t="n">
        <v>431</v>
      </c>
      <c r="P46" s="8" t="n">
        <v>322</v>
      </c>
      <c r="Q46" s="8" t="n">
        <v>1885</v>
      </c>
    </row>
    <row r="47">
      <c r="A47" s="9" t="inlineStr">
        <is>
          <t>죽음의 기사</t>
        </is>
      </c>
      <c r="B47" s="9" t="inlineStr">
        <is>
          <t>전설</t>
        </is>
      </c>
      <c r="C47" s="9" t="n">
        <v>55</v>
      </c>
      <c r="D47" s="9" t="n">
        <v>35</v>
      </c>
      <c r="E47" s="9" t="n">
        <v>500</v>
      </c>
      <c r="F47" s="9" t="n">
        <v>151</v>
      </c>
      <c r="G47" s="9" t="n">
        <v>107</v>
      </c>
      <c r="H47" s="9" t="n">
        <v>860</v>
      </c>
      <c r="I47" s="9" t="n">
        <v>251</v>
      </c>
      <c r="J47" s="9" t="n">
        <v>182</v>
      </c>
      <c r="K47" s="9" t="n">
        <v>1235</v>
      </c>
      <c r="L47" s="9" t="n">
        <v>351</v>
      </c>
      <c r="M47" s="9" t="n">
        <v>257</v>
      </c>
      <c r="N47" s="9" t="n">
        <v>1610</v>
      </c>
      <c r="O47" s="9" t="n">
        <v>451</v>
      </c>
      <c r="P47" s="9" t="n">
        <v>332</v>
      </c>
      <c r="Q47" s="9" t="n">
        <v>1985</v>
      </c>
    </row>
    <row r="48">
      <c r="A48" s="8" t="inlineStr">
        <is>
          <t>천상의 기사</t>
        </is>
      </c>
      <c r="B48" s="8" t="inlineStr">
        <is>
          <t>전설</t>
        </is>
      </c>
      <c r="C48" s="8" t="n">
        <v>60</v>
      </c>
      <c r="D48" s="8" t="n">
        <v>40</v>
      </c>
      <c r="E48" s="8" t="n">
        <v>550</v>
      </c>
      <c r="F48" s="8" t="n">
        <v>156</v>
      </c>
      <c r="G48" s="8" t="n">
        <v>112</v>
      </c>
      <c r="H48" s="8" t="n">
        <v>910</v>
      </c>
      <c r="I48" s="8" t="n">
        <v>256</v>
      </c>
      <c r="J48" s="8" t="n">
        <v>187</v>
      </c>
      <c r="K48" s="8" t="n">
        <v>1285</v>
      </c>
      <c r="L48" s="8" t="n">
        <v>356</v>
      </c>
      <c r="M48" s="8" t="n">
        <v>262</v>
      </c>
      <c r="N48" s="8" t="n">
        <v>1660</v>
      </c>
      <c r="O48" s="8" t="n">
        <v>456</v>
      </c>
      <c r="P48" s="8" t="n">
        <v>337</v>
      </c>
      <c r="Q48" s="8" t="n">
        <v>2035</v>
      </c>
    </row>
    <row r="49">
      <c r="A49" s="9" t="inlineStr">
        <is>
          <t>혼돈의 군주</t>
        </is>
      </c>
      <c r="B49" s="9" t="inlineStr">
        <is>
          <t>전설</t>
        </is>
      </c>
      <c r="C49" s="9" t="n">
        <v>62</v>
      </c>
      <c r="D49" s="9" t="n">
        <v>22</v>
      </c>
      <c r="E49" s="9" t="n">
        <v>420</v>
      </c>
      <c r="F49" s="9" t="n">
        <v>158</v>
      </c>
      <c r="G49" s="9" t="n">
        <v>94</v>
      </c>
      <c r="H49" s="9" t="n">
        <v>780</v>
      </c>
      <c r="I49" s="9" t="n">
        <v>258</v>
      </c>
      <c r="J49" s="9" t="n">
        <v>169</v>
      </c>
      <c r="K49" s="9" t="n">
        <v>1155</v>
      </c>
      <c r="L49" s="9" t="n">
        <v>358</v>
      </c>
      <c r="M49" s="9" t="n">
        <v>244</v>
      </c>
      <c r="N49" s="9" t="n">
        <v>1530</v>
      </c>
      <c r="O49" s="9" t="n">
        <v>458</v>
      </c>
      <c r="P49" s="9" t="n">
        <v>319</v>
      </c>
      <c r="Q49" s="9" t="n">
        <v>1905</v>
      </c>
    </row>
    <row r="50">
      <c r="A50" s="8" t="inlineStr">
        <is>
          <t>세계의 끝</t>
        </is>
      </c>
      <c r="B50" s="8" t="inlineStr">
        <is>
          <t>신화</t>
        </is>
      </c>
      <c r="C50" s="8" t="n">
        <v>95</v>
      </c>
      <c r="D50" s="8" t="n">
        <v>55</v>
      </c>
      <c r="E50" s="8" t="n">
        <v>900</v>
      </c>
      <c r="F50" s="8" t="n">
        <v>263</v>
      </c>
      <c r="G50" s="8" t="n">
        <v>175</v>
      </c>
      <c r="H50" s="8" t="n">
        <v>1500</v>
      </c>
      <c r="I50" s="8" t="n">
        <v>438</v>
      </c>
      <c r="J50" s="8" t="n">
        <v>300</v>
      </c>
      <c r="K50" s="8" t="n">
        <v>2125</v>
      </c>
      <c r="L50" s="8" t="n">
        <v>613</v>
      </c>
      <c r="M50" s="8" t="n">
        <v>425</v>
      </c>
      <c r="N50" s="8" t="n">
        <v>2750</v>
      </c>
      <c r="O50" s="8" t="n">
        <v>788</v>
      </c>
      <c r="P50" s="8" t="n">
        <v>550</v>
      </c>
      <c r="Q50" s="8" t="n">
        <v>3375</v>
      </c>
    </row>
    <row r="51">
      <c r="A51" s="9" t="inlineStr">
        <is>
          <t>용왕 바하무트</t>
        </is>
      </c>
      <c r="B51" s="9" t="inlineStr">
        <is>
          <t>신화</t>
        </is>
      </c>
      <c r="C51" s="9" t="n">
        <v>100</v>
      </c>
      <c r="D51" s="9" t="n">
        <v>60</v>
      </c>
      <c r="E51" s="9" t="n">
        <v>1000</v>
      </c>
      <c r="F51" s="9" t="n">
        <v>268</v>
      </c>
      <c r="G51" s="9" t="n">
        <v>180</v>
      </c>
      <c r="H51" s="9" t="n">
        <v>1600</v>
      </c>
      <c r="I51" s="9" t="n">
        <v>443</v>
      </c>
      <c r="J51" s="9" t="n">
        <v>305</v>
      </c>
      <c r="K51" s="9" t="n">
        <v>2225</v>
      </c>
      <c r="L51" s="9" t="n">
        <v>618</v>
      </c>
      <c r="M51" s="9" t="n">
        <v>430</v>
      </c>
      <c r="N51" s="9" t="n">
        <v>2850</v>
      </c>
      <c r="O51" s="9" t="n">
        <v>793</v>
      </c>
      <c r="P51" s="9" t="n">
        <v>555</v>
      </c>
      <c r="Q51" s="9" t="n">
        <v>3475</v>
      </c>
    </row>
    <row r="52">
      <c r="A52" s="8" t="inlineStr">
        <is>
          <t>전쟁의 신</t>
        </is>
      </c>
      <c r="B52" s="8" t="inlineStr">
        <is>
          <t>신화</t>
        </is>
      </c>
      <c r="C52" s="8" t="n">
        <v>90</v>
      </c>
      <c r="D52" s="8" t="n">
        <v>50</v>
      </c>
      <c r="E52" s="8" t="n">
        <v>800</v>
      </c>
      <c r="F52" s="8" t="n">
        <v>258</v>
      </c>
      <c r="G52" s="8" t="n">
        <v>170</v>
      </c>
      <c r="H52" s="8" t="n">
        <v>1400</v>
      </c>
      <c r="I52" s="8" t="n">
        <v>433</v>
      </c>
      <c r="J52" s="8" t="n">
        <v>295</v>
      </c>
      <c r="K52" s="8" t="n">
        <v>2025</v>
      </c>
      <c r="L52" s="8" t="n">
        <v>608</v>
      </c>
      <c r="M52" s="8" t="n">
        <v>420</v>
      </c>
      <c r="N52" s="8" t="n">
        <v>2650</v>
      </c>
      <c r="O52" s="8" t="n">
        <v>783</v>
      </c>
      <c r="P52" s="8" t="n">
        <v>545</v>
      </c>
      <c r="Q52" s="8" t="n">
        <v>3275</v>
      </c>
    </row>
  </sheetData>
  <mergeCells count="1">
    <mergeCell ref="A1:Q1"/>
  </mergeCell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2" customWidth="1" min="1" max="1"/>
    <col width="28" customWidth="1" min="2" max="2"/>
    <col width="30" customWidth="1" min="3" max="3"/>
    <col width="18" customWidth="1" min="4" max="4"/>
    <col width="40" customWidth="1" min="5" max="5"/>
  </cols>
  <sheetData>
    <row r="1">
      <c r="A1" s="6" t="inlineStr">
        <is>
          <t>IO 매치 타임라인 (10분 서바이벌)</t>
        </is>
      </c>
    </row>
    <row r="3">
      <c r="A3" s="7" t="inlineStr">
        <is>
          <t>시간(분:초)</t>
        </is>
      </c>
      <c r="B3" s="7" t="inlineStr">
        <is>
          <t>이벤트</t>
        </is>
      </c>
      <c r="C3" s="7" t="inlineStr">
        <is>
          <t>몬스터/효과</t>
        </is>
      </c>
      <c r="D3" s="7" t="inlineStr">
        <is>
          <t>플레이어 예상 레벨</t>
        </is>
      </c>
      <c r="E3" s="7" t="inlineStr">
        <is>
          <t>전략 포인트</t>
        </is>
      </c>
    </row>
    <row r="4">
      <c r="A4" s="8" t="inlineStr">
        <is>
          <t>0:00</t>
        </is>
      </c>
      <c r="B4" s="8" t="inlineStr">
        <is>
          <t>게임 시작 – 맵 스폰</t>
        </is>
      </c>
      <c r="C4" s="8" t="inlineStr">
        <is>
          <t>없음</t>
        </is>
      </c>
      <c r="D4" s="8" t="inlineStr">
        <is>
          <t>Lv.1</t>
        </is>
      </c>
      <c r="E4" s="8" t="inlineStr">
        <is>
          <t>스폰 위치 확인, 주변 무기 상자 파악</t>
        </is>
      </c>
    </row>
    <row r="5">
      <c r="A5" s="9" t="inlineStr">
        <is>
          <t>0:10</t>
        </is>
      </c>
      <c r="B5" s="9" t="inlineStr">
        <is>
          <t>첫 무기 상자 획득</t>
        </is>
      </c>
      <c r="C5" s="9" t="inlineStr">
        <is>
          <t>없음</t>
        </is>
      </c>
      <c r="D5" s="9" t="inlineStr">
        <is>
          <t>Lv.1</t>
        </is>
      </c>
      <c r="E5" s="9" t="inlineStr">
        <is>
          <t>가장 가까운 상자로 이동, 기본 무기 확보</t>
        </is>
      </c>
    </row>
    <row r="6">
      <c r="A6" s="8" t="inlineStr">
        <is>
          <t>0:20</t>
        </is>
      </c>
      <c r="B6" s="8" t="inlineStr">
        <is>
          <t>첫 무기 선택 완료</t>
        </is>
      </c>
      <c r="C6" s="8" t="inlineStr">
        <is>
          <t>없음</t>
        </is>
      </c>
      <c r="D6" s="8" t="inlineStr">
        <is>
          <t>Lv.1</t>
        </is>
      </c>
      <c r="E6" s="8" t="inlineStr">
        <is>
          <t>파이어볼/회전검 등 초반 효율 무기 추천</t>
        </is>
      </c>
    </row>
    <row r="7">
      <c r="A7" s="9" t="inlineStr">
        <is>
          <t>0:30</t>
        </is>
      </c>
      <c r="B7" s="9" t="inlineStr">
        <is>
          <t>웨이브 1 시작</t>
        </is>
      </c>
      <c r="C7" s="9" t="inlineStr">
        <is>
          <t>슬라임 x5</t>
        </is>
      </c>
      <c r="D7" s="9" t="inlineStr">
        <is>
          <t>Lv.1</t>
        </is>
      </c>
      <c r="E7" s="9" t="inlineStr">
        <is>
          <t>뭉쳐서 처리, 골드 수집 시작</t>
        </is>
      </c>
    </row>
    <row r="8">
      <c r="A8" s="8" t="inlineStr">
        <is>
          <t>0:45</t>
        </is>
      </c>
      <c r="B8" s="8" t="inlineStr">
        <is>
          <t>웨이브 2</t>
        </is>
      </c>
      <c r="C8" s="8" t="inlineStr">
        <is>
          <t>슬라임 x8, 박쥐 x3</t>
        </is>
      </c>
      <c r="D8" s="8" t="inlineStr">
        <is>
          <t>Lv.2</t>
        </is>
      </c>
      <c r="E8" s="8" t="inlineStr">
        <is>
          <t>박쥐 우선 처리 (원거리 공격 주의)</t>
        </is>
      </c>
    </row>
    <row r="9">
      <c r="A9" s="9" t="inlineStr">
        <is>
          <t>1:00</t>
        </is>
      </c>
      <c r="B9" s="9" t="inlineStr">
        <is>
          <t>웨이브 3~4 연속</t>
        </is>
      </c>
      <c r="C9" s="9" t="inlineStr">
        <is>
          <t>늑대 x6, 거미 x4</t>
        </is>
      </c>
      <c r="D9" s="9" t="inlineStr">
        <is>
          <t>Lv.2</t>
        </is>
      </c>
      <c r="E9" s="9" t="inlineStr">
        <is>
          <t>늑대 돌진 회피, 거미 독 장판 주의</t>
        </is>
      </c>
    </row>
    <row r="10">
      <c r="A10" s="8" t="inlineStr">
        <is>
          <t>1:20</t>
        </is>
      </c>
      <c r="B10" s="8" t="inlineStr">
        <is>
          <t>웨이브 5 – 첫 보스!</t>
        </is>
      </c>
      <c r="C10" s="8" t="inlineStr">
        <is>
          <t>슬라임킹 (HP 500)</t>
        </is>
      </c>
      <c r="D10" s="8" t="inlineStr">
        <is>
          <t>Lv.3</t>
        </is>
      </c>
      <c r="E10" s="8" t="inlineStr">
        <is>
          <t>원형 패턴 회피, 분열 슬라임 무시하고 본체 집중</t>
        </is>
      </c>
    </row>
    <row r="11">
      <c r="A11" s="9" t="inlineStr">
        <is>
          <t>1:40</t>
        </is>
      </c>
      <c r="B11" s="9" t="inlineStr">
        <is>
          <t>보스 처치 보상</t>
        </is>
      </c>
      <c r="C11" s="9" t="inlineStr">
        <is>
          <t>골드 100 + 장비 상자</t>
        </is>
      </c>
      <c r="D11" s="9" t="inlineStr">
        <is>
          <t>Lv.3</t>
        </is>
      </c>
      <c r="E11" s="9" t="inlineStr">
        <is>
          <t>장비 즉시 장착, 2번째 무기 슬롯 개방</t>
        </is>
      </c>
    </row>
    <row r="12">
      <c r="A12" s="8" t="inlineStr">
        <is>
          <t>2:00</t>
        </is>
      </c>
      <c r="B12" s="8" t="inlineStr">
        <is>
          <t>웨이브 6~8</t>
        </is>
      </c>
      <c r="C12" s="8" t="inlineStr">
        <is>
          <t>고블린 x8, 해골 x5, 트렌트 x3</t>
        </is>
      </c>
      <c r="D12" s="8" t="inlineStr">
        <is>
          <t>Lv.4</t>
        </is>
      </c>
      <c r="E12" s="8" t="inlineStr">
        <is>
          <t>트렌트 고HP 주의, 고블린 회피기 있음</t>
        </is>
      </c>
    </row>
    <row r="13">
      <c r="A13" s="9" t="inlineStr">
        <is>
          <t>2:30</t>
        </is>
      </c>
      <c r="B13" s="9" t="inlineStr">
        <is>
          <t>웨이브 9~10 – 혼합</t>
        </is>
      </c>
      <c r="C13" s="9" t="inlineStr">
        <is>
          <t>좀비 x10, 거미 x5, 늑대 x5</t>
        </is>
      </c>
      <c r="D13" s="9" t="inlineStr">
        <is>
          <t>Lv.5</t>
        </is>
      </c>
      <c r="E13" s="9" t="inlineStr">
        <is>
          <t>좀비 밀집 시 범위 스킬 사용, 장비 드롭 수집</t>
        </is>
      </c>
    </row>
    <row r="14">
      <c r="A14" s="8" t="inlineStr">
        <is>
          <t>3:00</t>
        </is>
      </c>
      <c r="B14" s="8" t="inlineStr">
        <is>
          <t>웨이브 11~12 – 엘리트 등장</t>
        </is>
      </c>
      <c r="C14" s="8" t="inlineStr">
        <is>
          <t>오크 전사 x2, 일반몹 혼합</t>
        </is>
      </c>
      <c r="D14" s="8" t="inlineStr">
        <is>
          <t>Lv.5</t>
        </is>
      </c>
      <c r="E14" s="8" t="inlineStr">
        <is>
          <t>엘리트 우선 처치 (용병 카드 드롭 가능)</t>
        </is>
      </c>
    </row>
    <row r="15">
      <c r="A15" s="9" t="inlineStr">
        <is>
          <t>3:20</t>
        </is>
      </c>
      <c r="B15" s="9" t="inlineStr">
        <is>
          <t>PvP 활성화 알림</t>
        </is>
      </c>
      <c r="C15" s="9" t="inlineStr">
        <is>
          <t>다른 플레이어 접근 경고</t>
        </is>
      </c>
      <c r="D15" s="9" t="inlineStr">
        <is>
          <t>Lv.6</t>
        </is>
      </c>
      <c r="E15" s="9" t="inlineStr">
        <is>
          <t>맵 중앙 피하고 가장자리에서 파밍 유지</t>
        </is>
      </c>
    </row>
    <row r="16">
      <c r="A16" s="8" t="inlineStr">
        <is>
          <t>3:40</t>
        </is>
      </c>
      <c r="B16" s="8" t="inlineStr">
        <is>
          <t>웨이브 13~15</t>
        </is>
      </c>
      <c r="C16" s="8" t="inlineStr">
        <is>
          <t>암흑 기사 x1, 독 거미 x3, 일반몹</t>
        </is>
      </c>
      <c r="D16" s="8" t="inlineStr">
        <is>
          <t>Lv.6</t>
        </is>
      </c>
      <c r="E16" s="8" t="inlineStr">
        <is>
          <t>암흑 기사 방어력 높음 → CC 스킬 필수</t>
        </is>
      </c>
    </row>
    <row r="17">
      <c r="A17" s="9" t="inlineStr">
        <is>
          <t>4:00</t>
        </is>
      </c>
      <c r="B17" s="9" t="inlineStr">
        <is>
          <t>안전지대 1차 축소</t>
        </is>
      </c>
      <c r="C17" s="9" t="inlineStr">
        <is>
          <t>축소 경고 표시</t>
        </is>
      </c>
      <c r="D17" s="9" t="inlineStr">
        <is>
          <t>Lv.7</t>
        </is>
      </c>
      <c r="E17" s="9" t="inlineStr">
        <is>
          <t>맵 가장자리 이탈, 중앙 방향 이동 시작</t>
        </is>
      </c>
    </row>
    <row r="18">
      <c r="A18" s="8" t="inlineStr">
        <is>
          <t>4:15</t>
        </is>
      </c>
      <c r="B18" s="8" t="inlineStr">
        <is>
          <t>웨이브 16~18</t>
        </is>
      </c>
      <c r="C18" s="8" t="inlineStr">
        <is>
          <t>화염 정령 x2, 얼음 골렘 x1, 혼합</t>
        </is>
      </c>
      <c r="D18" s="8" t="inlineStr">
        <is>
          <t>Lv.7</t>
        </is>
      </c>
      <c r="E18" s="8" t="inlineStr">
        <is>
          <t>화염 정령 원거리 주의, 골렘은 느리지만 고HP</t>
        </is>
      </c>
    </row>
    <row r="19">
      <c r="A19" s="9" t="inlineStr">
        <is>
          <t>4:40</t>
        </is>
      </c>
      <c r="B19" s="9" t="inlineStr">
        <is>
          <t>웨이브 19~20 – 중반 보스!</t>
        </is>
      </c>
      <c r="C19" s="9" t="inlineStr">
        <is>
          <t>드래곤 (HP 2000)</t>
        </is>
      </c>
      <c r="D19" s="9" t="inlineStr">
        <is>
          <t>Lv.8</t>
        </is>
      </c>
      <c r="E19" s="9" t="inlineStr">
        <is>
          <t>브레스 범위 회피, 비행 중 원거리 공격만 유효</t>
        </is>
      </c>
    </row>
    <row r="20">
      <c r="A20" s="8" t="inlineStr">
        <is>
          <t>5:00</t>
        </is>
      </c>
      <c r="B20" s="8" t="inlineStr">
        <is>
          <t>안전지대 2차 축소</t>
        </is>
      </c>
      <c r="C20" s="8" t="inlineStr">
        <is>
          <t>강제 접전 구간 시작</t>
        </is>
      </c>
      <c r="D20" s="8" t="inlineStr">
        <is>
          <t>Lv.8</t>
        </is>
      </c>
      <c r="E20" s="8" t="inlineStr">
        <is>
          <t>드래곤 보상 확보 후 즉시 이동, PvP 교전 각오</t>
        </is>
      </c>
    </row>
    <row r="21">
      <c r="A21" s="9" t="inlineStr">
        <is>
          <t>5:20</t>
        </is>
      </c>
      <c r="B21" s="9" t="inlineStr">
        <is>
          <t>웨이브 21~23</t>
        </is>
      </c>
      <c r="C21" s="9" t="inlineStr">
        <is>
          <t>엘리트 혼합 x5, PvP 동시 진행</t>
        </is>
      </c>
      <c r="D21" s="9" t="inlineStr">
        <is>
          <t>Lv.9</t>
        </is>
      </c>
      <c r="E21" s="9" t="inlineStr">
        <is>
          <t>몬스터를 방패로 활용, 적 플레이어와 직접 교전 회피</t>
        </is>
      </c>
    </row>
    <row r="22">
      <c r="A22" s="8" t="inlineStr">
        <is>
          <t>5:50</t>
        </is>
      </c>
      <c r="B22" s="8" t="inlineStr">
        <is>
          <t>웨이브 24~25 – 격전</t>
        </is>
      </c>
      <c r="C22" s="8" t="inlineStr">
        <is>
          <t>모든 엘리트 종류 혼합 x8</t>
        </is>
      </c>
      <c r="D22" s="8" t="inlineStr">
        <is>
          <t>Lv.9</t>
        </is>
      </c>
      <c r="E22" s="8" t="inlineStr">
        <is>
          <t>무기 Lv.5 조합 완성 목표, 조합 실패 시 3무기 병행</t>
        </is>
      </c>
    </row>
    <row r="23">
      <c r="A23" s="9" t="inlineStr">
        <is>
          <t>6:00</t>
        </is>
      </c>
      <c r="B23" s="9" t="inlineStr">
        <is>
          <t>웨이브 26~28</t>
        </is>
      </c>
      <c r="C23" s="9" t="inlineStr">
        <is>
          <t>엘리트 러쉬 + 일반몹 대량</t>
        </is>
      </c>
      <c r="D23" s="9" t="inlineStr">
        <is>
          <t>Lv.10</t>
        </is>
      </c>
      <c r="E23" s="9" t="inlineStr">
        <is>
          <t>범위 스킬 집중, 포션/회복 아이템 사용 타이밍</t>
        </is>
      </c>
    </row>
    <row r="24">
      <c r="A24" s="8" t="inlineStr">
        <is>
          <t>6:30</t>
        </is>
      </c>
      <c r="B24" s="8" t="inlineStr">
        <is>
          <t>웨이브 29~30 – 마왕!</t>
        </is>
      </c>
      <c r="C24" s="8" t="inlineStr">
        <is>
          <t>마왕 (HP 5000)</t>
        </is>
      </c>
      <c r="D24" s="8" t="inlineStr">
        <is>
          <t>Lv.10</t>
        </is>
      </c>
      <c r="E24" s="8" t="inlineStr">
        <is>
          <t>암흑 장판 회피, 소환수 무시하고 본체 집중 공격</t>
        </is>
      </c>
    </row>
    <row r="25">
      <c r="A25" s="9" t="inlineStr">
        <is>
          <t>7:00</t>
        </is>
      </c>
      <c r="B25" s="9" t="inlineStr">
        <is>
          <t>마왕 처치 / 안전지대 3차 축소</t>
        </is>
      </c>
      <c r="C25" s="9" t="inlineStr">
        <is>
          <t>전설 장비 드롭 + 맵 극소화</t>
        </is>
      </c>
      <c r="D25" s="9" t="inlineStr">
        <is>
          <t>Lv.11</t>
        </is>
      </c>
      <c r="E25" s="9" t="inlineStr">
        <is>
          <t>전설 장비 즉시 장착, 최종 빌드 완성</t>
        </is>
      </c>
    </row>
    <row r="26">
      <c r="A26" s="8" t="inlineStr">
        <is>
          <t>7:30</t>
        </is>
      </c>
      <c r="B26" s="8" t="inlineStr">
        <is>
          <t>웨이브 31~33 – 카오스</t>
        </is>
      </c>
      <c r="C26" s="8" t="inlineStr">
        <is>
          <t>모든 몬스터 강화 버전 혼합</t>
        </is>
      </c>
      <c r="D26" s="8" t="inlineStr">
        <is>
          <t>Lv.11</t>
        </is>
      </c>
      <c r="E26" s="8" t="inlineStr">
        <is>
          <t>카오스 몹 패턴 변형 주의, 방어 우선 플레이</t>
        </is>
      </c>
    </row>
    <row r="27">
      <c r="A27" s="9" t="inlineStr">
        <is>
          <t>8:00</t>
        </is>
      </c>
      <c r="B27" s="9" t="inlineStr">
        <is>
          <t>웨이브 34~35 – 최종 전쟁</t>
        </is>
      </c>
      <c r="C27" s="9" t="inlineStr">
        <is>
          <t>강화 엘리트 + 미니보스 동시</t>
        </is>
      </c>
      <c r="D27" s="9" t="inlineStr">
        <is>
          <t>Lv.12</t>
        </is>
      </c>
      <c r="E27" s="9" t="inlineStr">
        <is>
          <t>생존이 최우선, 무리한 PvP 금지</t>
        </is>
      </c>
    </row>
    <row r="28">
      <c r="A28" s="8" t="inlineStr">
        <is>
          <t>8:30</t>
        </is>
      </c>
      <c r="B28" s="8" t="inlineStr">
        <is>
          <t>최종 웨이브 36~38</t>
        </is>
      </c>
      <c r="C28" s="8" t="inlineStr">
        <is>
          <t>세계의 적 (HP 10000) 등장</t>
        </is>
      </c>
      <c r="D28" s="8" t="inlineStr">
        <is>
          <t>Lv.12</t>
        </is>
      </c>
      <c r="E28" s="8" t="inlineStr">
        <is>
          <t>모든 생존자 협력 필요, 세계의 적 공동 공격</t>
        </is>
      </c>
    </row>
    <row r="29">
      <c r="A29" s="9" t="inlineStr">
        <is>
          <t>9:00</t>
        </is>
      </c>
      <c r="B29" s="9" t="inlineStr">
        <is>
          <t>웨이브 39~40 – 절정</t>
        </is>
      </c>
      <c r="C29" s="9" t="inlineStr">
        <is>
          <t>세계의 적 광역 패턴 + 잔여 몹</t>
        </is>
      </c>
      <c r="D29" s="9" t="inlineStr">
        <is>
          <t>Lv.13</t>
        </is>
      </c>
      <c r="E29" s="9" t="inlineStr">
        <is>
          <t>회피 최우선, 패턴 사이 딜 삽입, 최후의 1인 노림</t>
        </is>
      </c>
    </row>
    <row r="30">
      <c r="A30" s="8" t="inlineStr">
        <is>
          <t>9:30~10:00</t>
        </is>
      </c>
      <c r="B30" s="8" t="inlineStr">
        <is>
          <t>최종 생존자 결정</t>
        </is>
      </c>
      <c r="C30" s="8" t="inlineStr">
        <is>
          <t>승리 판정</t>
        </is>
      </c>
      <c r="D30" s="8" t="inlineStr">
        <is>
          <t>Lv.13</t>
        </is>
      </c>
      <c r="E30" s="8" t="inlineStr">
        <is>
          <t>세계의 적 처치 or 최후 생존 시 1등, 순위별 보상 지급</t>
        </is>
      </c>
    </row>
  </sheetData>
  <mergeCells count="1">
    <mergeCell ref="A1:E1"/>
  </mergeCell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14" customWidth="1" min="1" max="1"/>
    <col width="10" customWidth="1" min="2" max="2"/>
    <col width="8" customWidth="1" min="3" max="3"/>
    <col width="8" customWidth="1" min="4" max="4"/>
    <col width="8" customWidth="1" min="5" max="5"/>
    <col width="8" customWidth="1" min="6" max="6"/>
    <col width="12" customWidth="1" min="7" max="7"/>
    <col width="14" customWidth="1" min="8" max="8"/>
    <col width="12" customWidth="1" min="9" max="9"/>
    <col width="12" customWidth="1" min="10" max="10"/>
    <col width="22" customWidth="1" min="11" max="11"/>
  </cols>
  <sheetData>
    <row r="1">
      <c r="A1" s="6" t="inlineStr">
        <is>
          <t>몬스터 드롭표 전체 (IO 서바이벌 + 필드)</t>
        </is>
      </c>
    </row>
    <row r="3">
      <c r="A3" s="7" t="inlineStr">
        <is>
          <t>몬스터</t>
        </is>
      </c>
      <c r="B3" s="7" t="inlineStr">
        <is>
          <t>등급</t>
        </is>
      </c>
      <c r="C3" s="7" t="inlineStr">
        <is>
          <t>HP</t>
        </is>
      </c>
      <c r="D3" s="7" t="inlineStr">
        <is>
          <t>ATK</t>
        </is>
      </c>
      <c r="E3" s="7" t="inlineStr">
        <is>
          <t>골드</t>
        </is>
      </c>
      <c r="F3" s="7" t="inlineStr">
        <is>
          <t>EXP</t>
        </is>
      </c>
      <c r="G3" s="7" t="inlineStr">
        <is>
          <t>장비 드롭%</t>
        </is>
      </c>
      <c r="H3" s="7" t="inlineStr">
        <is>
          <t>장비 등급</t>
        </is>
      </c>
      <c r="I3" s="7" t="inlineStr">
        <is>
          <t>용병 카드%</t>
        </is>
      </c>
      <c r="J3" s="7" t="inlineStr">
        <is>
          <t>카드 등급</t>
        </is>
      </c>
      <c r="K3" s="7" t="inlineStr">
        <is>
          <t>특수 드롭</t>
        </is>
      </c>
    </row>
    <row r="4">
      <c r="A4" s="8" t="inlineStr">
        <is>
          <t>슬라임</t>
        </is>
      </c>
      <c r="B4" s="8" t="inlineStr">
        <is>
          <t>일반</t>
        </is>
      </c>
      <c r="C4" s="8" t="n">
        <v>50</v>
      </c>
      <c r="D4" s="8" t="n">
        <v>5</v>
      </c>
      <c r="E4" s="8" t="n">
        <v>3</v>
      </c>
      <c r="F4" s="8" t="n">
        <v>5</v>
      </c>
      <c r="G4" s="8" t="inlineStr">
        <is>
          <t>5%</t>
        </is>
      </c>
      <c r="H4" s="8" t="inlineStr">
        <is>
          <t>일반</t>
        </is>
      </c>
      <c r="I4" s="8" t="inlineStr">
        <is>
          <t>1%</t>
        </is>
      </c>
      <c r="J4" s="8" t="inlineStr">
        <is>
          <t>C</t>
        </is>
      </c>
      <c r="K4" s="8" t="inlineStr">
        <is>
          <t>없음</t>
        </is>
      </c>
    </row>
    <row r="5">
      <c r="A5" s="9" t="inlineStr">
        <is>
          <t>늑대</t>
        </is>
      </c>
      <c r="B5" s="9" t="inlineStr">
        <is>
          <t>일반</t>
        </is>
      </c>
      <c r="C5" s="9" t="n">
        <v>80</v>
      </c>
      <c r="D5" s="9" t="n">
        <v>12</v>
      </c>
      <c r="E5" s="9" t="n">
        <v>5</v>
      </c>
      <c r="F5" s="9" t="n">
        <v>8</v>
      </c>
      <c r="G5" s="9" t="inlineStr">
        <is>
          <t>7%</t>
        </is>
      </c>
      <c r="H5" s="9" t="inlineStr">
        <is>
          <t>일반</t>
        </is>
      </c>
      <c r="I5" s="9" t="inlineStr">
        <is>
          <t>1%</t>
        </is>
      </c>
      <c r="J5" s="9" t="inlineStr">
        <is>
          <t>C</t>
        </is>
      </c>
      <c r="K5" s="9" t="inlineStr">
        <is>
          <t>없음</t>
        </is>
      </c>
    </row>
    <row r="6">
      <c r="A6" s="8" t="inlineStr">
        <is>
          <t>박쥐</t>
        </is>
      </c>
      <c r="B6" s="8" t="inlineStr">
        <is>
          <t>일반</t>
        </is>
      </c>
      <c r="C6" s="8" t="n">
        <v>40</v>
      </c>
      <c r="D6" s="8" t="n">
        <v>8</v>
      </c>
      <c r="E6" s="8" t="n">
        <v>4</v>
      </c>
      <c r="F6" s="8" t="n">
        <v>6</v>
      </c>
      <c r="G6" s="8" t="inlineStr">
        <is>
          <t>5%</t>
        </is>
      </c>
      <c r="H6" s="8" t="inlineStr">
        <is>
          <t>일반</t>
        </is>
      </c>
      <c r="I6" s="8" t="inlineStr">
        <is>
          <t>1%</t>
        </is>
      </c>
      <c r="J6" s="8" t="inlineStr">
        <is>
          <t>C</t>
        </is>
      </c>
      <c r="K6" s="8" t="inlineStr">
        <is>
          <t>없음</t>
        </is>
      </c>
    </row>
    <row r="7">
      <c r="A7" s="9" t="inlineStr">
        <is>
          <t>거미</t>
        </is>
      </c>
      <c r="B7" s="9" t="inlineStr">
        <is>
          <t>일반</t>
        </is>
      </c>
      <c r="C7" s="9" t="n">
        <v>60</v>
      </c>
      <c r="D7" s="9" t="n">
        <v>10</v>
      </c>
      <c r="E7" s="9" t="n">
        <v>4</v>
      </c>
      <c r="F7" s="9" t="n">
        <v>7</v>
      </c>
      <c r="G7" s="9" t="inlineStr">
        <is>
          <t>6%</t>
        </is>
      </c>
      <c r="H7" s="9" t="inlineStr">
        <is>
          <t>일반</t>
        </is>
      </c>
      <c r="I7" s="9" t="inlineStr">
        <is>
          <t>2%</t>
        </is>
      </c>
      <c r="J7" s="9" t="inlineStr">
        <is>
          <t>C</t>
        </is>
      </c>
      <c r="K7" s="9" t="inlineStr">
        <is>
          <t>독 병 (3%)</t>
        </is>
      </c>
    </row>
    <row r="8">
      <c r="A8" s="8" t="inlineStr">
        <is>
          <t>트렌트</t>
        </is>
      </c>
      <c r="B8" s="8" t="inlineStr">
        <is>
          <t>일반</t>
        </is>
      </c>
      <c r="C8" s="8" t="n">
        <v>150</v>
      </c>
      <c r="D8" s="8" t="n">
        <v>8</v>
      </c>
      <c r="E8" s="8" t="n">
        <v>8</v>
      </c>
      <c r="F8" s="8" t="n">
        <v>12</v>
      </c>
      <c r="G8" s="8" t="inlineStr">
        <is>
          <t>10%</t>
        </is>
      </c>
      <c r="H8" s="8" t="inlineStr">
        <is>
          <t>일반~고급</t>
        </is>
      </c>
      <c r="I8" s="8" t="inlineStr">
        <is>
          <t>2%</t>
        </is>
      </c>
      <c r="J8" s="8" t="inlineStr">
        <is>
          <t>C</t>
        </is>
      </c>
      <c r="K8" s="8" t="inlineStr">
        <is>
          <t>나무 방패 (2%)</t>
        </is>
      </c>
    </row>
    <row r="9">
      <c r="A9" s="9" t="inlineStr">
        <is>
          <t>고블린</t>
        </is>
      </c>
      <c r="B9" s="9" t="inlineStr">
        <is>
          <t>일반</t>
        </is>
      </c>
      <c r="C9" s="9" t="n">
        <v>70</v>
      </c>
      <c r="D9" s="9" t="n">
        <v>15</v>
      </c>
      <c r="E9" s="9" t="n">
        <v>10</v>
      </c>
      <c r="F9" s="9" t="n">
        <v>10</v>
      </c>
      <c r="G9" s="9" t="inlineStr">
        <is>
          <t>8%</t>
        </is>
      </c>
      <c r="H9" s="9" t="inlineStr">
        <is>
          <t>일반</t>
        </is>
      </c>
      <c r="I9" s="9" t="inlineStr">
        <is>
          <t>2%</t>
        </is>
      </c>
      <c r="J9" s="9" t="inlineStr">
        <is>
          <t>C</t>
        </is>
      </c>
      <c r="K9" s="9" t="inlineStr">
        <is>
          <t>훔친 골드 주머니 (5%)</t>
        </is>
      </c>
    </row>
    <row r="10">
      <c r="A10" s="8" t="inlineStr">
        <is>
          <t>해골</t>
        </is>
      </c>
      <c r="B10" s="8" t="inlineStr">
        <is>
          <t>일반</t>
        </is>
      </c>
      <c r="C10" s="8" t="n">
        <v>90</v>
      </c>
      <c r="D10" s="8" t="n">
        <v>14</v>
      </c>
      <c r="E10" s="8" t="n">
        <v>6</v>
      </c>
      <c r="F10" s="8" t="n">
        <v>9</v>
      </c>
      <c r="G10" s="8" t="inlineStr">
        <is>
          <t>7%</t>
        </is>
      </c>
      <c r="H10" s="8" t="inlineStr">
        <is>
          <t>일반</t>
        </is>
      </c>
      <c r="I10" s="8" t="inlineStr">
        <is>
          <t>1%</t>
        </is>
      </c>
      <c r="J10" s="8" t="inlineStr">
        <is>
          <t>C</t>
        </is>
      </c>
      <c r="K10" s="8" t="inlineStr">
        <is>
          <t>뼈 조각 (4%)</t>
        </is>
      </c>
    </row>
    <row r="11">
      <c r="A11" s="9" t="inlineStr">
        <is>
          <t>좀비</t>
        </is>
      </c>
      <c r="B11" s="9" t="inlineStr">
        <is>
          <t>일반</t>
        </is>
      </c>
      <c r="C11" s="9" t="n">
        <v>120</v>
      </c>
      <c r="D11" s="9" t="n">
        <v>10</v>
      </c>
      <c r="E11" s="9" t="n">
        <v>5</v>
      </c>
      <c r="F11" s="9" t="n">
        <v>8</v>
      </c>
      <c r="G11" s="9" t="inlineStr">
        <is>
          <t>6%</t>
        </is>
      </c>
      <c r="H11" s="9" t="inlineStr">
        <is>
          <t>일반</t>
        </is>
      </c>
      <c r="I11" s="9" t="inlineStr">
        <is>
          <t>1%</t>
        </is>
      </c>
      <c r="J11" s="9" t="inlineStr">
        <is>
          <t>C</t>
        </is>
      </c>
      <c r="K11" s="9" t="inlineStr">
        <is>
          <t>감염 시료 (2%)</t>
        </is>
      </c>
    </row>
    <row r="12">
      <c r="A12" s="8" t="inlineStr">
        <is>
          <t>오크 전사</t>
        </is>
      </c>
      <c r="B12" s="8" t="inlineStr">
        <is>
          <t>엘리트</t>
        </is>
      </c>
      <c r="C12" s="8" t="n">
        <v>400</v>
      </c>
      <c r="D12" s="8" t="n">
        <v>35</v>
      </c>
      <c r="E12" s="8" t="n">
        <v>25</v>
      </c>
      <c r="F12" s="8" t="n">
        <v>40</v>
      </c>
      <c r="G12" s="8" t="inlineStr">
        <is>
          <t>25%</t>
        </is>
      </c>
      <c r="H12" s="8" t="inlineStr">
        <is>
          <t>고급</t>
        </is>
      </c>
      <c r="I12" s="8" t="inlineStr">
        <is>
          <t>8%</t>
        </is>
      </c>
      <c r="J12" s="8" t="inlineStr">
        <is>
          <t>B</t>
        </is>
      </c>
      <c r="K12" s="8" t="inlineStr">
        <is>
          <t>오크 전투도끼 (5%)</t>
        </is>
      </c>
    </row>
    <row r="13">
      <c r="A13" s="9" t="inlineStr">
        <is>
          <t>암흑 기사</t>
        </is>
      </c>
      <c r="B13" s="9" t="inlineStr">
        <is>
          <t>엘리트</t>
        </is>
      </c>
      <c r="C13" s="9" t="n">
        <v>500</v>
      </c>
      <c r="D13" s="9" t="n">
        <v>45</v>
      </c>
      <c r="E13" s="9" t="n">
        <v>30</v>
      </c>
      <c r="F13" s="9" t="n">
        <v>50</v>
      </c>
      <c r="G13" s="9" t="inlineStr">
        <is>
          <t>30%</t>
        </is>
      </c>
      <c r="H13" s="9" t="inlineStr">
        <is>
          <t>고급~희귀</t>
        </is>
      </c>
      <c r="I13" s="9" t="inlineStr">
        <is>
          <t>10%</t>
        </is>
      </c>
      <c r="J13" s="9" t="inlineStr">
        <is>
          <t>B</t>
        </is>
      </c>
      <c r="K13" s="9" t="inlineStr">
        <is>
          <t>암흑 갑옷 파편 (4%)</t>
        </is>
      </c>
    </row>
    <row r="14">
      <c r="A14" s="8" t="inlineStr">
        <is>
          <t>독 거미</t>
        </is>
      </c>
      <c r="B14" s="8" t="inlineStr">
        <is>
          <t>엘리트</t>
        </is>
      </c>
      <c r="C14" s="8" t="n">
        <v>350</v>
      </c>
      <c r="D14" s="8" t="n">
        <v>30</v>
      </c>
      <c r="E14" s="8" t="n">
        <v>20</v>
      </c>
      <c r="F14" s="8" t="n">
        <v>35</v>
      </c>
      <c r="G14" s="8" t="inlineStr">
        <is>
          <t>22%</t>
        </is>
      </c>
      <c r="H14" s="8" t="inlineStr">
        <is>
          <t>고급</t>
        </is>
      </c>
      <c r="I14" s="8" t="inlineStr">
        <is>
          <t>7%</t>
        </is>
      </c>
      <c r="J14" s="8" t="inlineStr">
        <is>
          <t>B</t>
        </is>
      </c>
      <c r="K14" s="8" t="inlineStr">
        <is>
          <t>맹독 주머니 (8%)</t>
        </is>
      </c>
    </row>
    <row r="15">
      <c r="A15" s="9" t="inlineStr">
        <is>
          <t>화염 정령</t>
        </is>
      </c>
      <c r="B15" s="9" t="inlineStr">
        <is>
          <t>엘리트</t>
        </is>
      </c>
      <c r="C15" s="9" t="n">
        <v>300</v>
      </c>
      <c r="D15" s="9" t="n">
        <v>50</v>
      </c>
      <c r="E15" s="9" t="n">
        <v>28</v>
      </c>
      <c r="F15" s="9" t="n">
        <v>45</v>
      </c>
      <c r="G15" s="9" t="inlineStr">
        <is>
          <t>28%</t>
        </is>
      </c>
      <c r="H15" s="9" t="inlineStr">
        <is>
          <t>고급~희귀</t>
        </is>
      </c>
      <c r="I15" s="9" t="inlineStr">
        <is>
          <t>9%</t>
        </is>
      </c>
      <c r="J15" s="9" t="inlineStr">
        <is>
          <t>B</t>
        </is>
      </c>
      <c r="K15" s="9" t="inlineStr">
        <is>
          <t>화염 정수 (6%)</t>
        </is>
      </c>
    </row>
    <row r="16">
      <c r="A16" s="8" t="inlineStr">
        <is>
          <t>얼음 골렘</t>
        </is>
      </c>
      <c r="B16" s="8" t="inlineStr">
        <is>
          <t>엘리트</t>
        </is>
      </c>
      <c r="C16" s="8" t="n">
        <v>600</v>
      </c>
      <c r="D16" s="8" t="n">
        <v>25</v>
      </c>
      <c r="E16" s="8" t="n">
        <v>22</v>
      </c>
      <c r="F16" s="8" t="n">
        <v>38</v>
      </c>
      <c r="G16" s="8" t="inlineStr">
        <is>
          <t>20%</t>
        </is>
      </c>
      <c r="H16" s="8" t="inlineStr">
        <is>
          <t>고급</t>
        </is>
      </c>
      <c r="I16" s="8" t="inlineStr">
        <is>
          <t>7%</t>
        </is>
      </c>
      <c r="J16" s="8" t="inlineStr">
        <is>
          <t>B</t>
        </is>
      </c>
      <c r="K16" s="8" t="inlineStr">
        <is>
          <t>얼음 핵 (5%)</t>
        </is>
      </c>
    </row>
    <row r="17">
      <c r="A17" s="9" t="inlineStr">
        <is>
          <t>슬라임킹</t>
        </is>
      </c>
      <c r="B17" s="9" t="inlineStr">
        <is>
          <t>보스</t>
        </is>
      </c>
      <c r="C17" s="9" t="n">
        <v>500</v>
      </c>
      <c r="D17" s="9" t="n">
        <v>20</v>
      </c>
      <c r="E17" s="9" t="n">
        <v>100</v>
      </c>
      <c r="F17" s="9" t="n">
        <v>80</v>
      </c>
      <c r="G17" s="9" t="inlineStr">
        <is>
          <t>80%</t>
        </is>
      </c>
      <c r="H17" s="9" t="inlineStr">
        <is>
          <t>고급</t>
        </is>
      </c>
      <c r="I17" s="9" t="inlineStr">
        <is>
          <t>20%</t>
        </is>
      </c>
      <c r="J17" s="9" t="inlineStr">
        <is>
          <t>B~A</t>
        </is>
      </c>
      <c r="K17" s="9" t="inlineStr">
        <is>
          <t>왕관 조각 (15%)</t>
        </is>
      </c>
    </row>
    <row r="18">
      <c r="A18" s="8" t="inlineStr">
        <is>
          <t>골렘</t>
        </is>
      </c>
      <c r="B18" s="8" t="inlineStr">
        <is>
          <t>보스</t>
        </is>
      </c>
      <c r="C18" s="8" t="n">
        <v>2000</v>
      </c>
      <c r="D18" s="8" t="n">
        <v>40</v>
      </c>
      <c r="E18" s="8" t="n">
        <v>150</v>
      </c>
      <c r="F18" s="8" t="n">
        <v>120</v>
      </c>
      <c r="G18" s="8" t="inlineStr">
        <is>
          <t>85%</t>
        </is>
      </c>
      <c r="H18" s="8" t="inlineStr">
        <is>
          <t>희귀</t>
        </is>
      </c>
      <c r="I18" s="8" t="inlineStr">
        <is>
          <t>25%</t>
        </is>
      </c>
      <c r="J18" s="8" t="inlineStr">
        <is>
          <t>A</t>
        </is>
      </c>
      <c r="K18" s="8" t="inlineStr">
        <is>
          <t>골렘 코어 (10%)</t>
        </is>
      </c>
    </row>
    <row r="19">
      <c r="A19" s="9" t="inlineStr">
        <is>
          <t>드래곤</t>
        </is>
      </c>
      <c r="B19" s="9" t="inlineStr">
        <is>
          <t>보스</t>
        </is>
      </c>
      <c r="C19" s="9" t="n">
        <v>2000</v>
      </c>
      <c r="D19" s="9" t="n">
        <v>60</v>
      </c>
      <c r="E19" s="9" t="n">
        <v>250</v>
      </c>
      <c r="F19" s="9" t="n">
        <v>200</v>
      </c>
      <c r="G19" s="9" t="inlineStr">
        <is>
          <t>90%</t>
        </is>
      </c>
      <c r="H19" s="9" t="inlineStr">
        <is>
          <t>희귀~영웅</t>
        </is>
      </c>
      <c r="I19" s="9" t="inlineStr">
        <is>
          <t>30%</t>
        </is>
      </c>
      <c r="J19" s="9" t="inlineStr">
        <is>
          <t>A</t>
        </is>
      </c>
      <c r="K19" s="9" t="inlineStr">
        <is>
          <t>용의 비늘 (12%)</t>
        </is>
      </c>
    </row>
    <row r="20">
      <c r="A20" s="8" t="inlineStr">
        <is>
          <t>마왕</t>
        </is>
      </c>
      <c r="B20" s="8" t="inlineStr">
        <is>
          <t>보스</t>
        </is>
      </c>
      <c r="C20" s="8" t="n">
        <v>5000</v>
      </c>
      <c r="D20" s="8" t="n">
        <v>80</v>
      </c>
      <c r="E20" s="8" t="n">
        <v>500</v>
      </c>
      <c r="F20" s="8" t="n">
        <v>400</v>
      </c>
      <c r="G20" s="8" t="inlineStr">
        <is>
          <t>95%</t>
        </is>
      </c>
      <c r="H20" s="8" t="inlineStr">
        <is>
          <t>영웅</t>
        </is>
      </c>
      <c r="I20" s="8" t="inlineStr">
        <is>
          <t>40%</t>
        </is>
      </c>
      <c r="J20" s="8" t="inlineStr">
        <is>
          <t>A~S</t>
        </is>
      </c>
      <c r="K20" s="8" t="inlineStr">
        <is>
          <t>마왕의 증표 (20%)</t>
        </is>
      </c>
    </row>
    <row r="21">
      <c r="A21" s="9" t="inlineStr">
        <is>
          <t>세계의 적</t>
        </is>
      </c>
      <c r="B21" s="9" t="inlineStr">
        <is>
          <t>보스</t>
        </is>
      </c>
      <c r="C21" s="9" t="n">
        <v>10000</v>
      </c>
      <c r="D21" s="9" t="n">
        <v>100</v>
      </c>
      <c r="E21" s="9" t="n">
        <v>1000</v>
      </c>
      <c r="F21" s="9" t="n">
        <v>800</v>
      </c>
      <c r="G21" s="9" t="inlineStr">
        <is>
          <t>100%</t>
        </is>
      </c>
      <c r="H21" s="9" t="inlineStr">
        <is>
          <t>전설</t>
        </is>
      </c>
      <c r="I21" s="9" t="inlineStr">
        <is>
          <t>50%</t>
        </is>
      </c>
      <c r="J21" s="9" t="inlineStr">
        <is>
          <t>S</t>
        </is>
      </c>
      <c r="K21" s="9" t="inlineStr">
        <is>
          <t>세계의 파편 (30%)</t>
        </is>
      </c>
    </row>
    <row r="22">
      <c r="A22" s="8" t="inlineStr">
        <is>
          <t>월드 보스</t>
        </is>
      </c>
      <c r="B22" s="8" t="inlineStr">
        <is>
          <t>필드 보스</t>
        </is>
      </c>
      <c r="C22" s="8" t="n">
        <v>8000</v>
      </c>
      <c r="D22" s="8" t="n">
        <v>70</v>
      </c>
      <c r="E22" s="8" t="n">
        <v>300</v>
      </c>
      <c r="F22" s="8" t="n">
        <v>250</v>
      </c>
      <c r="G22" s="8" t="inlineStr">
        <is>
          <t>90%</t>
        </is>
      </c>
      <c r="H22" s="8" t="inlineStr">
        <is>
          <t>영웅</t>
        </is>
      </c>
      <c r="I22" s="8" t="inlineStr">
        <is>
          <t>35%</t>
        </is>
      </c>
      <c r="J22" s="8" t="inlineStr">
        <is>
          <t>A</t>
        </is>
      </c>
      <c r="K22" s="8" t="inlineStr">
        <is>
          <t>월드 메달 (25%)</t>
        </is>
      </c>
    </row>
    <row r="23">
      <c r="A23" s="9" t="inlineStr">
        <is>
          <t>레이드 보스</t>
        </is>
      </c>
      <c r="B23" s="9" t="inlineStr">
        <is>
          <t>필드 보스</t>
        </is>
      </c>
      <c r="C23" s="9" t="n">
        <v>15000</v>
      </c>
      <c r="D23" s="9" t="n">
        <v>90</v>
      </c>
      <c r="E23" s="9" t="n">
        <v>500</v>
      </c>
      <c r="F23" s="9" t="n">
        <v>400</v>
      </c>
      <c r="G23" s="9" t="inlineStr">
        <is>
          <t>95%</t>
        </is>
      </c>
      <c r="H23" s="9" t="inlineStr">
        <is>
          <t>영웅~전설</t>
        </is>
      </c>
      <c r="I23" s="9" t="inlineStr">
        <is>
          <t>40%</t>
        </is>
      </c>
      <c r="J23" s="9" t="inlineStr">
        <is>
          <t>A~S</t>
        </is>
      </c>
      <c r="K23" s="9" t="inlineStr">
        <is>
          <t>레이드 토큰 (100%)</t>
        </is>
      </c>
    </row>
    <row r="24">
      <c r="A24" s="8" t="inlineStr">
        <is>
          <t>히든 보스</t>
        </is>
      </c>
      <c r="B24" s="8" t="inlineStr">
        <is>
          <t>필드 보스</t>
        </is>
      </c>
      <c r="C24" s="8" t="n">
        <v>6000</v>
      </c>
      <c r="D24" s="8" t="n">
        <v>120</v>
      </c>
      <c r="E24" s="8" t="n">
        <v>800</v>
      </c>
      <c r="F24" s="8" t="n">
        <v>600</v>
      </c>
      <c r="G24" s="8" t="inlineStr">
        <is>
          <t>100%</t>
        </is>
      </c>
      <c r="H24" s="8" t="inlineStr">
        <is>
          <t>전설</t>
        </is>
      </c>
      <c r="I24" s="8" t="inlineStr">
        <is>
          <t>60%</t>
        </is>
      </c>
      <c r="J24" s="8" t="inlineStr">
        <is>
          <t>S</t>
        </is>
      </c>
      <c r="K24" s="8" t="inlineStr">
        <is>
          <t>히든 칭호 (100%)</t>
        </is>
      </c>
    </row>
    <row r="25">
      <c r="A25" s="9" t="inlineStr">
        <is>
          <t>이벤트 보스</t>
        </is>
      </c>
      <c r="B25" s="9" t="inlineStr">
        <is>
          <t>필드 보스</t>
        </is>
      </c>
      <c r="C25" s="9" t="n">
        <v>5000</v>
      </c>
      <c r="D25" s="9" t="n">
        <v>60</v>
      </c>
      <c r="E25" s="9" t="n">
        <v>200</v>
      </c>
      <c r="F25" s="9" t="n">
        <v>300</v>
      </c>
      <c r="G25" s="9" t="inlineStr">
        <is>
          <t>100%</t>
        </is>
      </c>
      <c r="H25" s="9" t="inlineStr">
        <is>
          <t>이벤트 한정</t>
        </is>
      </c>
      <c r="I25" s="9" t="inlineStr">
        <is>
          <t>50%</t>
        </is>
      </c>
      <c r="J25" s="9" t="inlineStr">
        <is>
          <t>이벤트</t>
        </is>
      </c>
      <c r="K25" s="9" t="inlineStr">
        <is>
          <t>이벤트 코인 (100%)</t>
        </is>
      </c>
    </row>
  </sheetData>
  <mergeCells count="1">
    <mergeCell ref="A1:K1"/>
  </mergeCell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cols>
    <col width="8" customWidth="1" min="1" max="1"/>
    <col width="28" customWidth="1" min="2" max="2"/>
    <col width="28" customWidth="1" min="3" max="3"/>
    <col width="28" customWidth="1" min="4" max="4"/>
    <col width="50" customWidth="1" min="5" max="5"/>
    <col width="8" customWidth="1" min="6" max="6"/>
    <col width="36" customWidth="1" min="7" max="7"/>
  </cols>
  <sheetData>
    <row r="1">
      <c r="A1" s="6" t="inlineStr">
        <is>
          <t>소켓 이벤트 API 명세서 (v3.0)</t>
        </is>
      </c>
    </row>
    <row r="3">
      <c r="A3" s="7" t="inlineStr">
        <is>
          <t>방향</t>
        </is>
      </c>
      <c r="B3" s="7" t="inlineStr">
        <is>
          <t>이벤트명</t>
        </is>
      </c>
      <c r="C3" s="7" t="inlineStr">
        <is>
          <t>파라미터</t>
        </is>
      </c>
      <c r="D3" s="7" t="inlineStr">
        <is>
          <t>응답 이벤트</t>
        </is>
      </c>
      <c r="E3" s="7" t="inlineStr">
        <is>
          <t>응답 데이터</t>
        </is>
      </c>
      <c r="F3" s="7" t="inlineStr">
        <is>
          <t>카테고리</t>
        </is>
      </c>
      <c r="G3" s="7" t="inlineStr">
        <is>
          <t>설명</t>
        </is>
      </c>
    </row>
    <row r="4">
      <c r="A4" s="8" t="inlineStr">
        <is>
          <t>C→S</t>
        </is>
      </c>
      <c r="B4" s="8" t="inlineStr">
        <is>
          <t>merc_status</t>
        </is>
      </c>
      <c r="C4" s="8" t="inlineStr">
        <is>
          <t>없음</t>
        </is>
      </c>
      <c r="D4" s="8" t="inlineStr">
        <is>
          <t>merc_status</t>
        </is>
      </c>
      <c r="E4" s="8" t="inlineStr">
        <is>
          <t>roster[], party[], maxRoster, totalPower</t>
        </is>
      </c>
      <c r="F4" s="8" t="inlineStr">
        <is>
          <t>용병</t>
        </is>
      </c>
      <c r="G4" s="8" t="inlineStr">
        <is>
          <t>용병 전체 상태 조회</t>
        </is>
      </c>
    </row>
    <row r="5">
      <c r="A5" s="9" t="inlineStr">
        <is>
          <t>C→S</t>
        </is>
      </c>
      <c r="B5" s="9" t="inlineStr">
        <is>
          <t>merc_level_up</t>
        </is>
      </c>
      <c r="C5" s="9" t="inlineStr">
        <is>
          <t>{uid}</t>
        </is>
      </c>
      <c r="D5" s="9" t="inlineStr">
        <is>
          <t>merc_result</t>
        </is>
      </c>
      <c r="E5" s="9" t="inlineStr">
        <is>
          <t>{success, msg, leveled, level, exp, expToNext}</t>
        </is>
      </c>
      <c r="F5" s="9" t="inlineStr">
        <is>
          <t>용병</t>
        </is>
      </c>
      <c r="G5" s="9" t="inlineStr">
        <is>
          <t>용병 레벨업 (100G → 50 EXP)</t>
        </is>
      </c>
    </row>
    <row r="6">
      <c r="A6" s="8" t="inlineStr">
        <is>
          <t>C→S</t>
        </is>
      </c>
      <c r="B6" s="8" t="inlineStr">
        <is>
          <t>merc_awaken</t>
        </is>
      </c>
      <c r="C6" s="8" t="inlineStr">
        <is>
          <t>uid (string)</t>
        </is>
      </c>
      <c r="D6" s="8" t="inlineStr">
        <is>
          <t>merc_result</t>
        </is>
      </c>
      <c r="E6" s="8" t="inlineStr">
        <is>
          <t>{success, msg, merc}</t>
        </is>
      </c>
      <c r="F6" s="8" t="inlineStr">
        <is>
          <t>용병</t>
        </is>
      </c>
      <c r="G6" s="8" t="inlineStr">
        <is>
          <t>용병 각성 (★ 올리기, 중복 카드 소모)</t>
        </is>
      </c>
    </row>
    <row r="7">
      <c r="A7" s="9" t="inlineStr">
        <is>
          <t>C→S</t>
        </is>
      </c>
      <c r="B7" s="9" t="inlineStr">
        <is>
          <t>merc_skill_up</t>
        </is>
      </c>
      <c r="C7" s="9" t="inlineStr">
        <is>
          <t>uid (string)</t>
        </is>
      </c>
      <c r="D7" s="9" t="inlineStr">
        <is>
          <t>merc_result</t>
        </is>
      </c>
      <c r="E7" s="9" t="inlineStr">
        <is>
          <t>{success, msg}</t>
        </is>
      </c>
      <c r="F7" s="9" t="inlineStr">
        <is>
          <t>용병</t>
        </is>
      </c>
      <c r="G7" s="9" t="inlineStr">
        <is>
          <t>용병 스킬 강화 (골드 소모)</t>
        </is>
      </c>
    </row>
    <row r="8">
      <c r="A8" s="8" t="inlineStr">
        <is>
          <t>C→S</t>
        </is>
      </c>
      <c r="B8" s="8" t="inlineStr">
        <is>
          <t>merc_equip</t>
        </is>
      </c>
      <c r="C8" s="8" t="inlineStr">
        <is>
          <t>{uid, equipId}</t>
        </is>
      </c>
      <c r="D8" s="8" t="inlineStr">
        <is>
          <t>merc_result</t>
        </is>
      </c>
      <c r="E8" s="8" t="inlineStr">
        <is>
          <t>{success, msg}</t>
        </is>
      </c>
      <c r="F8" s="8" t="inlineStr">
        <is>
          <t>용병</t>
        </is>
      </c>
      <c r="G8" s="8" t="inlineStr">
        <is>
          <t>용병 장비 장착</t>
        </is>
      </c>
    </row>
    <row r="9">
      <c r="A9" s="9" t="inlineStr">
        <is>
          <t>C→S</t>
        </is>
      </c>
      <c r="B9" s="9" t="inlineStr">
        <is>
          <t>merc_set_party</t>
        </is>
      </c>
      <c r="C9" s="9" t="inlineStr">
        <is>
          <t>uids[] (string[])</t>
        </is>
      </c>
      <c r="D9" s="9" t="inlineStr">
        <is>
          <t>merc_party_result</t>
        </is>
      </c>
      <c r="E9" s="9" t="inlineStr">
        <is>
          <t>{success, party[]}</t>
        </is>
      </c>
      <c r="F9" s="9" t="inlineStr">
        <is>
          <t>용병</t>
        </is>
      </c>
      <c r="G9" s="9" t="inlineStr">
        <is>
          <t>용병 파티 편성 (최대 6명)</t>
        </is>
      </c>
    </row>
    <row r="10">
      <c r="A10" s="8" t="inlineStr">
        <is>
          <t>C→S</t>
        </is>
      </c>
      <c r="B10" s="8" t="inlineStr">
        <is>
          <t>merc_gacha</t>
        </is>
      </c>
      <c r="C10" s="8" t="inlineStr">
        <is>
          <t>없음</t>
        </is>
      </c>
      <c r="D10" s="8" t="inlineStr">
        <is>
          <t>merc_gacha_result</t>
        </is>
      </c>
      <c r="E10" s="8" t="inlineStr">
        <is>
          <t>{success, msg, grade, pity, mythicPity, points}</t>
        </is>
      </c>
      <c r="F10" s="8" t="inlineStr">
        <is>
          <t>용병</t>
        </is>
      </c>
      <c r="G10" s="8" t="inlineStr">
        <is>
          <t>단일 소환 (30 다이아)</t>
        </is>
      </c>
    </row>
    <row r="11">
      <c r="A11" s="9" t="inlineStr">
        <is>
          <t>C→S</t>
        </is>
      </c>
      <c r="B11" s="9" t="inlineStr">
        <is>
          <t>merc_gacha_10</t>
        </is>
      </c>
      <c r="C11" s="9" t="inlineStr">
        <is>
          <t>없음</t>
        </is>
      </c>
      <c r="D11" s="9" t="inlineStr">
        <is>
          <t>merc_gacha_10_result</t>
        </is>
      </c>
      <c r="E11" s="9" t="inlineStr">
        <is>
          <t>{results[], pity, mythicPity, points, bestGrade}</t>
        </is>
      </c>
      <c r="F11" s="9" t="inlineStr">
        <is>
          <t>용병</t>
        </is>
      </c>
      <c r="G11" s="9" t="inlineStr">
        <is>
          <t>10연차 소환 (300 다이아, 고급+ 1체 보장)</t>
        </is>
      </c>
    </row>
    <row r="12">
      <c r="A12" s="8" t="inlineStr">
        <is>
          <t>C→S</t>
        </is>
      </c>
      <c r="B12" s="8" t="inlineStr">
        <is>
          <t>merc_gacha_free</t>
        </is>
      </c>
      <c r="C12" s="8" t="inlineStr">
        <is>
          <t>없음</t>
        </is>
      </c>
      <c r="D12" s="8" t="inlineStr">
        <is>
          <t>merc_gacha_result</t>
        </is>
      </c>
      <c r="E12" s="8" t="inlineStr">
        <is>
          <t>{success, msg, grade, free:true}</t>
        </is>
      </c>
      <c r="F12" s="8" t="inlineStr">
        <is>
          <t>용병</t>
        </is>
      </c>
      <c r="G12" s="8" t="inlineStr">
        <is>
          <t>무료 골드 소환 (1일 1회, 3000G)</t>
        </is>
      </c>
    </row>
    <row r="13">
      <c r="A13" s="9" t="inlineStr">
        <is>
          <t>C→S</t>
        </is>
      </c>
      <c r="B13" s="9" t="inlineStr">
        <is>
          <t>merc_gacha_exchange</t>
        </is>
      </c>
      <c r="C13" s="9" t="inlineStr">
        <is>
          <t>{grade, mercId}</t>
        </is>
      </c>
      <c r="D13" s="9" t="inlineStr">
        <is>
          <t>merc_gacha_result</t>
        </is>
      </c>
      <c r="E13" s="9" t="inlineStr">
        <is>
          <t>{success, exchanged, pointsLeft}</t>
        </is>
      </c>
      <c r="F13" s="9" t="inlineStr">
        <is>
          <t>용병</t>
        </is>
      </c>
      <c r="G13" s="9" t="inlineStr">
        <is>
          <t>포인트 교환 소환 (30/80/200 포인트)</t>
        </is>
      </c>
    </row>
    <row r="14">
      <c r="A14" s="8" t="inlineStr">
        <is>
          <t>C→S</t>
        </is>
      </c>
      <c r="B14" s="8" t="inlineStr">
        <is>
          <t>merc_gacha_status</t>
        </is>
      </c>
      <c r="C14" s="8" t="inlineStr">
        <is>
          <t>없음</t>
        </is>
      </c>
      <c r="D14" s="8" t="inlineStr">
        <is>
          <t>merc_gacha_status</t>
        </is>
      </c>
      <c r="E14" s="8" t="inlineStr">
        <is>
          <t>{pity, mythicPity, points, totalPulls, freeAvailable}</t>
        </is>
      </c>
      <c r="F14" s="8" t="inlineStr">
        <is>
          <t>용병</t>
        </is>
      </c>
      <c r="G14" s="8" t="inlineStr">
        <is>
          <t>가챠 천장/포인트 상태 조회</t>
        </is>
      </c>
    </row>
    <row r="15">
      <c r="A15" s="9" t="inlineStr">
        <is>
          <t>S→C</t>
        </is>
      </c>
      <c r="B15" s="9" t="inlineStr">
        <is>
          <t>merc_result</t>
        </is>
      </c>
      <c r="C15" s="9" t="inlineStr">
        <is>
          <t>—</t>
        </is>
      </c>
      <c r="D15" s="9" t="inlineStr">
        <is>
          <t>—</t>
        </is>
      </c>
      <c r="E15" s="9" t="inlineStr">
        <is>
          <t>{success, msg, ...}</t>
        </is>
      </c>
      <c r="F15" s="9" t="inlineStr">
        <is>
          <t>용병</t>
        </is>
      </c>
      <c r="G15" s="9" t="inlineStr">
        <is>
          <t>용병 관련 작업 결과 알림 (범용)</t>
        </is>
      </c>
    </row>
    <row r="16">
      <c r="A16" s="8" t="inlineStr">
        <is>
          <t>S→C</t>
        </is>
      </c>
      <c r="B16" s="8" t="inlineStr">
        <is>
          <t>merc_status</t>
        </is>
      </c>
      <c r="C16" s="8" t="inlineStr">
        <is>
          <t>—</t>
        </is>
      </c>
      <c r="D16" s="8" t="inlineStr">
        <is>
          <t>—</t>
        </is>
      </c>
      <c r="E16" s="8" t="inlineStr">
        <is>
          <t>roster[], party[], totalPower</t>
        </is>
      </c>
      <c r="F16" s="8" t="inlineStr">
        <is>
          <t>용병</t>
        </is>
      </c>
      <c r="G16" s="8" t="inlineStr">
        <is>
          <t>용병 상태 응답 데이터</t>
        </is>
      </c>
    </row>
    <row r="17">
      <c r="A17" s="9" t="inlineStr">
        <is>
          <t>S→C</t>
        </is>
      </c>
      <c r="B17" s="9" t="inlineStr">
        <is>
          <t>merc_gacha_result</t>
        </is>
      </c>
      <c r="C17" s="9" t="inlineStr">
        <is>
          <t>—</t>
        </is>
      </c>
      <c r="D17" s="9" t="inlineStr">
        <is>
          <t>—</t>
        </is>
      </c>
      <c r="E17" s="9" t="inlineStr">
        <is>
          <t>{success, msg, grade, merc}</t>
        </is>
      </c>
      <c r="F17" s="9" t="inlineStr">
        <is>
          <t>용병</t>
        </is>
      </c>
      <c r="G17" s="9" t="inlineStr">
        <is>
          <t>가챠 결과 (단일/무료/교환)</t>
        </is>
      </c>
    </row>
    <row r="18">
      <c r="A18" s="8" t="inlineStr">
        <is>
          <t>S→C</t>
        </is>
      </c>
      <c r="B18" s="8" t="inlineStr">
        <is>
          <t>merc_gacha_10_result</t>
        </is>
      </c>
      <c r="C18" s="8" t="inlineStr">
        <is>
          <t>—</t>
        </is>
      </c>
      <c r="D18" s="8" t="inlineStr">
        <is>
          <t>—</t>
        </is>
      </c>
      <c r="E18" s="8" t="inlineStr">
        <is>
          <t>{results[], bestGrade, pity, mythicPity}</t>
        </is>
      </c>
      <c r="F18" s="8" t="inlineStr">
        <is>
          <t>용병</t>
        </is>
      </c>
      <c r="G18" s="8" t="inlineStr">
        <is>
          <t>10연차 가챠 결과</t>
        </is>
      </c>
    </row>
    <row r="19">
      <c r="A19" s="9" t="inlineStr">
        <is>
          <t>S→C</t>
        </is>
      </c>
      <c r="B19" s="9" t="inlineStr">
        <is>
          <t>merc_gacha_status</t>
        </is>
      </c>
      <c r="C19" s="9" t="inlineStr">
        <is>
          <t>—</t>
        </is>
      </c>
      <c r="D19" s="9" t="inlineStr">
        <is>
          <t>—</t>
        </is>
      </c>
      <c r="E19" s="9" t="inlineStr">
        <is>
          <t>{pity, mythicPity, points, totalPulls}</t>
        </is>
      </c>
      <c r="F19" s="9" t="inlineStr">
        <is>
          <t>용병</t>
        </is>
      </c>
      <c r="G19" s="9" t="inlineStr">
        <is>
          <t>가챠 상태 응답</t>
        </is>
      </c>
    </row>
    <row r="20">
      <c r="A20" s="8" t="inlineStr">
        <is>
          <t>S→C</t>
        </is>
      </c>
      <c r="B20" s="8" t="inlineStr">
        <is>
          <t>merc_party_result</t>
        </is>
      </c>
      <c r="C20" s="8" t="inlineStr">
        <is>
          <t>—</t>
        </is>
      </c>
      <c r="D20" s="8" t="inlineStr">
        <is>
          <t>—</t>
        </is>
      </c>
      <c r="E20" s="8" t="inlineStr">
        <is>
          <t>{success, party[]}</t>
        </is>
      </c>
      <c r="F20" s="8" t="inlineStr">
        <is>
          <t>용병</t>
        </is>
      </c>
      <c r="G20" s="8" t="inlineStr">
        <is>
          <t>파티 편성 결과</t>
        </is>
      </c>
    </row>
    <row r="21">
      <c r="A21" s="9" t="inlineStr">
        <is>
          <t>C→S</t>
        </is>
      </c>
      <c r="B21" s="9" t="inlineStr">
        <is>
          <t>slg_status</t>
        </is>
      </c>
      <c r="C21" s="9" t="inlineStr">
        <is>
          <t>없음</t>
        </is>
      </c>
      <c r="D21" s="9" t="inlineStr">
        <is>
          <t>slg_status</t>
        </is>
      </c>
      <c r="E21" s="9" t="inlineStr">
        <is>
          <t>{mode, castle, mercs, promotions, evolutions, trade, events}</t>
        </is>
      </c>
      <c r="F21" s="9" t="inlineStr">
        <is>
          <t>SLG</t>
        </is>
      </c>
      <c r="G21" s="9" t="inlineStr">
        <is>
          <t>SLG 모드 전체 상태 조회</t>
        </is>
      </c>
    </row>
    <row r="22">
      <c r="A22" s="8" t="inlineStr">
        <is>
          <t>C→S</t>
        </is>
      </c>
      <c r="B22" s="8" t="inlineStr">
        <is>
          <t>slg_promote</t>
        </is>
      </c>
      <c r="C22" s="8" t="inlineStr">
        <is>
          <t>{uid, to}</t>
        </is>
      </c>
      <c r="D22" s="8" t="inlineStr">
        <is>
          <t>slg_result</t>
        </is>
      </c>
      <c r="E22" s="8" t="inlineStr">
        <is>
          <t>{success, msg, merc}</t>
        </is>
      </c>
      <c r="F22" s="8" t="inlineStr">
        <is>
          <t>SLG</t>
        </is>
      </c>
      <c r="G22" s="8" t="inlineStr">
        <is>
          <t>용병 진급 (병사→장군)</t>
        </is>
      </c>
    </row>
    <row r="23">
      <c r="A23" s="9" t="inlineStr">
        <is>
          <t>C→S</t>
        </is>
      </c>
      <c r="B23" s="9" t="inlineStr">
        <is>
          <t>slg_evolve</t>
        </is>
      </c>
      <c r="C23" s="9" t="inlineStr">
        <is>
          <t>recipeIdx (number)</t>
        </is>
      </c>
      <c r="D23" s="9" t="inlineStr">
        <is>
          <t>slg_result</t>
        </is>
      </c>
      <c r="E23" s="9" t="inlineStr">
        <is>
          <t>{success, msg, merc}</t>
        </is>
      </c>
      <c r="F23" s="9" t="inlineStr">
        <is>
          <t>SLG</t>
        </is>
      </c>
      <c r="G23" s="9" t="inlineStr">
        <is>
          <t>용병 진화 (합성)</t>
        </is>
      </c>
    </row>
    <row r="24">
      <c r="A24" s="8" t="inlineStr">
        <is>
          <t>C→S</t>
        </is>
      </c>
      <c r="B24" s="8" t="inlineStr">
        <is>
          <t>slg_place_trap</t>
        </is>
      </c>
      <c r="C24" s="8" t="inlineStr">
        <is>
          <t>{trapId, x, y}</t>
        </is>
      </c>
      <c r="D24" s="8" t="inlineStr">
        <is>
          <t>slg_result</t>
        </is>
      </c>
      <c r="E24" s="8" t="inlineStr">
        <is>
          <t>{success, msg}</t>
        </is>
      </c>
      <c r="F24" s="8" t="inlineStr">
        <is>
          <t>SLG</t>
        </is>
      </c>
      <c r="G24" s="8" t="inlineStr">
        <is>
          <t>성 함정 배치</t>
        </is>
      </c>
    </row>
    <row r="25">
      <c r="A25" s="9" t="inlineStr">
        <is>
          <t>C→S</t>
        </is>
      </c>
      <c r="B25" s="9" t="inlineStr">
        <is>
          <t>slg_place_defender</t>
        </is>
      </c>
      <c r="C25" s="9" t="inlineStr">
        <is>
          <t>{uid, x, y}</t>
        </is>
      </c>
      <c r="D25" s="9" t="inlineStr">
        <is>
          <t>slg_result</t>
        </is>
      </c>
      <c r="E25" s="9" t="inlineStr">
        <is>
          <t>{success, msg}</t>
        </is>
      </c>
      <c r="F25" s="9" t="inlineStr">
        <is>
          <t>SLG</t>
        </is>
      </c>
      <c r="G25" s="9" t="inlineStr">
        <is>
          <t>성 방어 용병 배치</t>
        </is>
      </c>
    </row>
    <row r="26">
      <c r="A26" s="8" t="inlineStr">
        <is>
          <t>C→S</t>
        </is>
      </c>
      <c r="B26" s="8" t="inlineStr">
        <is>
          <t>slg_upgrade_castle</t>
        </is>
      </c>
      <c r="C26" s="8" t="inlineStr">
        <is>
          <t>없음</t>
        </is>
      </c>
      <c r="D26" s="8" t="inlineStr">
        <is>
          <t>slg_result</t>
        </is>
      </c>
      <c r="E26" s="8" t="inlineStr">
        <is>
          <t>{success, msg, castle}</t>
        </is>
      </c>
      <c r="F26" s="8" t="inlineStr">
        <is>
          <t>SLG</t>
        </is>
      </c>
      <c r="G26" s="8" t="inlineStr">
        <is>
          <t>성 업그레이드</t>
        </is>
      </c>
    </row>
    <row r="27">
      <c r="A27" s="9" t="inlineStr">
        <is>
          <t>C→S</t>
        </is>
      </c>
      <c r="B27" s="9" t="inlineStr">
        <is>
          <t>slg_build</t>
        </is>
      </c>
      <c r="C27" s="9" t="inlineStr">
        <is>
          <t>buildingId (string)</t>
        </is>
      </c>
      <c r="D27" s="9" t="inlineStr">
        <is>
          <t>slg_result</t>
        </is>
      </c>
      <c r="E27" s="9" t="inlineStr">
        <is>
          <t>{success, msg}</t>
        </is>
      </c>
      <c r="F27" s="9" t="inlineStr">
        <is>
          <t>SLG</t>
        </is>
      </c>
      <c r="G27" s="9" t="inlineStr">
        <is>
          <t>시설 건설</t>
        </is>
      </c>
    </row>
    <row r="28">
      <c r="A28" s="8" t="inlineStr">
        <is>
          <t>C→S</t>
        </is>
      </c>
      <c r="B28" s="8" t="inlineStr">
        <is>
          <t>slg_buildings</t>
        </is>
      </c>
      <c r="C28" s="8" t="inlineStr">
        <is>
          <t>없음</t>
        </is>
      </c>
      <c r="D28" s="8" t="inlineStr">
        <is>
          <t>slg_buildings</t>
        </is>
      </c>
      <c r="E28" s="8" t="inlineStr">
        <is>
          <t>{buildings[], current[], slots, used}</t>
        </is>
      </c>
      <c r="F28" s="8" t="inlineStr">
        <is>
          <t>SLG</t>
        </is>
      </c>
      <c r="G28" s="8" t="inlineStr">
        <is>
          <t>시설 목록 조회</t>
        </is>
      </c>
    </row>
    <row r="29">
      <c r="A29" s="9" t="inlineStr">
        <is>
          <t>C→S</t>
        </is>
      </c>
      <c r="B29" s="9" t="inlineStr">
        <is>
          <t>slg_expedition_start</t>
        </is>
      </c>
      <c r="C29" s="9" t="inlineStr">
        <is>
          <t>{expedId, mercUids[]}</t>
        </is>
      </c>
      <c r="D29" s="9" t="inlineStr">
        <is>
          <t>slg_result</t>
        </is>
      </c>
      <c r="E29" s="9" t="inlineStr">
        <is>
          <t>{success, msg}</t>
        </is>
      </c>
      <c r="F29" s="9" t="inlineStr">
        <is>
          <t>SLG</t>
        </is>
      </c>
      <c r="G29" s="9" t="inlineStr">
        <is>
          <t>용병 원정대 출발</t>
        </is>
      </c>
    </row>
    <row r="30">
      <c r="A30" s="8" t="inlineStr">
        <is>
          <t>C→S</t>
        </is>
      </c>
      <c r="B30" s="8" t="inlineStr">
        <is>
          <t>slg_expedition_check</t>
        </is>
      </c>
      <c r="C30" s="8" t="inlineStr">
        <is>
          <t>없음</t>
        </is>
      </c>
      <c r="D30" s="8" t="inlineStr">
        <is>
          <t>slg_expedition_result</t>
        </is>
      </c>
      <c r="E30" s="8" t="inlineStr">
        <is>
          <t>{completed, remaining, rewards, event, mercCard}</t>
        </is>
      </c>
      <c r="F30" s="8" t="inlineStr">
        <is>
          <t>SLG</t>
        </is>
      </c>
      <c r="G30" s="8" t="inlineStr">
        <is>
          <t>원정 상태 확인 / 완료 수령</t>
        </is>
      </c>
    </row>
    <row r="31">
      <c r="A31" s="9" t="inlineStr">
        <is>
          <t>C→S</t>
        </is>
      </c>
      <c r="B31" s="9" t="inlineStr">
        <is>
          <t>slg_expeditions</t>
        </is>
      </c>
      <c r="C31" s="9" t="inlineStr">
        <is>
          <t>없음</t>
        </is>
      </c>
      <c r="D31" s="9" t="inlineStr">
        <is>
          <t>slg_expeditions</t>
        </is>
      </c>
      <c r="E31" s="9" t="inlineStr">
        <is>
          <t>{expeditions[]}</t>
        </is>
      </c>
      <c r="F31" s="9" t="inlineStr">
        <is>
          <t>SLG</t>
        </is>
      </c>
      <c r="G31" s="9" t="inlineStr">
        <is>
          <t>원정 목록 조회</t>
        </is>
      </c>
    </row>
    <row r="32">
      <c r="A32" s="8" t="inlineStr">
        <is>
          <t>C→S</t>
        </is>
      </c>
      <c r="B32" s="8" t="inlineStr">
        <is>
          <t>slg_reset_defense</t>
        </is>
      </c>
      <c r="C32" s="8" t="inlineStr">
        <is>
          <t>없음</t>
        </is>
      </c>
      <c r="D32" s="8" t="inlineStr">
        <is>
          <t>slg_result</t>
        </is>
      </c>
      <c r="E32" s="8" t="inlineStr">
        <is>
          <t>{success, msg}</t>
        </is>
      </c>
      <c r="F32" s="8" t="inlineStr">
        <is>
          <t>SLG</t>
        </is>
      </c>
      <c r="G32" s="8" t="inlineStr">
        <is>
          <t>함정/용병 배치 초기화 (50% 환불)</t>
        </is>
      </c>
    </row>
    <row r="33">
      <c r="A33" s="9" t="inlineStr">
        <is>
          <t>S→C</t>
        </is>
      </c>
      <c r="B33" s="9" t="inlineStr">
        <is>
          <t>slg_status</t>
        </is>
      </c>
      <c r="C33" s="9" t="inlineStr">
        <is>
          <t>—</t>
        </is>
      </c>
      <c r="D33" s="9" t="inlineStr">
        <is>
          <t>—</t>
        </is>
      </c>
      <c r="E33" s="9" t="inlineStr">
        <is>
          <t>{mode, castle, mercs, promotions, evolutions}</t>
        </is>
      </c>
      <c r="F33" s="9" t="inlineStr">
        <is>
          <t>SLG</t>
        </is>
      </c>
      <c r="G33" s="9" t="inlineStr">
        <is>
          <t>SLG 상태 응답</t>
        </is>
      </c>
    </row>
    <row r="34">
      <c r="A34" s="8" t="inlineStr">
        <is>
          <t>S→C</t>
        </is>
      </c>
      <c r="B34" s="8" t="inlineStr">
        <is>
          <t>slg_result</t>
        </is>
      </c>
      <c r="C34" s="8" t="inlineStr">
        <is>
          <t>—</t>
        </is>
      </c>
      <c r="D34" s="8" t="inlineStr">
        <is>
          <t>—</t>
        </is>
      </c>
      <c r="E34" s="8" t="inlineStr">
        <is>
          <t>{success, msg, ...}</t>
        </is>
      </c>
      <c r="F34" s="8" t="inlineStr">
        <is>
          <t>SLG</t>
        </is>
      </c>
      <c r="G34" s="8" t="inlineStr">
        <is>
          <t>SLG 작업 결과 알림 (범용)</t>
        </is>
      </c>
    </row>
    <row r="35">
      <c r="A35" s="9" t="inlineStr">
        <is>
          <t>S→C</t>
        </is>
      </c>
      <c r="B35" s="9" t="inlineStr">
        <is>
          <t>slg_buildings</t>
        </is>
      </c>
      <c r="C35" s="9" t="inlineStr">
        <is>
          <t>—</t>
        </is>
      </c>
      <c r="D35" s="9" t="inlineStr">
        <is>
          <t>—</t>
        </is>
      </c>
      <c r="E35" s="9" t="inlineStr">
        <is>
          <t>{buildings[], current[], slots, used}</t>
        </is>
      </c>
      <c r="F35" s="9" t="inlineStr">
        <is>
          <t>SLG</t>
        </is>
      </c>
      <c r="G35" s="9" t="inlineStr">
        <is>
          <t>시설 목록 응답</t>
        </is>
      </c>
    </row>
    <row r="36">
      <c r="A36" s="8" t="inlineStr">
        <is>
          <t>S→C</t>
        </is>
      </c>
      <c r="B36" s="8" t="inlineStr">
        <is>
          <t>slg_expedition_result</t>
        </is>
      </c>
      <c r="C36" s="8" t="inlineStr">
        <is>
          <t>—</t>
        </is>
      </c>
      <c r="D36" s="8" t="inlineStr">
        <is>
          <t>—</t>
        </is>
      </c>
      <c r="E36" s="8" t="inlineStr">
        <is>
          <t>{completed, rewards, event, mercCard}</t>
        </is>
      </c>
      <c r="F36" s="8" t="inlineStr">
        <is>
          <t>SLG</t>
        </is>
      </c>
      <c r="G36" s="8" t="inlineStr">
        <is>
          <t>원정 결과 응답</t>
        </is>
      </c>
    </row>
    <row r="37">
      <c r="A37" s="9" t="inlineStr">
        <is>
          <t>S→C</t>
        </is>
      </c>
      <c r="B37" s="9" t="inlineStr">
        <is>
          <t>slg_expeditions</t>
        </is>
      </c>
      <c r="C37" s="9" t="inlineStr">
        <is>
          <t>—</t>
        </is>
      </c>
      <c r="D37" s="9" t="inlineStr">
        <is>
          <t>—</t>
        </is>
      </c>
      <c r="E37" s="9" t="inlineStr">
        <is>
          <t>{expeditions[]}</t>
        </is>
      </c>
      <c r="F37" s="9" t="inlineStr">
        <is>
          <t>SLG</t>
        </is>
      </c>
      <c r="G37" s="9" t="inlineStr">
        <is>
          <t>원정 목록 응답</t>
        </is>
      </c>
    </row>
    <row r="38">
      <c r="A38" s="8" t="inlineStr">
        <is>
          <t>C→S</t>
        </is>
      </c>
      <c r="B38" s="8" t="inlineStr">
        <is>
          <t>siege_attack</t>
        </is>
      </c>
      <c r="C38" s="8" t="inlineStr">
        <is>
          <t>targetName (string)</t>
        </is>
      </c>
      <c r="D38" s="8" t="inlineStr">
        <is>
          <t>siege_result</t>
        </is>
      </c>
      <c r="E38" s="8" t="inlineStr">
        <is>
          <t>{success, siegeId, msg}</t>
        </is>
      </c>
      <c r="F38" s="8" t="inlineStr">
        <is>
          <t>공성</t>
        </is>
      </c>
      <c r="G38" s="8" t="inlineStr">
        <is>
          <t>공성전 신청 (대상 이름)</t>
        </is>
      </c>
    </row>
    <row r="39">
      <c r="A39" s="9" t="inlineStr">
        <is>
          <t>C→S</t>
        </is>
      </c>
      <c r="B39" s="9" t="inlineStr">
        <is>
          <t>siege_battle_move</t>
        </is>
      </c>
      <c r="C39" s="9" t="inlineStr">
        <is>
          <t>{dx, dy}</t>
        </is>
      </c>
      <c r="D39" s="9" t="inlineStr">
        <is>
          <t>(실시간 틱)</t>
        </is>
      </c>
      <c r="E39" s="9" t="inlineStr">
        <is>
          <t>siege_battle_update (틱마다)</t>
        </is>
      </c>
      <c r="F39" s="9" t="inlineStr">
        <is>
          <t>공성</t>
        </is>
      </c>
      <c r="G39" s="9" t="inlineStr">
        <is>
          <t>공격자 이동 (WASD 방향)</t>
        </is>
      </c>
    </row>
    <row r="40">
      <c r="A40" s="8" t="inlineStr">
        <is>
          <t>C→S</t>
        </is>
      </c>
      <c r="B40" s="8" t="inlineStr">
        <is>
          <t>siege_spectate</t>
        </is>
      </c>
      <c r="C40" s="8" t="inlineStr">
        <is>
          <t>siegeId (string)</t>
        </is>
      </c>
      <c r="D40" s="8" t="inlineStr">
        <is>
          <t>siege_spectate_result</t>
        </is>
      </c>
      <c r="E40" s="8" t="inlineStr">
        <is>
          <t>{success, data{siegeId, role, map, attacker, defenders}}</t>
        </is>
      </c>
      <c r="F40" s="8" t="inlineStr">
        <is>
          <t>공성</t>
        </is>
      </c>
      <c r="G40" s="8" t="inlineStr">
        <is>
          <t>공성전 관전 요청</t>
        </is>
      </c>
    </row>
    <row r="41">
      <c r="A41" s="9" t="inlineStr">
        <is>
          <t>C→S</t>
        </is>
      </c>
      <c r="B41" s="9" t="inlineStr">
        <is>
          <t>siege_list</t>
        </is>
      </c>
      <c r="C41" s="9" t="inlineStr">
        <is>
          <t>없음</t>
        </is>
      </c>
      <c r="D41" s="9" t="inlineStr">
        <is>
          <t>siege_list_result</t>
        </is>
      </c>
      <c r="E41" s="9" t="inlineStr">
        <is>
          <t>[{siegeId, attacker, defender, elapsed, remaining}]</t>
        </is>
      </c>
      <c r="F41" s="9" t="inlineStr">
        <is>
          <t>공성</t>
        </is>
      </c>
      <c r="G41" s="9" t="inlineStr">
        <is>
          <t>활성 공성전 목록 조회</t>
        </is>
      </c>
    </row>
    <row r="42">
      <c r="A42" s="8" t="inlineStr">
        <is>
          <t>C→S</t>
        </is>
      </c>
      <c r="B42" s="8" t="inlineStr">
        <is>
          <t>siege_chat</t>
        </is>
      </c>
      <c r="C42" s="8" t="inlineStr">
        <is>
          <t>{siegeId, msg}</t>
        </is>
      </c>
      <c r="D42" s="8" t="inlineStr">
        <is>
          <t>siege_chat_msg (broadcast)</t>
        </is>
      </c>
      <c r="E42" s="8" t="inlineStr">
        <is>
          <t>{from, msg, time}</t>
        </is>
      </c>
      <c r="F42" s="8" t="inlineStr">
        <is>
          <t>공성</t>
        </is>
      </c>
      <c r="G42" s="8" t="inlineStr">
        <is>
          <t>공성전 관전 채팅</t>
        </is>
      </c>
    </row>
    <row r="43">
      <c r="A43" s="9" t="inlineStr">
        <is>
          <t>S→C</t>
        </is>
      </c>
      <c r="B43" s="9" t="inlineStr">
        <is>
          <t>siege_result</t>
        </is>
      </c>
      <c r="C43" s="9" t="inlineStr">
        <is>
          <t>—</t>
        </is>
      </c>
      <c r="D43" s="9" t="inlineStr">
        <is>
          <t>—</t>
        </is>
      </c>
      <c r="E43" s="9" t="inlineStr">
        <is>
          <t>{success, siegeId, msg}</t>
        </is>
      </c>
      <c r="F43" s="9" t="inlineStr">
        <is>
          <t>공성</t>
        </is>
      </c>
      <c r="G43" s="9" t="inlineStr">
        <is>
          <t>공성전 신청 결과</t>
        </is>
      </c>
    </row>
    <row r="44">
      <c r="A44" s="8" t="inlineStr">
        <is>
          <t>S→C</t>
        </is>
      </c>
      <c r="B44" s="8" t="inlineStr">
        <is>
          <t>siege_battle_start</t>
        </is>
      </c>
      <c r="C44" s="8" t="inlineStr">
        <is>
          <t>—</t>
        </is>
      </c>
      <c r="D44" s="8" t="inlineStr">
        <is>
          <t>—</t>
        </is>
      </c>
      <c r="E44" s="8" t="inlineStr">
        <is>
          <t>{siegeId, role, map, traps[], defenders[], attacker, timeLimit}</t>
        </is>
      </c>
      <c r="F44" s="8" t="inlineStr">
        <is>
          <t>공성</t>
        </is>
      </c>
      <c r="G44" s="8" t="inlineStr">
        <is>
          <t>공성전 시작 (공격자/성주 각각 다른 정보)</t>
        </is>
      </c>
    </row>
    <row r="45">
      <c r="A45" s="9" t="inlineStr">
        <is>
          <t>S→C</t>
        </is>
      </c>
      <c r="B45" s="9" t="inlineStr">
        <is>
          <t>siege_battle_update</t>
        </is>
      </c>
      <c r="C45" s="9" t="inlineStr">
        <is>
          <t>—</t>
        </is>
      </c>
      <c r="D45" s="9" t="inlineStr">
        <is>
          <t>—</t>
        </is>
      </c>
      <c r="E45" s="9" t="inlineStr">
        <is>
          <t>{siegeId, elapsed, remaining, attacker{x,y,hp,stunned,poisoned}, defenders[], summons[]}</t>
        </is>
      </c>
      <c r="F45" s="9" t="inlineStr">
        <is>
          <t>공성</t>
        </is>
      </c>
      <c r="G45" s="9" t="inlineStr">
        <is>
          <t>공성전 틱 상태 (0.5초마다)</t>
        </is>
      </c>
    </row>
    <row r="46">
      <c r="A46" s="8" t="inlineStr">
        <is>
          <t>S→C</t>
        </is>
      </c>
      <c r="B46" s="8" t="inlineStr">
        <is>
          <t>siege_battle_end</t>
        </is>
      </c>
      <c r="C46" s="8" t="inlineStr">
        <is>
          <t>—</t>
        </is>
      </c>
      <c r="D46" s="8" t="inlineStr">
        <is>
          <t>—</t>
        </is>
      </c>
      <c r="E46" s="8" t="inlineStr">
        <is>
          <t>{siegeId, winner, reason, rewards, role, myReward}</t>
        </is>
      </c>
      <c r="F46" s="8" t="inlineStr">
        <is>
          <t>공성</t>
        </is>
      </c>
      <c r="G46" s="8" t="inlineStr">
        <is>
          <t>공성전 종료 결과 + 보상</t>
        </is>
      </c>
    </row>
    <row r="47">
      <c r="A47" s="9" t="inlineStr">
        <is>
          <t>S→C</t>
        </is>
      </c>
      <c r="B47" s="9" t="inlineStr">
        <is>
          <t>siege_trap_triggered</t>
        </is>
      </c>
      <c r="C47" s="9" t="inlineStr">
        <is>
          <t>—</t>
        </is>
      </c>
      <c r="D47" s="9" t="inlineStr">
        <is>
          <t>—</t>
        </is>
      </c>
      <c r="E47" s="9" t="inlineStr">
        <is>
          <t>{trap{id,icon,x,y}, msg, hp}</t>
        </is>
      </c>
      <c r="F47" s="9" t="inlineStr">
        <is>
          <t>공성</t>
        </is>
      </c>
      <c r="G47" s="9" t="inlineStr">
        <is>
          <t>함정 발동 알림</t>
        </is>
      </c>
    </row>
    <row r="48">
      <c r="A48" s="8" t="inlineStr">
        <is>
          <t>S→C</t>
        </is>
      </c>
      <c r="B48" s="8" t="inlineStr">
        <is>
          <t>siege_event</t>
        </is>
      </c>
      <c r="C48" s="8" t="inlineStr">
        <is>
          <t>—</t>
        </is>
      </c>
      <c r="D48" s="8" t="inlineStr">
        <is>
          <t>—</t>
        </is>
      </c>
      <c r="E48" s="8" t="inlineStr">
        <is>
          <t>{type, msg, ...}</t>
        </is>
      </c>
      <c r="F48" s="8" t="inlineStr">
        <is>
          <t>공성</t>
        </is>
      </c>
      <c r="G48" s="8" t="inlineStr">
        <is>
          <t>공성전 이벤트 (화살탑, 장벽, 용병 처치 등)</t>
        </is>
      </c>
    </row>
    <row r="49">
      <c r="A49" s="9" t="inlineStr">
        <is>
          <t>S→C</t>
        </is>
      </c>
      <c r="B49" s="9" t="inlineStr">
        <is>
          <t>siege_skill</t>
        </is>
      </c>
      <c r="C49" s="9" t="inlineStr">
        <is>
          <t>—</t>
        </is>
      </c>
      <c r="D49" s="9" t="inlineStr">
        <is>
          <t>—</t>
        </is>
      </c>
      <c r="E49" s="9" t="inlineStr">
        <is>
          <t>{defIcon, defName, events[]}</t>
        </is>
      </c>
      <c r="F49" s="9" t="inlineStr">
        <is>
          <t>공성</t>
        </is>
      </c>
      <c r="G49" s="9" t="inlineStr">
        <is>
          <t>방어 용병 스킬 발동 알림</t>
        </is>
      </c>
    </row>
    <row r="50">
      <c r="A50" s="8" t="inlineStr">
        <is>
          <t>S→C</t>
        </is>
      </c>
      <c r="B50" s="8" t="inlineStr">
        <is>
          <t>siege_spectate_result</t>
        </is>
      </c>
      <c r="C50" s="8" t="inlineStr">
        <is>
          <t>—</t>
        </is>
      </c>
      <c r="D50" s="8" t="inlineStr">
        <is>
          <t>—</t>
        </is>
      </c>
      <c r="E50" s="8" t="inlineStr">
        <is>
          <t>{success, data}</t>
        </is>
      </c>
      <c r="F50" s="8" t="inlineStr">
        <is>
          <t>공성</t>
        </is>
      </c>
      <c r="G50" s="8" t="inlineStr">
        <is>
          <t>관전 요청 결과</t>
        </is>
      </c>
    </row>
    <row r="51">
      <c r="A51" s="9" t="inlineStr">
        <is>
          <t>S→C</t>
        </is>
      </c>
      <c r="B51" s="9" t="inlineStr">
        <is>
          <t>siege_list_result</t>
        </is>
      </c>
      <c r="C51" s="9" t="inlineStr">
        <is>
          <t>—</t>
        </is>
      </c>
      <c r="D51" s="9" t="inlineStr">
        <is>
          <t>—</t>
        </is>
      </c>
      <c r="E51" s="9" t="inlineStr">
        <is>
          <t>[{siegeId, attacker, defender, elapsed, remaining}]</t>
        </is>
      </c>
      <c r="F51" s="9" t="inlineStr">
        <is>
          <t>공성</t>
        </is>
      </c>
      <c r="G51" s="9" t="inlineStr">
        <is>
          <t>활성 공성전 목록 응답</t>
        </is>
      </c>
    </row>
    <row r="52">
      <c r="A52" s="8" t="inlineStr">
        <is>
          <t>S→C</t>
        </is>
      </c>
      <c r="B52" s="8" t="inlineStr">
        <is>
          <t>siege_chat_msg</t>
        </is>
      </c>
      <c r="C52" s="8" t="inlineStr">
        <is>
          <t>—</t>
        </is>
      </c>
      <c r="D52" s="8" t="inlineStr">
        <is>
          <t>—</t>
        </is>
      </c>
      <c r="E52" s="8" t="inlineStr">
        <is>
          <t>{from, msg, time}</t>
        </is>
      </c>
      <c r="F52" s="8" t="inlineStr">
        <is>
          <t>공성</t>
        </is>
      </c>
      <c r="G52" s="8" t="inlineStr">
        <is>
          <t>관전 채팅 메시지 (브로드캐스트)</t>
        </is>
      </c>
    </row>
    <row r="53">
      <c r="A53" s="9" t="inlineStr">
        <is>
          <t>C→S</t>
        </is>
      </c>
      <c r="B53" s="9" t="inlineStr">
        <is>
          <t>trade_routes</t>
        </is>
      </c>
      <c r="C53" s="9" t="inlineStr">
        <is>
          <t>없음</t>
        </is>
      </c>
      <c r="D53" s="9" t="inlineStr">
        <is>
          <t>trade_routes</t>
        </is>
      </c>
      <c r="E53" s="9" t="inlineStr">
        <is>
          <t>{routes[], upgrades[], state, arrival}</t>
        </is>
      </c>
      <c r="F53" s="9" t="inlineStr">
        <is>
          <t>무역</t>
        </is>
      </c>
      <c r="G53" s="9" t="inlineStr">
        <is>
          <t>무역 루트 + 캐러밴 상태 조회</t>
        </is>
      </c>
    </row>
    <row r="54">
      <c r="A54" s="8" t="inlineStr">
        <is>
          <t>C→S</t>
        </is>
      </c>
      <c r="B54" s="8" t="inlineStr">
        <is>
          <t>trade_start</t>
        </is>
      </c>
      <c r="C54" s="8" t="inlineStr">
        <is>
          <t>{routeId, quantity}</t>
        </is>
      </c>
      <c r="D54" s="8" t="inlineStr">
        <is>
          <t>trade_result</t>
        </is>
      </c>
      <c r="E54" s="8" t="inlineStr">
        <is>
          <t>{success, msg, trip}</t>
        </is>
      </c>
      <c r="F54" s="8" t="inlineStr">
        <is>
          <t>무역</t>
        </is>
      </c>
      <c r="G54" s="8" t="inlineStr">
        <is>
          <t>교역 출발</t>
        </is>
      </c>
    </row>
    <row r="55">
      <c r="A55" s="9" t="inlineStr">
        <is>
          <t>C→S</t>
        </is>
      </c>
      <c r="B55" s="9" t="inlineStr">
        <is>
          <t>trade_check</t>
        </is>
      </c>
      <c r="C55" s="9" t="inlineStr">
        <is>
          <t>없음</t>
        </is>
      </c>
      <c r="D55" s="9" t="inlineStr">
        <is>
          <t>trade_arrival</t>
        </is>
      </c>
      <c r="E55" s="9" t="inlineStr">
        <is>
          <t>{arrived, profit, robbed, lostGoods, route, goods} 또는 {arrived:false, remaining}</t>
        </is>
      </c>
      <c r="F55" s="9" t="inlineStr">
        <is>
          <t>무역</t>
        </is>
      </c>
      <c r="G55" s="9" t="inlineStr">
        <is>
          <t>교역 도착 확인 / 수령</t>
        </is>
      </c>
    </row>
    <row r="56">
      <c r="A56" s="8" t="inlineStr">
        <is>
          <t>C→S</t>
        </is>
      </c>
      <c r="B56" s="8" t="inlineStr">
        <is>
          <t>trade_upgrade</t>
        </is>
      </c>
      <c r="C56" s="8" t="inlineStr">
        <is>
          <t>upgradeId (string)</t>
        </is>
      </c>
      <c r="D56" s="8" t="inlineStr">
        <is>
          <t>trade_result</t>
        </is>
      </c>
      <c r="E56" s="8" t="inlineStr">
        <is>
          <t>{success, msg}</t>
        </is>
      </c>
      <c r="F56" s="8" t="inlineStr">
        <is>
          <t>무역</t>
        </is>
      </c>
      <c r="G56" s="8" t="inlineStr">
        <is>
          <t>캐러밴 업그레이드 구매</t>
        </is>
      </c>
    </row>
    <row r="57">
      <c r="A57" s="9" t="inlineStr">
        <is>
          <t>C→S</t>
        </is>
      </c>
      <c r="B57" s="9" t="inlineStr">
        <is>
          <t>trade_raid</t>
        </is>
      </c>
      <c r="C57" s="9" t="inlineStr">
        <is>
          <t>targetName (string)</t>
        </is>
      </c>
      <c r="D57" s="9" t="inlineStr">
        <is>
          <t>trade_raid_result</t>
        </is>
      </c>
      <c r="E57" s="9" t="inlineStr">
        <is>
          <t>{success, stolenValue, stolenGoods}</t>
        </is>
      </c>
      <c r="F57" s="9" t="inlineStr">
        <is>
          <t>무역</t>
        </is>
      </c>
      <c r="G57" s="9" t="inlineStr">
        <is>
          <t>다른 플레이어 캐러밴 약탈 (PK존 전용)</t>
        </is>
      </c>
    </row>
    <row r="58">
      <c r="A58" s="8" t="inlineStr">
        <is>
          <t>S→C</t>
        </is>
      </c>
      <c r="B58" s="8" t="inlineStr">
        <is>
          <t>trade_routes</t>
        </is>
      </c>
      <c r="C58" s="8" t="inlineStr">
        <is>
          <t>—</t>
        </is>
      </c>
      <c r="D58" s="8" t="inlineStr">
        <is>
          <t>—</t>
        </is>
      </c>
      <c r="E58" s="8" t="inlineStr">
        <is>
          <t>{routes[], upgrades[], state, arrival}</t>
        </is>
      </c>
      <c r="F58" s="8" t="inlineStr">
        <is>
          <t>무역</t>
        </is>
      </c>
      <c r="G58" s="8" t="inlineStr">
        <is>
          <t>무역 루트 목록 응답</t>
        </is>
      </c>
    </row>
    <row r="59">
      <c r="A59" s="9" t="inlineStr">
        <is>
          <t>S→C</t>
        </is>
      </c>
      <c r="B59" s="9" t="inlineStr">
        <is>
          <t>trade_result</t>
        </is>
      </c>
      <c r="C59" s="9" t="inlineStr">
        <is>
          <t>—</t>
        </is>
      </c>
      <c r="D59" s="9" t="inlineStr">
        <is>
          <t>—</t>
        </is>
      </c>
      <c r="E59" s="9" t="inlineStr">
        <is>
          <t>{success, msg}</t>
        </is>
      </c>
      <c r="F59" s="9" t="inlineStr">
        <is>
          <t>무역</t>
        </is>
      </c>
      <c r="G59" s="9" t="inlineStr">
        <is>
          <t>무역 작업 결과 (출발/업그레이드)</t>
        </is>
      </c>
    </row>
    <row r="60">
      <c r="A60" s="8" t="inlineStr">
        <is>
          <t>S→C</t>
        </is>
      </c>
      <c r="B60" s="8" t="inlineStr">
        <is>
          <t>trade_arrival</t>
        </is>
      </c>
      <c r="C60" s="8" t="inlineStr">
        <is>
          <t>—</t>
        </is>
      </c>
      <c r="D60" s="8" t="inlineStr">
        <is>
          <t>—</t>
        </is>
      </c>
      <c r="E60" s="8" t="inlineStr">
        <is>
          <t>{arrived, profit, robbed, lostGoods}</t>
        </is>
      </c>
      <c r="F60" s="8" t="inlineStr">
        <is>
          <t>무역</t>
        </is>
      </c>
      <c r="G60" s="8" t="inlineStr">
        <is>
          <t>교역 도착/수령 결과</t>
        </is>
      </c>
    </row>
    <row r="61">
      <c r="A61" s="9" t="inlineStr">
        <is>
          <t>S→C</t>
        </is>
      </c>
      <c r="B61" s="9" t="inlineStr">
        <is>
          <t>trade_raid_result</t>
        </is>
      </c>
      <c r="C61" s="9" t="inlineStr">
        <is>
          <t>—</t>
        </is>
      </c>
      <c r="D61" s="9" t="inlineStr">
        <is>
          <t>—</t>
        </is>
      </c>
      <c r="E61" s="9" t="inlineStr">
        <is>
          <t>{success, stolenValue, stolenGoods, goods}</t>
        </is>
      </c>
      <c r="F61" s="9" t="inlineStr">
        <is>
          <t>무역</t>
        </is>
      </c>
      <c r="G61" s="9" t="inlineStr">
        <is>
          <t>캐러밴 약탈 결과 (공격자/피해자 각각)</t>
        </is>
      </c>
    </row>
    <row r="62">
      <c r="A62" s="8" t="inlineStr">
        <is>
          <t>C→S</t>
        </is>
      </c>
      <c r="B62" s="8" t="inlineStr">
        <is>
          <t>survival_start</t>
        </is>
      </c>
      <c r="C62" s="8" t="inlineStr">
        <is>
          <t>없음</t>
        </is>
      </c>
      <c r="D62" s="8" t="inlineStr">
        <is>
          <t>survival_result</t>
        </is>
      </c>
      <c r="E62" s="8" t="inlineStr">
        <is>
          <t>{success, session, classInfo, availableClasses[]}</t>
        </is>
      </c>
      <c r="F62" s="8" t="inlineStr">
        <is>
          <t>IO</t>
        </is>
      </c>
      <c r="G62" s="8" t="inlineStr">
        <is>
          <t>서바이벌 IO 게임 시작</t>
        </is>
      </c>
    </row>
    <row r="63">
      <c r="A63" s="9" t="inlineStr">
        <is>
          <t>C→S</t>
        </is>
      </c>
      <c r="B63" s="9" t="inlineStr">
        <is>
          <t>survival_attack</t>
        </is>
      </c>
      <c r="C63" s="9" t="inlineStr">
        <is>
          <t>없음</t>
        </is>
      </c>
      <c r="D63" s="9" t="inlineStr">
        <is>
          <t>survival_result</t>
        </is>
      </c>
      <c r="E63" s="9" t="inlineStr">
        <is>
          <t>{killed, damage, isCrit, dodged, session} 또는 game_over</t>
        </is>
      </c>
      <c r="F63" s="9" t="inlineStr">
        <is>
          <t>IO</t>
        </is>
      </c>
      <c r="G63" s="9" t="inlineStr">
        <is>
          <t>서바이벌 공격 (몬스터 전투)</t>
        </is>
      </c>
    </row>
    <row r="64">
      <c r="A64" s="8" t="inlineStr">
        <is>
          <t>C→S</t>
        </is>
      </c>
      <c r="B64" s="8" t="inlineStr">
        <is>
          <t>survival_tick</t>
        </is>
      </c>
      <c r="C64" s="8" t="inlineStr">
        <is>
          <t>없음</t>
        </is>
      </c>
      <c r="D64" s="8" t="inlineStr">
        <is>
          <t>survival_tick</t>
        </is>
      </c>
      <c r="E64" s="8" t="inlineStr">
        <is>
          <t>{session, newWave}</t>
        </is>
      </c>
      <c r="F64" s="8" t="inlineStr">
        <is>
          <t>IO</t>
        </is>
      </c>
      <c r="G64" s="8" t="inlineStr">
        <is>
          <t>서바이벌 틱 (웨이브 진행)</t>
        </is>
      </c>
    </row>
    <row r="65">
      <c r="A65" s="9" t="inlineStr">
        <is>
          <t>C→S</t>
        </is>
      </c>
      <c r="B65" s="9" t="inlineStr">
        <is>
          <t>survival_levelup_choices</t>
        </is>
      </c>
      <c r="C65" s="9" t="inlineStr">
        <is>
          <t>없음</t>
        </is>
      </c>
      <c r="D65" s="9" t="inlineStr">
        <is>
          <t>survival_choices</t>
        </is>
      </c>
      <c r="E65" s="9" t="inlineStr">
        <is>
          <t>{choices[]}</t>
        </is>
      </c>
      <c r="F65" s="9" t="inlineStr">
        <is>
          <t>IO</t>
        </is>
      </c>
      <c r="G65" s="9" t="inlineStr">
        <is>
          <t>레벨업 선택지 요청</t>
        </is>
      </c>
    </row>
    <row r="66">
      <c r="A66" s="8" t="inlineStr">
        <is>
          <t>C→S</t>
        </is>
      </c>
      <c r="B66" s="8" t="inlineStr">
        <is>
          <t>survival_select_upgrade</t>
        </is>
      </c>
      <c r="C66" s="8" t="inlineStr">
        <is>
          <t>upgradeId (string)</t>
        </is>
      </c>
      <c r="D66" s="8" t="inlineStr">
        <is>
          <t>survival_result</t>
        </is>
      </c>
      <c r="E66" s="8" t="inlineStr">
        <is>
          <t>{success, upgrade, session}</t>
        </is>
      </c>
      <c r="F66" s="8" t="inlineStr">
        <is>
          <t>IO</t>
        </is>
      </c>
      <c r="G66" s="8" t="inlineStr">
        <is>
          <t>레벨업 업그레이드 선택</t>
        </is>
      </c>
    </row>
    <row r="67">
      <c r="A67" s="9" t="inlineStr">
        <is>
          <t>C→S</t>
        </is>
      </c>
      <c r="B67" s="9" t="inlineStr">
        <is>
          <t>survival_status</t>
        </is>
      </c>
      <c r="C67" s="9" t="inlineStr">
        <is>
          <t>없음</t>
        </is>
      </c>
      <c r="D67" s="9" t="inlineStr">
        <is>
          <t>survival_status</t>
        </is>
      </c>
      <c r="E67" s="9" t="inlineStr">
        <is>
          <t>{level, wave, kills, hp, atk, def, ...}</t>
        </is>
      </c>
      <c r="F67" s="9" t="inlineStr">
        <is>
          <t>IO</t>
        </is>
      </c>
      <c r="G67" s="9" t="inlineStr">
        <is>
          <t>서바이벌 현재 상태 조회</t>
        </is>
      </c>
    </row>
    <row r="68">
      <c r="A68" s="8" t="inlineStr">
        <is>
          <t>C→S</t>
        </is>
      </c>
      <c r="B68" s="8" t="inlineStr">
        <is>
          <t>survival_use_skill</t>
        </is>
      </c>
      <c r="C68" s="8" t="inlineStr">
        <is>
          <t>skillId (string)</t>
        </is>
      </c>
      <c r="D68" s="8" t="inlineStr">
        <is>
          <t>survival_skill_result</t>
        </is>
      </c>
      <c r="E68" s="8" t="inlineStr">
        <is>
          <t>{skillUsed, skill, icon, kills, buff, heal}</t>
        </is>
      </c>
      <c r="F68" s="8" t="inlineStr">
        <is>
          <t>IO</t>
        </is>
      </c>
      <c r="G68" s="8" t="inlineStr">
        <is>
          <t>RPG 스킬 사용 (쿨다운 관리)</t>
        </is>
      </c>
    </row>
    <row r="69">
      <c r="A69" s="9" t="inlineStr">
        <is>
          <t>S→C</t>
        </is>
      </c>
      <c r="B69" s="9" t="inlineStr">
        <is>
          <t>survival_result</t>
        </is>
      </c>
      <c r="C69" s="9" t="inlineStr">
        <is>
          <t>—</t>
        </is>
      </c>
      <c r="D69" s="9" t="inlineStr">
        <is>
          <t>—</t>
        </is>
      </c>
      <c r="E69" s="9" t="inlineStr">
        <is>
          <t>{success, session, type, ...}</t>
        </is>
      </c>
      <c r="F69" s="9" t="inlineStr">
        <is>
          <t>IO</t>
        </is>
      </c>
      <c r="G69" s="9" t="inlineStr">
        <is>
          <t>서바이벌 결과 (공격/게임오버/업그레이드)</t>
        </is>
      </c>
    </row>
    <row r="70">
      <c r="A70" s="8" t="inlineStr">
        <is>
          <t>S→C</t>
        </is>
      </c>
      <c r="B70" s="8" t="inlineStr">
        <is>
          <t>survival_tick</t>
        </is>
      </c>
      <c r="C70" s="8" t="inlineStr">
        <is>
          <t>—</t>
        </is>
      </c>
      <c r="D70" s="8" t="inlineStr">
        <is>
          <t>—</t>
        </is>
      </c>
      <c r="E70" s="8" t="inlineStr">
        <is>
          <t>{session, newWave}</t>
        </is>
      </c>
      <c r="F70" s="8" t="inlineStr">
        <is>
          <t>IO</t>
        </is>
      </c>
      <c r="G70" s="8" t="inlineStr">
        <is>
          <t>서바이벌 틱 응답</t>
        </is>
      </c>
    </row>
    <row r="71">
      <c r="A71" s="9" t="inlineStr">
        <is>
          <t>S→C</t>
        </is>
      </c>
      <c r="B71" s="9" t="inlineStr">
        <is>
          <t>survival_choices</t>
        </is>
      </c>
      <c r="C71" s="9" t="inlineStr">
        <is>
          <t>—</t>
        </is>
      </c>
      <c r="D71" s="9" t="inlineStr">
        <is>
          <t>—</t>
        </is>
      </c>
      <c r="E71" s="9" t="inlineStr">
        <is>
          <t>{choices[{id, name, icon, effect}]}</t>
        </is>
      </c>
      <c r="F71" s="9" t="inlineStr">
        <is>
          <t>IO</t>
        </is>
      </c>
      <c r="G71" s="9" t="inlineStr">
        <is>
          <t>레벨업 선택지 응답</t>
        </is>
      </c>
    </row>
    <row r="72">
      <c r="A72" s="8" t="inlineStr">
        <is>
          <t>S→C</t>
        </is>
      </c>
      <c r="B72" s="8" t="inlineStr">
        <is>
          <t>survival_status</t>
        </is>
      </c>
      <c r="C72" s="8" t="inlineStr">
        <is>
          <t>—</t>
        </is>
      </c>
      <c r="D72" s="8" t="inlineStr">
        <is>
          <t>—</t>
        </is>
      </c>
      <c r="E72" s="8" t="inlineStr">
        <is>
          <t>{level, wave, kills, hp, maxHp, atk, def, ...}</t>
        </is>
      </c>
      <c r="F72" s="8" t="inlineStr">
        <is>
          <t>IO</t>
        </is>
      </c>
      <c r="G72" s="8" t="inlineStr">
        <is>
          <t>서바이벌 상태 응답</t>
        </is>
      </c>
    </row>
    <row r="73">
      <c r="A73" s="9" t="inlineStr">
        <is>
          <t>S→C</t>
        </is>
      </c>
      <c r="B73" s="9" t="inlineStr">
        <is>
          <t>survival_skill_result</t>
        </is>
      </c>
      <c r="C73" s="9" t="inlineStr">
        <is>
          <t>—</t>
        </is>
      </c>
      <c r="D73" s="9" t="inlineStr">
        <is>
          <t>—</t>
        </is>
      </c>
      <c r="E73" s="9" t="inlineStr">
        <is>
          <t>{skillUsed, skill, icon, kills, buff, session}</t>
        </is>
      </c>
      <c r="F73" s="9" t="inlineStr">
        <is>
          <t>IO</t>
        </is>
      </c>
      <c r="G73" s="9" t="inlineStr">
        <is>
          <t>스킬 사용 결과</t>
        </is>
      </c>
    </row>
    <row r="74">
      <c r="A74" s="8" t="inlineStr">
        <is>
          <t>C→S</t>
        </is>
      </c>
      <c r="B74" s="8" t="inlineStr">
        <is>
          <t>coop_create</t>
        </is>
      </c>
      <c r="C74" s="8" t="inlineStr">
        <is>
          <t>없음</t>
        </is>
      </c>
      <c r="D74" s="8" t="inlineStr">
        <is>
          <t>coop_result</t>
        </is>
      </c>
      <c r="E74" s="8" t="inlineStr">
        <is>
          <t>{success, roomId, msg}</t>
        </is>
      </c>
      <c r="F74" s="8" t="inlineStr">
        <is>
          <t>IO</t>
        </is>
      </c>
      <c r="G74" s="8" t="inlineStr">
        <is>
          <t>코옵 서바이벌 방 생성</t>
        </is>
      </c>
    </row>
    <row r="75">
      <c r="A75" s="9" t="inlineStr">
        <is>
          <t>C→S</t>
        </is>
      </c>
      <c r="B75" s="9" t="inlineStr">
        <is>
          <t>coop_join</t>
        </is>
      </c>
      <c r="C75" s="9" t="inlineStr">
        <is>
          <t>roomId (string)</t>
        </is>
      </c>
      <c r="D75" s="9" t="inlineStr">
        <is>
          <t>coop_result</t>
        </is>
      </c>
      <c r="E75" s="9" t="inlineStr">
        <is>
          <t>{success, roomId, players[]}</t>
        </is>
      </c>
      <c r="F75" s="9" t="inlineStr">
        <is>
          <t>IO</t>
        </is>
      </c>
      <c r="G75" s="9" t="inlineStr">
        <is>
          <t>코옵 방 참가</t>
        </is>
      </c>
    </row>
    <row r="76">
      <c r="A76" s="8" t="inlineStr">
        <is>
          <t>C→S</t>
        </is>
      </c>
      <c r="B76" s="8" t="inlineStr">
        <is>
          <t>coop_start</t>
        </is>
      </c>
      <c r="C76" s="8" t="inlineStr">
        <is>
          <t>roomId (string)</t>
        </is>
      </c>
      <c r="D76" s="8" t="inlineStr">
        <is>
          <t>coop_started (broadcast)</t>
        </is>
      </c>
      <c r="E76" s="8" t="inlineStr">
        <is>
          <t>{roomId, players[]}</t>
        </is>
      </c>
      <c r="F76" s="8" t="inlineStr">
        <is>
          <t>IO</t>
        </is>
      </c>
      <c r="G76" s="8" t="inlineStr">
        <is>
          <t>코옵 게임 시작 (방장 전용)</t>
        </is>
      </c>
    </row>
    <row r="77">
      <c r="A77" s="9" t="inlineStr">
        <is>
          <t>C→S</t>
        </is>
      </c>
      <c r="B77" s="9" t="inlineStr">
        <is>
          <t>coop_attack</t>
        </is>
      </c>
      <c r="C77" s="9" t="inlineStr">
        <is>
          <t>roomId (string)</t>
        </is>
      </c>
      <c r="D77" s="9" t="inlineStr">
        <is>
          <t>coop_attack_result</t>
        </is>
      </c>
      <c r="E77" s="9" t="inlineStr">
        <is>
          <t>{killed, damage, isCrit, playerHp, playerAlive}</t>
        </is>
      </c>
      <c r="F77" s="9" t="inlineStr">
        <is>
          <t>IO</t>
        </is>
      </c>
      <c r="G77" s="9" t="inlineStr">
        <is>
          <t>코옵 공격</t>
        </is>
      </c>
    </row>
    <row r="78">
      <c r="A78" s="8" t="inlineStr">
        <is>
          <t>C→S</t>
        </is>
      </c>
      <c r="B78" s="8" t="inlineStr">
        <is>
          <t>coop_upgrade</t>
        </is>
      </c>
      <c r="C78" s="8" t="inlineStr">
        <is>
          <t>{roomId, upgradeId}</t>
        </is>
      </c>
      <c r="D78" s="8" t="inlineStr">
        <is>
          <t>coop_upgrade_result</t>
        </is>
      </c>
      <c r="E78" s="8" t="inlineStr">
        <is>
          <t>{success, upgrade}</t>
        </is>
      </c>
      <c r="F78" s="8" t="inlineStr">
        <is>
          <t>IO</t>
        </is>
      </c>
      <c r="G78" s="8" t="inlineStr">
        <is>
          <t>코옵 레벨업 업그레이드 선택</t>
        </is>
      </c>
    </row>
    <row r="79">
      <c r="A79" s="9" t="inlineStr">
        <is>
          <t>C→S</t>
        </is>
      </c>
      <c r="B79" s="9" t="inlineStr">
        <is>
          <t>coop_rooms</t>
        </is>
      </c>
      <c r="C79" s="9" t="inlineStr">
        <is>
          <t>없음</t>
        </is>
      </c>
      <c r="D79" s="9" t="inlineStr">
        <is>
          <t>coop_rooms</t>
        </is>
      </c>
      <c r="E79" s="9" t="inlineStr">
        <is>
          <t>{rooms[{id, host, playerCount, maxPlayers}]}</t>
        </is>
      </c>
      <c r="F79" s="9" t="inlineStr">
        <is>
          <t>IO</t>
        </is>
      </c>
      <c r="G79" s="9" t="inlineStr">
        <is>
          <t>코옵 방 목록 조회</t>
        </is>
      </c>
    </row>
    <row r="80">
      <c r="A80" s="8" t="inlineStr">
        <is>
          <t>C→S</t>
        </is>
      </c>
      <c r="B80" s="8" t="inlineStr">
        <is>
          <t>coop_status</t>
        </is>
      </c>
      <c r="C80" s="8" t="inlineStr">
        <is>
          <t>roomId (string)</t>
        </is>
      </c>
      <c r="D80" s="8" t="inlineStr">
        <is>
          <t>coop_status</t>
        </is>
      </c>
      <c r="E80" s="8" t="inlineStr">
        <is>
          <t>{roomId, phase, wave, monstersAlive, totalKills, players[]}</t>
        </is>
      </c>
      <c r="F80" s="8" t="inlineStr">
        <is>
          <t>IO</t>
        </is>
      </c>
      <c r="G80" s="8" t="inlineStr">
        <is>
          <t>코옵 방 상태 조회</t>
        </is>
      </c>
    </row>
    <row r="81">
      <c r="A81" s="9" t="inlineStr">
        <is>
          <t>S→C</t>
        </is>
      </c>
      <c r="B81" s="9" t="inlineStr">
        <is>
          <t>coop_result</t>
        </is>
      </c>
      <c r="C81" s="9" t="inlineStr">
        <is>
          <t>—</t>
        </is>
      </c>
      <c r="D81" s="9" t="inlineStr">
        <is>
          <t>—</t>
        </is>
      </c>
      <c r="E81" s="9" t="inlineStr">
        <is>
          <t>{success, roomId, msg}</t>
        </is>
      </c>
      <c r="F81" s="9" t="inlineStr">
        <is>
          <t>IO</t>
        </is>
      </c>
      <c r="G81" s="9" t="inlineStr">
        <is>
          <t>코옵 방 생성/참가 결과</t>
        </is>
      </c>
    </row>
    <row r="82">
      <c r="A82" s="8" t="inlineStr">
        <is>
          <t>S→C</t>
        </is>
      </c>
      <c r="B82" s="8" t="inlineStr">
        <is>
          <t>coop_started</t>
        </is>
      </c>
      <c r="C82" s="8" t="inlineStr">
        <is>
          <t>—</t>
        </is>
      </c>
      <c r="D82" s="8" t="inlineStr">
        <is>
          <t>—</t>
        </is>
      </c>
      <c r="E82" s="8" t="inlineStr">
        <is>
          <t>{roomId, players[]}</t>
        </is>
      </c>
      <c r="F82" s="8" t="inlineStr">
        <is>
          <t>IO</t>
        </is>
      </c>
      <c r="G82" s="8" t="inlineStr">
        <is>
          <t>코옵 게임 시작 알림 (전원)</t>
        </is>
      </c>
    </row>
    <row r="83">
      <c r="A83" s="9" t="inlineStr">
        <is>
          <t>S→C</t>
        </is>
      </c>
      <c r="B83" s="9" t="inlineStr">
        <is>
          <t>coop_player_joined</t>
        </is>
      </c>
      <c r="C83" s="9" t="inlineStr">
        <is>
          <t>—</t>
        </is>
      </c>
      <c r="D83" s="9" t="inlineStr">
        <is>
          <t>—</t>
        </is>
      </c>
      <c r="E83" s="9" t="inlineStr">
        <is>
          <t>{name, players[]}</t>
        </is>
      </c>
      <c r="F83" s="9" t="inlineStr">
        <is>
          <t>IO</t>
        </is>
      </c>
      <c r="G83" s="9" t="inlineStr">
        <is>
          <t>코옵 새 플레이어 참가 알림</t>
        </is>
      </c>
    </row>
    <row r="84">
      <c r="A84" s="8" t="inlineStr">
        <is>
          <t>S→C</t>
        </is>
      </c>
      <c r="B84" s="8" t="inlineStr">
        <is>
          <t>coop_wave</t>
        </is>
      </c>
      <c r="C84" s="8" t="inlineStr">
        <is>
          <t>—</t>
        </is>
      </c>
      <c r="D84" s="8" t="inlineStr">
        <is>
          <t>—</t>
        </is>
      </c>
      <c r="E84" s="8" t="inlineStr">
        <is>
          <t>{wave, isBoss, monsterCount, bossName}</t>
        </is>
      </c>
      <c r="F84" s="8" t="inlineStr">
        <is>
          <t>IO</t>
        </is>
      </c>
      <c r="G84" s="8" t="inlineStr">
        <is>
          <t>코옵 새 웨이브 시작 알림</t>
        </is>
      </c>
    </row>
    <row r="85">
      <c r="A85" s="9" t="inlineStr">
        <is>
          <t>S→C</t>
        </is>
      </c>
      <c r="B85" s="9" t="inlineStr">
        <is>
          <t>coop_update</t>
        </is>
      </c>
      <c r="C85" s="9" t="inlineStr">
        <is>
          <t>—</t>
        </is>
      </c>
      <c r="D85" s="9" t="inlineStr">
        <is>
          <t>—</t>
        </is>
      </c>
      <c r="E85" s="9" t="inlineStr">
        <is>
          <t>{roomId, phase, wave, monstersAlive, totalKills, players[]}</t>
        </is>
      </c>
      <c r="F85" s="9" t="inlineStr">
        <is>
          <t>IO</t>
        </is>
      </c>
      <c r="G85" s="9" t="inlineStr">
        <is>
          <t>코옵 상태 브로드캐스트 (2초마다)</t>
        </is>
      </c>
    </row>
    <row r="86">
      <c r="A86" s="8" t="inlineStr">
        <is>
          <t>S→C</t>
        </is>
      </c>
      <c r="B86" s="8" t="inlineStr">
        <is>
          <t>coop_end</t>
        </is>
      </c>
      <c r="C86" s="8" t="inlineStr">
        <is>
          <t>—</t>
        </is>
      </c>
      <c r="D86" s="8" t="inlineStr">
        <is>
          <t>—</t>
        </is>
      </c>
      <c r="E86" s="8" t="inlineStr">
        <is>
          <t>{wave, totalKills, time, results[]}</t>
        </is>
      </c>
      <c r="F86" s="8" t="inlineStr">
        <is>
          <t>IO</t>
        </is>
      </c>
      <c r="G86" s="8" t="inlineStr">
        <is>
          <t>코옵 게임 종료 결과</t>
        </is>
      </c>
    </row>
    <row r="87">
      <c r="A87" s="9" t="inlineStr">
        <is>
          <t>S→C</t>
        </is>
      </c>
      <c r="B87" s="9" t="inlineStr">
        <is>
          <t>coop_attack_result</t>
        </is>
      </c>
      <c r="C87" s="9" t="inlineStr">
        <is>
          <t>—</t>
        </is>
      </c>
      <c r="D87" s="9" t="inlineStr">
        <is>
          <t>—</t>
        </is>
      </c>
      <c r="E87" s="9" t="inlineStr">
        <is>
          <t>{killed, damage, isCrit, playerHp}</t>
        </is>
      </c>
      <c r="F87" s="9" t="inlineStr">
        <is>
          <t>IO</t>
        </is>
      </c>
      <c r="G87" s="9" t="inlineStr">
        <is>
          <t>코옵 공격 결과</t>
        </is>
      </c>
    </row>
    <row r="88">
      <c r="A88" s="8" t="inlineStr">
        <is>
          <t>S→C</t>
        </is>
      </c>
      <c r="B88" s="8" t="inlineStr">
        <is>
          <t>coop_upgrade_result</t>
        </is>
      </c>
      <c r="C88" s="8" t="inlineStr">
        <is>
          <t>—</t>
        </is>
      </c>
      <c r="D88" s="8" t="inlineStr">
        <is>
          <t>—</t>
        </is>
      </c>
      <c r="E88" s="8" t="inlineStr">
        <is>
          <t>{success, upgrade}</t>
        </is>
      </c>
      <c r="F88" s="8" t="inlineStr">
        <is>
          <t>IO</t>
        </is>
      </c>
      <c r="G88" s="8" t="inlineStr">
        <is>
          <t>코옵 업그레이드 결과</t>
        </is>
      </c>
    </row>
    <row r="89">
      <c r="A89" s="9" t="inlineStr">
        <is>
          <t>S→C</t>
        </is>
      </c>
      <c r="B89" s="9" t="inlineStr">
        <is>
          <t>coop_rooms</t>
        </is>
      </c>
      <c r="C89" s="9" t="inlineStr">
        <is>
          <t>—</t>
        </is>
      </c>
      <c r="D89" s="9" t="inlineStr">
        <is>
          <t>—</t>
        </is>
      </c>
      <c r="E89" s="9" t="inlineStr">
        <is>
          <t>{rooms[]}</t>
        </is>
      </c>
      <c r="F89" s="9" t="inlineStr">
        <is>
          <t>IO</t>
        </is>
      </c>
      <c r="G89" s="9" t="inlineStr">
        <is>
          <t>코옵 방 목록 응답</t>
        </is>
      </c>
    </row>
    <row r="90">
      <c r="A90" s="8" t="inlineStr">
        <is>
          <t>S→C</t>
        </is>
      </c>
      <c r="B90" s="8" t="inlineStr">
        <is>
          <t>coop_status</t>
        </is>
      </c>
      <c r="C90" s="8" t="inlineStr">
        <is>
          <t>—</t>
        </is>
      </c>
      <c r="D90" s="8" t="inlineStr">
        <is>
          <t>—</t>
        </is>
      </c>
      <c r="E90" s="8" t="inlineStr">
        <is>
          <t>{roomId, phase, wave, ...}</t>
        </is>
      </c>
      <c r="F90" s="8" t="inlineStr">
        <is>
          <t>IO</t>
        </is>
      </c>
      <c r="G90" s="8" t="inlineStr">
        <is>
          <t>코옵 상태 응답</t>
        </is>
      </c>
    </row>
    <row r="91">
      <c r="A91" s="9" t="inlineStr">
        <is>
          <t>S→C</t>
        </is>
      </c>
      <c r="B91" s="9" t="inlineStr">
        <is>
          <t>server_msg</t>
        </is>
      </c>
      <c r="C91" s="9" t="inlineStr">
        <is>
          <t>—</t>
        </is>
      </c>
      <c r="D91" s="9" t="inlineStr">
        <is>
          <t>—</t>
        </is>
      </c>
      <c r="E91" s="9" t="inlineStr">
        <is>
          <t>{msg, type}</t>
        </is>
      </c>
      <c r="F91" s="9" t="inlineStr">
        <is>
          <t>공통</t>
        </is>
      </c>
      <c r="G91" s="9" t="inlineStr">
        <is>
          <t>서버 전체 알림 (boss/rare/normal/danger)</t>
        </is>
      </c>
    </row>
  </sheetData>
  <mergeCells count="1">
    <mergeCell ref="A1:G1"/>
  </mergeCell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14" customWidth="1" min="1" max="1"/>
    <col width="8" customWidth="1" min="2" max="2"/>
    <col width="13" customWidth="1" min="3" max="3"/>
    <col width="13" customWidth="1" min="4" max="4"/>
    <col width="13" customWidth="1" min="5" max="5"/>
    <col width="13" customWidth="1" min="6" max="6"/>
    <col width="13" customWidth="1" min="7" max="7"/>
    <col width="14" customWidth="1" min="8" max="8"/>
    <col width="14" customWidth="1" min="9" max="9"/>
    <col width="22" customWidth="1" min="10" max="10"/>
  </cols>
  <sheetData>
    <row r="1">
      <c r="A1" s="6" t="inlineStr">
        <is>
          <t>용병 각성별 스탯 &amp; 장비 가이드 (Lv50 기준)</t>
        </is>
      </c>
    </row>
    <row r="3">
      <c r="A3" s="7" t="inlineStr">
        <is>
          <t>용병</t>
        </is>
      </c>
      <c r="B3" s="7" t="inlineStr">
        <is>
          <t>등급</t>
        </is>
      </c>
      <c r="C3" s="7" t="inlineStr">
        <is>
          <t>★0 전투력</t>
        </is>
      </c>
      <c r="D3" s="7" t="inlineStr">
        <is>
          <t>★1 전투력</t>
        </is>
      </c>
      <c r="E3" s="7" t="inlineStr">
        <is>
          <t>★2 전투력</t>
        </is>
      </c>
      <c r="F3" s="7" t="inlineStr">
        <is>
          <t>★3 전투력</t>
        </is>
      </c>
      <c r="G3" s="7" t="inlineStr">
        <is>
          <t>★5 전투력</t>
        </is>
      </c>
      <c r="H3" s="7" t="inlineStr">
        <is>
          <t>최적 무기</t>
        </is>
      </c>
      <c r="I3" s="7" t="inlineStr">
        <is>
          <t>최적 방어구</t>
        </is>
      </c>
      <c r="J3" s="7" t="inlineStr">
        <is>
          <t>추천 빌드</t>
        </is>
      </c>
    </row>
    <row r="4">
      <c r="A4" s="8" t="inlineStr">
        <is>
          <t>보병</t>
        </is>
      </c>
      <c r="B4" s="8" t="inlineStr">
        <is>
          <t>일반</t>
        </is>
      </c>
      <c r="C4" s="8" t="inlineStr">
        <is>
          <t>320</t>
        </is>
      </c>
      <c r="D4" s="8" t="inlineStr">
        <is>
          <t>393</t>
        </is>
      </c>
      <c r="E4" s="8" t="inlineStr">
        <is>
          <t>503</t>
        </is>
      </c>
      <c r="F4" s="8" t="inlineStr">
        <is>
          <t>659</t>
        </is>
      </c>
      <c r="G4" s="8" t="inlineStr">
        <is>
          <t>1,153</t>
        </is>
      </c>
      <c r="H4" s="8" t="inlineStr">
        <is>
          <t>전설의 검</t>
        </is>
      </c>
      <c r="I4" s="8" t="inlineStr">
        <is>
          <t>용린 갑옷</t>
        </is>
      </c>
      <c r="J4" s="8" t="inlineStr">
        <is>
          <t>공격+생존 밸런스</t>
        </is>
      </c>
    </row>
    <row r="5">
      <c r="A5" s="9" t="inlineStr">
        <is>
          <t>궁수</t>
        </is>
      </c>
      <c r="B5" s="9" t="inlineStr">
        <is>
          <t>일반</t>
        </is>
      </c>
      <c r="C5" s="9" t="inlineStr">
        <is>
          <t>304</t>
        </is>
      </c>
      <c r="D5" s="9" t="inlineStr">
        <is>
          <t>375</t>
        </is>
      </c>
      <c r="E5" s="9" t="inlineStr">
        <is>
          <t>483</t>
        </is>
      </c>
      <c r="F5" s="9" t="inlineStr">
        <is>
          <t>637</t>
        </is>
      </c>
      <c r="G5" s="9" t="inlineStr">
        <is>
          <t>1,126</t>
        </is>
      </c>
      <c r="H5" s="9" t="inlineStr">
        <is>
          <t>마법 검</t>
        </is>
      </c>
      <c r="I5" s="9" t="inlineStr">
        <is>
          <t>가죽 갑옷</t>
        </is>
      </c>
      <c r="J5" s="9" t="inlineStr">
        <is>
          <t>치명률 극대화</t>
        </is>
      </c>
    </row>
    <row r="6">
      <c r="A6" s="8" t="inlineStr">
        <is>
          <t>기사</t>
        </is>
      </c>
      <c r="B6" s="8" t="inlineStr">
        <is>
          <t>고급</t>
        </is>
      </c>
      <c r="C6" s="8" t="inlineStr">
        <is>
          <t>373</t>
        </is>
      </c>
      <c r="D6" s="8" t="inlineStr">
        <is>
          <t>460</t>
        </is>
      </c>
      <c r="E6" s="8" t="inlineStr">
        <is>
          <t>597</t>
        </is>
      </c>
      <c r="F6" s="8" t="inlineStr">
        <is>
          <t>791</t>
        </is>
      </c>
      <c r="G6" s="8" t="inlineStr">
        <is>
          <t>1,415</t>
        </is>
      </c>
      <c r="H6" s="8" t="inlineStr">
        <is>
          <t>전설의 검</t>
        </is>
      </c>
      <c r="I6" s="8" t="inlineStr">
        <is>
          <t>용린 갑옷</t>
        </is>
      </c>
      <c r="J6" s="8" t="inlineStr">
        <is>
          <t>공격+생존 밸런스</t>
        </is>
      </c>
    </row>
    <row r="7">
      <c r="A7" s="9" t="inlineStr">
        <is>
          <t>마법사</t>
        </is>
      </c>
      <c r="B7" s="9" t="inlineStr">
        <is>
          <t>고급</t>
        </is>
      </c>
      <c r="C7" s="9" t="inlineStr">
        <is>
          <t>330</t>
        </is>
      </c>
      <c r="D7" s="9" t="inlineStr">
        <is>
          <t>411</t>
        </is>
      </c>
      <c r="E7" s="9" t="inlineStr">
        <is>
          <t>541</t>
        </is>
      </c>
      <c r="F7" s="9" t="inlineStr">
        <is>
          <t>728</t>
        </is>
      </c>
      <c r="G7" s="9" t="inlineStr">
        <is>
          <t>1,339</t>
        </is>
      </c>
      <c r="H7" s="9" t="inlineStr">
        <is>
          <t>마법 검</t>
        </is>
      </c>
      <c r="I7" s="9" t="inlineStr">
        <is>
          <t>판금 갑옷</t>
        </is>
      </c>
      <c r="J7" s="9" t="inlineStr">
        <is>
          <t>마공+치명 중심</t>
        </is>
      </c>
    </row>
    <row r="8">
      <c r="A8" s="8" t="inlineStr">
        <is>
          <t>광전사</t>
        </is>
      </c>
      <c r="B8" s="8" t="inlineStr">
        <is>
          <t>고급</t>
        </is>
      </c>
      <c r="C8" s="8" t="inlineStr">
        <is>
          <t>352</t>
        </is>
      </c>
      <c r="D8" s="8" t="inlineStr">
        <is>
          <t>436</t>
        </is>
      </c>
      <c r="E8" s="8" t="inlineStr">
        <is>
          <t>570</t>
        </is>
      </c>
      <c r="F8" s="8" t="inlineStr">
        <is>
          <t>760</t>
        </is>
      </c>
      <c r="G8" s="8" t="inlineStr">
        <is>
          <t>1,378</t>
        </is>
      </c>
      <c r="H8" s="8" t="inlineStr">
        <is>
          <t>전설의 검</t>
        </is>
      </c>
      <c r="I8" s="8" t="inlineStr">
        <is>
          <t>용린 갑옷</t>
        </is>
      </c>
      <c r="J8" s="8" t="inlineStr">
        <is>
          <t>공격+생존 밸런스</t>
        </is>
      </c>
    </row>
    <row r="9">
      <c r="A9" s="9" t="inlineStr">
        <is>
          <t>성기사</t>
        </is>
      </c>
      <c r="B9" s="9" t="inlineStr">
        <is>
          <t>희귀</t>
        </is>
      </c>
      <c r="C9" s="9" t="inlineStr">
        <is>
          <t>545</t>
        </is>
      </c>
      <c r="D9" s="9" t="inlineStr">
        <is>
          <t>667</t>
        </is>
      </c>
      <c r="E9" s="9" t="inlineStr">
        <is>
          <t>853</t>
        </is>
      </c>
      <c r="F9" s="9" t="inlineStr">
        <is>
          <t>1,115</t>
        </is>
      </c>
      <c r="G9" s="9" t="inlineStr">
        <is>
          <t>1,948</t>
        </is>
      </c>
      <c r="H9" s="9" t="inlineStr">
        <is>
          <t>전설의 검</t>
        </is>
      </c>
      <c r="I9" s="9" t="inlineStr">
        <is>
          <t>용린 갑옷</t>
        </is>
      </c>
      <c r="J9" s="9" t="inlineStr">
        <is>
          <t>공격+생존 밸런스</t>
        </is>
      </c>
    </row>
    <row r="10">
      <c r="A10" s="8" t="inlineStr">
        <is>
          <t>암살자</t>
        </is>
      </c>
      <c r="B10" s="8" t="inlineStr">
        <is>
          <t>희귀</t>
        </is>
      </c>
      <c r="C10" s="8" t="inlineStr">
        <is>
          <t>483</t>
        </is>
      </c>
      <c r="D10" s="8" t="inlineStr">
        <is>
          <t>596</t>
        </is>
      </c>
      <c r="E10" s="8" t="inlineStr">
        <is>
          <t>772</t>
        </is>
      </c>
      <c r="F10" s="8" t="inlineStr">
        <is>
          <t>1,026</t>
        </is>
      </c>
      <c r="G10" s="8" t="inlineStr">
        <is>
          <t>1,840</t>
        </is>
      </c>
      <c r="H10" s="8" t="inlineStr">
        <is>
          <t>전설의 검</t>
        </is>
      </c>
      <c r="I10" s="8" t="inlineStr">
        <is>
          <t>가죽 갑옷</t>
        </is>
      </c>
      <c r="J10" s="8" t="inlineStr">
        <is>
          <t>고공격+회피</t>
        </is>
      </c>
    </row>
    <row r="11">
      <c r="A11" s="9" t="inlineStr">
        <is>
          <t>사제</t>
        </is>
      </c>
      <c r="B11" s="9" t="inlineStr">
        <is>
          <t>희귀</t>
        </is>
      </c>
      <c r="C11" s="9" t="inlineStr">
        <is>
          <t>467</t>
        </is>
      </c>
      <c r="D11" s="9" t="inlineStr">
        <is>
          <t>577</t>
        </is>
      </c>
      <c r="E11" s="9" t="inlineStr">
        <is>
          <t>752</t>
        </is>
      </c>
      <c r="F11" s="9" t="inlineStr">
        <is>
          <t>1,002</t>
        </is>
      </c>
      <c r="G11" s="9" t="inlineStr">
        <is>
          <t>1,812</t>
        </is>
      </c>
      <c r="H11" s="9" t="inlineStr">
        <is>
          <t>강철 검</t>
        </is>
      </c>
      <c r="I11" s="9" t="inlineStr">
        <is>
          <t>용린 갑옷</t>
        </is>
      </c>
      <c r="J11" s="9" t="inlineStr">
        <is>
          <t>생존+방어 중심</t>
        </is>
      </c>
    </row>
    <row r="12">
      <c r="A12" s="8" t="inlineStr">
        <is>
          <t>흑마법사</t>
        </is>
      </c>
      <c r="B12" s="8" t="inlineStr">
        <is>
          <t>희귀</t>
        </is>
      </c>
      <c r="C12" s="8" t="inlineStr">
        <is>
          <t>476</t>
        </is>
      </c>
      <c r="D12" s="8" t="inlineStr">
        <is>
          <t>588</t>
        </is>
      </c>
      <c r="E12" s="8" t="inlineStr">
        <is>
          <t>763</t>
        </is>
      </c>
      <c r="F12" s="8" t="inlineStr">
        <is>
          <t>1,015</t>
        </is>
      </c>
      <c r="G12" s="8" t="inlineStr">
        <is>
          <t>1,828</t>
        </is>
      </c>
      <c r="H12" s="8" t="inlineStr">
        <is>
          <t>마법 검</t>
        </is>
      </c>
      <c r="I12" s="8" t="inlineStr">
        <is>
          <t>판금 갑옷</t>
        </is>
      </c>
      <c r="J12" s="8" t="inlineStr">
        <is>
          <t>마공+치명 중심</t>
        </is>
      </c>
    </row>
    <row r="13">
      <c r="A13" s="9" t="inlineStr">
        <is>
          <t>저격수</t>
        </is>
      </c>
      <c r="B13" s="9" t="inlineStr">
        <is>
          <t>희귀</t>
        </is>
      </c>
      <c r="C13" s="9" t="inlineStr">
        <is>
          <t>482</t>
        </is>
      </c>
      <c r="D13" s="9" t="inlineStr">
        <is>
          <t>595</t>
        </is>
      </c>
      <c r="E13" s="9" t="inlineStr">
        <is>
          <t>772</t>
        </is>
      </c>
      <c r="F13" s="9" t="inlineStr">
        <is>
          <t>1,025</t>
        </is>
      </c>
      <c r="G13" s="9" t="inlineStr">
        <is>
          <t>1,839</t>
        </is>
      </c>
      <c r="H13" s="9" t="inlineStr">
        <is>
          <t>마법 검</t>
        </is>
      </c>
      <c r="I13" s="9" t="inlineStr">
        <is>
          <t>가죽 갑옷</t>
        </is>
      </c>
      <c r="J13" s="9" t="inlineStr">
        <is>
          <t>치명률 극대화</t>
        </is>
      </c>
    </row>
    <row r="14">
      <c r="A14" s="8" t="inlineStr">
        <is>
          <t>드래곤나이트</t>
        </is>
      </c>
      <c r="B14" s="8" t="inlineStr">
        <is>
          <t>영웅</t>
        </is>
      </c>
      <c r="C14" s="8" t="inlineStr">
        <is>
          <t>847</t>
        </is>
      </c>
      <c r="D14" s="8" t="inlineStr">
        <is>
          <t>1,031</t>
        </is>
      </c>
      <c r="E14" s="8" t="inlineStr">
        <is>
          <t>1,295</t>
        </is>
      </c>
      <c r="F14" s="8" t="inlineStr">
        <is>
          <t>1,661</t>
        </is>
      </c>
      <c r="G14" s="8" t="inlineStr">
        <is>
          <t>2,790</t>
        </is>
      </c>
      <c r="H14" s="8" t="inlineStr">
        <is>
          <t>전설의 검</t>
        </is>
      </c>
      <c r="I14" s="8" t="inlineStr">
        <is>
          <t>용린 갑옷</t>
        </is>
      </c>
      <c r="J14" s="8" t="inlineStr">
        <is>
          <t>공격+생존 밸런스</t>
        </is>
      </c>
    </row>
    <row r="15">
      <c r="A15" s="9" t="inlineStr">
        <is>
          <t>대마법사</t>
        </is>
      </c>
      <c r="B15" s="9" t="inlineStr">
        <is>
          <t>영웅</t>
        </is>
      </c>
      <c r="C15" s="9" t="inlineStr">
        <is>
          <t>749</t>
        </is>
      </c>
      <c r="D15" s="9" t="inlineStr">
        <is>
          <t>918</t>
        </is>
      </c>
      <c r="E15" s="9" t="inlineStr">
        <is>
          <t>1,167</t>
        </is>
      </c>
      <c r="F15" s="9" t="inlineStr">
        <is>
          <t>1,519</t>
        </is>
      </c>
      <c r="G15" s="9" t="inlineStr">
        <is>
          <t>2,619</t>
        </is>
      </c>
      <c r="H15" s="9" t="inlineStr">
        <is>
          <t>마법 검</t>
        </is>
      </c>
      <c r="I15" s="9" t="inlineStr">
        <is>
          <t>판금 갑옷</t>
        </is>
      </c>
      <c r="J15" s="9" t="inlineStr">
        <is>
          <t>마공+치명 중심</t>
        </is>
      </c>
    </row>
    <row r="16">
      <c r="A16" s="8" t="inlineStr">
        <is>
          <t>서리여왕</t>
        </is>
      </c>
      <c r="B16" s="8" t="inlineStr">
        <is>
          <t>영웅</t>
        </is>
      </c>
      <c r="C16" s="8" t="inlineStr">
        <is>
          <t>762</t>
        </is>
      </c>
      <c r="D16" s="8" t="inlineStr">
        <is>
          <t>933</t>
        </is>
      </c>
      <c r="E16" s="8" t="inlineStr">
        <is>
          <t>1,184</t>
        </is>
      </c>
      <c r="F16" s="8" t="inlineStr">
        <is>
          <t>1,538</t>
        </is>
      </c>
      <c r="G16" s="8" t="inlineStr">
        <is>
          <t>2,641</t>
        </is>
      </c>
      <c r="H16" s="8" t="inlineStr">
        <is>
          <t>마법 검</t>
        </is>
      </c>
      <c r="I16" s="8" t="inlineStr">
        <is>
          <t>판금 갑옷</t>
        </is>
      </c>
      <c r="J16" s="8" t="inlineStr">
        <is>
          <t>마공+치명 중심</t>
        </is>
      </c>
    </row>
    <row r="17">
      <c r="A17" s="9" t="inlineStr">
        <is>
          <t>검성</t>
        </is>
      </c>
      <c r="B17" s="9" t="inlineStr">
        <is>
          <t>영웅</t>
        </is>
      </c>
      <c r="C17" s="9" t="inlineStr">
        <is>
          <t>796</t>
        </is>
      </c>
      <c r="D17" s="9" t="inlineStr">
        <is>
          <t>972</t>
        </is>
      </c>
      <c r="E17" s="9" t="inlineStr">
        <is>
          <t>1,228</t>
        </is>
      </c>
      <c r="F17" s="9" t="inlineStr">
        <is>
          <t>1,588</t>
        </is>
      </c>
      <c r="G17" s="9" t="inlineStr">
        <is>
          <t>2,701</t>
        </is>
      </c>
      <c r="H17" s="9" t="inlineStr">
        <is>
          <t>전설의 검</t>
        </is>
      </c>
      <c r="I17" s="9" t="inlineStr">
        <is>
          <t>용린 갑옷</t>
        </is>
      </c>
      <c r="J17" s="9" t="inlineStr">
        <is>
          <t>공격+생존 밸런스</t>
        </is>
      </c>
    </row>
    <row r="18">
      <c r="A18" s="8" t="inlineStr">
        <is>
          <t>시간마법사</t>
        </is>
      </c>
      <c r="B18" s="8" t="inlineStr">
        <is>
          <t>영웅</t>
        </is>
      </c>
      <c r="C18" s="8" t="inlineStr">
        <is>
          <t>752</t>
        </is>
      </c>
      <c r="D18" s="8" t="inlineStr">
        <is>
          <t>921</t>
        </is>
      </c>
      <c r="E18" s="8" t="inlineStr">
        <is>
          <t>1,171</t>
        </is>
      </c>
      <c r="F18" s="8" t="inlineStr">
        <is>
          <t>1,524</t>
        </is>
      </c>
      <c r="G18" s="8" t="inlineStr">
        <is>
          <t>2,624</t>
        </is>
      </c>
      <c r="H18" s="8" t="inlineStr">
        <is>
          <t>마법 검</t>
        </is>
      </c>
      <c r="I18" s="8" t="inlineStr">
        <is>
          <t>판금 갑옷</t>
        </is>
      </c>
      <c r="J18" s="8" t="inlineStr">
        <is>
          <t>마공+치명 중심</t>
        </is>
      </c>
    </row>
    <row r="19">
      <c r="A19" s="9" t="inlineStr">
        <is>
          <t>죽음의기사</t>
        </is>
      </c>
      <c r="B19" s="9" t="inlineStr">
        <is>
          <t>전설</t>
        </is>
      </c>
      <c r="C19" s="9" t="inlineStr">
        <is>
          <t>1,145</t>
        </is>
      </c>
      <c r="D19" s="9" t="inlineStr">
        <is>
          <t>1,394</t>
        </is>
      </c>
      <c r="E19" s="9" t="inlineStr">
        <is>
          <t>1,754</t>
        </is>
      </c>
      <c r="F19" s="9" t="inlineStr">
        <is>
          <t>2,252</t>
        </is>
      </c>
      <c r="G19" s="9" t="inlineStr">
        <is>
          <t>3,792</t>
        </is>
      </c>
      <c r="H19" s="9" t="inlineStr">
        <is>
          <t>전설의 검</t>
        </is>
      </c>
      <c r="I19" s="9" t="inlineStr">
        <is>
          <t>용린 갑옷</t>
        </is>
      </c>
      <c r="J19" s="9" t="inlineStr">
        <is>
          <t>공격+생존 밸런스</t>
        </is>
      </c>
    </row>
    <row r="20">
      <c r="A20" s="8" t="inlineStr">
        <is>
          <t>세라핌</t>
        </is>
      </c>
      <c r="B20" s="8" t="inlineStr">
        <is>
          <t>전설</t>
        </is>
      </c>
      <c r="C20" s="8" t="inlineStr">
        <is>
          <t>1,060</t>
        </is>
      </c>
      <c r="D20" s="8" t="inlineStr">
        <is>
          <t>1,297</t>
        </is>
      </c>
      <c r="E20" s="8" t="inlineStr">
        <is>
          <t>1,643</t>
        </is>
      </c>
      <c r="F20" s="8" t="inlineStr">
        <is>
          <t>2,129</t>
        </is>
      </c>
      <c r="G20" s="8" t="inlineStr">
        <is>
          <t>3,643</t>
        </is>
      </c>
      <c r="H20" s="8" t="inlineStr">
        <is>
          <t>강철 검</t>
        </is>
      </c>
      <c r="I20" s="8" t="inlineStr">
        <is>
          <t>용린 갑옷</t>
        </is>
      </c>
      <c r="J20" s="8" t="inlineStr">
        <is>
          <t>생존+방어 중심</t>
        </is>
      </c>
    </row>
    <row r="21">
      <c r="A21" s="9" t="inlineStr">
        <is>
          <t>천상의기사</t>
        </is>
      </c>
      <c r="B21" s="9" t="inlineStr">
        <is>
          <t>전설</t>
        </is>
      </c>
      <c r="C21" s="9" t="inlineStr">
        <is>
          <t>1,178</t>
        </is>
      </c>
      <c r="D21" s="9" t="inlineStr">
        <is>
          <t>1,432</t>
        </is>
      </c>
      <c r="E21" s="9" t="inlineStr">
        <is>
          <t>1,796</t>
        </is>
      </c>
      <c r="F21" s="9" t="inlineStr">
        <is>
          <t>2,299</t>
        </is>
      </c>
      <c r="G21" s="9" t="inlineStr">
        <is>
          <t>3,849</t>
        </is>
      </c>
      <c r="H21" s="9" t="inlineStr">
        <is>
          <t>전설의 검</t>
        </is>
      </c>
      <c r="I21" s="9" t="inlineStr">
        <is>
          <t>용린 갑옷</t>
        </is>
      </c>
      <c r="J21" s="9" t="inlineStr">
        <is>
          <t>공격+생존 밸런스</t>
        </is>
      </c>
    </row>
    <row r="22">
      <c r="A22" s="8" t="inlineStr">
        <is>
          <t>바하무트</t>
        </is>
      </c>
      <c r="B22" s="8" t="inlineStr">
        <is>
          <t>신화</t>
        </is>
      </c>
      <c r="C22" s="8" t="inlineStr">
        <is>
          <t>2,011</t>
        </is>
      </c>
      <c r="D22" s="8" t="inlineStr">
        <is>
          <t>2,442</t>
        </is>
      </c>
      <c r="E22" s="8" t="inlineStr">
        <is>
          <t>3,056</t>
        </is>
      </c>
      <c r="F22" s="8" t="inlineStr">
        <is>
          <t>3,903</t>
        </is>
      </c>
      <c r="G22" s="8" t="inlineStr">
        <is>
          <t>6,501</t>
        </is>
      </c>
      <c r="H22" s="8" t="inlineStr">
        <is>
          <t>전설의 검</t>
        </is>
      </c>
      <c r="I22" s="8" t="inlineStr">
        <is>
          <t>용린 갑옷</t>
        </is>
      </c>
      <c r="J22" s="8" t="inlineStr">
        <is>
          <t>공격+생존 밸런스</t>
        </is>
      </c>
    </row>
    <row r="23">
      <c r="A23" s="9" t="inlineStr">
        <is>
          <t>전쟁의신</t>
        </is>
      </c>
      <c r="B23" s="9" t="inlineStr">
        <is>
          <t>신화</t>
        </is>
      </c>
      <c r="C23" s="9" t="inlineStr">
        <is>
          <t>1,916</t>
        </is>
      </c>
      <c r="D23" s="9" t="inlineStr">
        <is>
          <t>2,333</t>
        </is>
      </c>
      <c r="E23" s="9" t="inlineStr">
        <is>
          <t>2,933</t>
        </is>
      </c>
      <c r="F23" s="9" t="inlineStr">
        <is>
          <t>3,765</t>
        </is>
      </c>
      <c r="G23" s="9" t="inlineStr">
        <is>
          <t>6,335</t>
        </is>
      </c>
      <c r="H23" s="9" t="inlineStr">
        <is>
          <t>전설의 검</t>
        </is>
      </c>
      <c r="I23" s="9" t="inlineStr">
        <is>
          <t>용린 갑옷</t>
        </is>
      </c>
      <c r="J23" s="9" t="inlineStr">
        <is>
          <t>공격+생존 밸런스</t>
        </is>
      </c>
    </row>
  </sheetData>
  <mergeCells count="1">
    <mergeCell ref="A1:J1"/>
  </mergeCell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8" customWidth="1" min="1" max="1"/>
    <col width="10" customWidth="1" min="2" max="2"/>
    <col width="38" customWidth="1" min="3" max="3"/>
    <col width="32" customWidth="1" min="4" max="4"/>
    <col width="12" customWidth="1" min="5" max="5"/>
    <col width="36" customWidth="1" min="6" max="6"/>
    <col width="32" customWidth="1" min="7" max="7"/>
    <col width="24" customWidth="1" min="8" max="8"/>
    <col width="12" customWidth="1" min="9" max="9"/>
  </cols>
  <sheetData>
    <row r="1">
      <c r="A1" s="6" t="inlineStr">
        <is>
          <t>성 방어 배치 전략 10종</t>
        </is>
      </c>
    </row>
    <row r="3">
      <c r="A3" s="7" t="inlineStr">
        <is>
          <t>전략명</t>
        </is>
      </c>
      <c r="B3" s="7" t="inlineStr">
        <is>
          <t>성 레벨</t>
        </is>
      </c>
      <c r="C3" s="7" t="inlineStr">
        <is>
          <t>함정 배치</t>
        </is>
      </c>
      <c r="D3" s="7" t="inlineStr">
        <is>
          <t>용병 배치</t>
        </is>
      </c>
      <c r="E3" s="7" t="inlineStr">
        <is>
          <t>총 비용</t>
        </is>
      </c>
      <c r="F3" s="7" t="inlineStr">
        <is>
          <t>강점</t>
        </is>
      </c>
      <c r="G3" s="7" t="inlineStr">
        <is>
          <t>약점</t>
        </is>
      </c>
      <c r="H3" s="7" t="inlineStr">
        <is>
          <t>대응할 공격 유형</t>
        </is>
      </c>
      <c r="I3" s="7" t="inlineStr">
        <is>
          <t>승률 예상</t>
        </is>
      </c>
    </row>
    <row r="4">
      <c r="A4" s="8" t="inlineStr">
        <is>
          <t>초보 기본 방어</t>
        </is>
      </c>
      <c r="B4" s="8" t="inlineStr">
        <is>
          <t>Lv1</t>
        </is>
      </c>
      <c r="C4" s="8" t="inlineStr">
        <is>
          <t>가시함정×3, 화염함정×1</t>
        </is>
      </c>
      <c r="D4" s="8" t="inlineStr">
        <is>
          <t>보병×2, 궁수×1</t>
        </is>
      </c>
      <c r="E4" s="8" t="inlineStr">
        <is>
          <t>450G</t>
        </is>
      </c>
      <c r="F4" s="8" t="inlineStr">
        <is>
          <t>저비용으로 즉시 배치 가능, 초반 방어에 적합</t>
        </is>
      </c>
      <c r="G4" s="8" t="inlineStr">
        <is>
          <t>화력 부족, 다수 적에게 돌파당하기 쉬움</t>
        </is>
      </c>
      <c r="H4" s="8" t="inlineStr">
        <is>
          <t>소수 보병 러시</t>
        </is>
      </c>
      <c r="I4" s="8" t="inlineStr">
        <is>
          <t>45%</t>
        </is>
      </c>
    </row>
    <row r="5">
      <c r="A5" s="9" t="inlineStr">
        <is>
          <t>감속 지옥</t>
        </is>
      </c>
      <c r="B5" s="9" t="inlineStr">
        <is>
          <t>Lv2</t>
        </is>
      </c>
      <c r="C5" s="9" t="inlineStr">
        <is>
          <t>감속함정×3, 빙결함정×2, 독함정×2</t>
        </is>
      </c>
      <c r="D5" s="9" t="inlineStr">
        <is>
          <t>궁수×2, 마법사×1</t>
        </is>
      </c>
      <c r="E5" s="9" t="inlineStr">
        <is>
          <t>1,200G</t>
        </is>
      </c>
      <c r="F5" s="9" t="inlineStr">
        <is>
          <t>적 이동속도 극감, 독 지속피해로 체력 소모</t>
        </is>
      </c>
      <c r="G5" s="9" t="inlineStr">
        <is>
          <t>감속 면역 유닛에 무력, 함정 밀집 시 우회 가능</t>
        </is>
      </c>
      <c r="H5" s="9" t="inlineStr">
        <is>
          <t>보병+기사 혼합 공격</t>
        </is>
      </c>
      <c r="I5" s="9" t="inlineStr">
        <is>
          <t>58%</t>
        </is>
      </c>
    </row>
    <row r="6">
      <c r="A6" s="8" t="inlineStr">
        <is>
          <t>텔포 루프</t>
        </is>
      </c>
      <c r="B6" s="8" t="inlineStr">
        <is>
          <t>Lv2</t>
        </is>
      </c>
      <c r="C6" s="8" t="inlineStr">
        <is>
          <t>텔레포트함정×3, 가시함정×4</t>
        </is>
      </c>
      <c r="D6" s="8" t="inlineStr">
        <is>
          <t>궁수×2, 도적×1</t>
        </is>
      </c>
      <c r="E6" s="8" t="inlineStr">
        <is>
          <t>1,050G</t>
        </is>
      </c>
      <c r="F6" s="8" t="inlineStr">
        <is>
          <t>적을 가시밭으로 반복 전송, 혼란 유발</t>
        </is>
      </c>
      <c r="G6" s="8" t="inlineStr">
        <is>
          <t>텔레포트 면역 보스에 무효, 배치 실수 시 아군에게 불리</t>
        </is>
      </c>
      <c r="H6" s="8" t="inlineStr">
        <is>
          <t>단일 강력 유닛 공격</t>
        </is>
      </c>
      <c r="I6" s="8" t="inlineStr">
        <is>
          <t>52%</t>
        </is>
      </c>
    </row>
    <row r="7">
      <c r="A7" s="9" t="inlineStr">
        <is>
          <t>소환수 벽</t>
        </is>
      </c>
      <c r="B7" s="9" t="inlineStr">
        <is>
          <t>Lv3</t>
        </is>
      </c>
      <c r="C7" s="9" t="inlineStr">
        <is>
          <t>소환함정×3, 화염함정×2, 가시함정×2</t>
        </is>
      </c>
      <c r="D7" s="9" t="inlineStr">
        <is>
          <t>강령술사×2, 힐러×1</t>
        </is>
      </c>
      <c r="E7" s="9" t="inlineStr">
        <is>
          <t>2,100G</t>
        </is>
      </c>
      <c r="F7" s="9" t="inlineStr">
        <is>
          <t>소환수가 전방 탱킹, 강령술사 추가 소환으로 물량전</t>
        </is>
      </c>
      <c r="G7" s="9" t="inlineStr">
        <is>
          <t>광역 공격에 소환수 일괄 제거됨</t>
        </is>
      </c>
      <c r="H7" s="9" t="inlineStr">
        <is>
          <t>단일 대상 근접 공격</t>
        </is>
      </c>
      <c r="I7" s="9" t="inlineStr">
        <is>
          <t>62%</t>
        </is>
      </c>
    </row>
    <row r="8">
      <c r="A8" s="8" t="inlineStr">
        <is>
          <t>화살탑 크로스파이어</t>
        </is>
      </c>
      <c r="B8" s="8" t="inlineStr">
        <is>
          <t>Lv3</t>
        </is>
      </c>
      <c r="C8" s="8" t="inlineStr">
        <is>
          <t>화살탑×3, 감속함정×2, 폭탄함정×1</t>
        </is>
      </c>
      <c r="D8" s="8" t="inlineStr">
        <is>
          <t>궁수×3, 마법사×1</t>
        </is>
      </c>
      <c r="E8" s="8" t="inlineStr">
        <is>
          <t>2,400G</t>
        </is>
      </c>
      <c r="F8" s="8" t="inlineStr">
        <is>
          <t>3개 화살탑 교차사격으로 넓은 킬존 확보</t>
        </is>
      </c>
      <c r="G8" s="8" t="inlineStr">
        <is>
          <t>화살탑 파괴 시 방어력 급감, 마법 방패 유닛에 약함</t>
        </is>
      </c>
      <c r="H8" s="8" t="inlineStr">
        <is>
          <t>다수 경량 유닛 웨이브</t>
        </is>
      </c>
      <c r="I8" s="8" t="inlineStr">
        <is>
          <t>65%</t>
        </is>
      </c>
    </row>
    <row r="9">
      <c r="A9" s="9" t="inlineStr">
        <is>
          <t>미로+매복</t>
        </is>
      </c>
      <c r="B9" s="9" t="inlineStr">
        <is>
          <t>Lv3</t>
        </is>
      </c>
      <c r="C9" s="9" t="inlineStr">
        <is>
          <t>마법장벽×4, 가시함정×3, 독함정×2</t>
        </is>
      </c>
      <c r="D9" s="9" t="inlineStr">
        <is>
          <t>도적×2, 궁수×2</t>
        </is>
      </c>
      <c r="E9" s="9" t="inlineStr">
        <is>
          <t>2,300G</t>
        </is>
      </c>
      <c r="F9" s="9" t="inlineStr">
        <is>
          <t>마법장벽 미로로 이동 경로 강제, 매복 용병이 기습</t>
        </is>
      </c>
      <c r="G9" s="9" t="inlineStr">
        <is>
          <t>장벽 파괴 능력 보유 적에게 무력화</t>
        </is>
      </c>
      <c r="H9" s="9" t="inlineStr">
        <is>
          <t>경로 예측 가능한 일반 공격</t>
        </is>
      </c>
      <c r="I9" s="9" t="inlineStr">
        <is>
          <t>60%</t>
        </is>
      </c>
    </row>
    <row r="10">
      <c r="A10" s="8" t="inlineStr">
        <is>
          <t>장벽 요새</t>
        </is>
      </c>
      <c r="B10" s="8" t="inlineStr">
        <is>
          <t>Lv4</t>
        </is>
      </c>
      <c r="C10" s="8" t="inlineStr">
        <is>
          <t>마법장벽×6 (3중), 화살탑×2, 폭탄함정×2</t>
        </is>
      </c>
      <c r="D10" s="8" t="inlineStr">
        <is>
          <t>기사×2, 궁수×2, 힐러×1</t>
        </is>
      </c>
      <c r="E10" s="8" t="inlineStr">
        <is>
          <t>3,800G</t>
        </is>
      </c>
      <c r="F10" s="8" t="inlineStr">
        <is>
          <t>3중 장벽으로 시간 벌기, 화살탑+궁수 원거리 소모전</t>
        </is>
      </c>
      <c r="G10" s="8" t="inlineStr">
        <is>
          <t>고비용, 장벽 관통 마법 공격에 취약</t>
        </is>
      </c>
      <c r="H10" s="8" t="inlineStr">
        <is>
          <t>물리 근접 위주 공격</t>
        </is>
      </c>
      <c r="I10" s="8" t="inlineStr">
        <is>
          <t>70%</t>
        </is>
      </c>
    </row>
    <row r="11">
      <c r="A11" s="9" t="inlineStr">
        <is>
          <t>풀 CC 지옥</t>
        </is>
      </c>
      <c r="B11" s="9" t="inlineStr">
        <is>
          <t>Lv4</t>
        </is>
      </c>
      <c r="C11" s="9" t="inlineStr">
        <is>
          <t>빙결함정×2, 감속함정×2, 독함정×2, 소환함정×2, 가시함정×2</t>
        </is>
      </c>
      <c r="D11" s="9" t="inlineStr">
        <is>
          <t>마법사×2, 강령술사×1, 힐러×1</t>
        </is>
      </c>
      <c r="E11" s="9" t="inlineStr">
        <is>
          <t>3,500G</t>
        </is>
      </c>
      <c r="F11" s="9" t="inlineStr">
        <is>
          <t>CC 중첩으로 적이 거의 움직이지 못함</t>
        </is>
      </c>
      <c r="G11" s="9" t="inlineStr">
        <is>
          <t>함정 수 많아 관리 복잡, CC 면역 보스에 효과 없음</t>
        </is>
      </c>
      <c r="H11" s="9" t="inlineStr">
        <is>
          <t>일반 유닛 대규모 공격</t>
        </is>
      </c>
      <c r="I11" s="9" t="inlineStr">
        <is>
          <t>72%</t>
        </is>
      </c>
    </row>
    <row r="12">
      <c r="A12" s="8" t="inlineStr">
        <is>
          <t>왕좌 철벽</t>
        </is>
      </c>
      <c r="B12" s="8" t="inlineStr">
        <is>
          <t>Lv5</t>
        </is>
      </c>
      <c r="C12" s="8" t="inlineStr">
        <is>
          <t>마법장벽×4, 화살탑×2, 빙결함정×2, 폭탄함정×2, 소환함정×2</t>
        </is>
      </c>
      <c r="D12" s="8" t="inlineStr">
        <is>
          <t>수호기사×2, 대마법사×1, 힐러×2</t>
        </is>
      </c>
      <c r="E12" s="8" t="inlineStr">
        <is>
          <t>5,200G</t>
        </is>
      </c>
      <c r="F12" s="8" t="inlineStr">
        <is>
          <t>왕좌 주변 집중 방어, 다중 방어선으로 돌파 극히 어려움</t>
        </is>
      </c>
      <c r="G12" s="8" t="inlineStr">
        <is>
          <t>외곽 무방비, 우회 공격에 취약</t>
        </is>
      </c>
      <c r="H12" s="8" t="inlineStr">
        <is>
          <t>정면 돌파형 공성 공격</t>
        </is>
      </c>
      <c r="I12" s="8" t="inlineStr">
        <is>
          <t>78%</t>
        </is>
      </c>
    </row>
    <row r="13">
      <c r="A13" s="9" t="inlineStr">
        <is>
          <t>최적화 만점</t>
        </is>
      </c>
      <c r="B13" s="9" t="inlineStr">
        <is>
          <t>Lv5</t>
        </is>
      </c>
      <c r="C13" s="9" t="inlineStr">
        <is>
          <t>가시×2, 화염×1, 빙결×2, 독×1, 폭탄×1, 화살탑×2, 마법장벽×3, 감속×2, 텔레포트×1, 소환×2</t>
        </is>
      </c>
      <c r="D13" s="9" t="inlineStr">
        <is>
          <t>수호기사×1, 대마법사×1, 궁수×2, 강령술사×1, 힐러×1, 도적×1</t>
        </is>
      </c>
      <c r="E13" s="9" t="inlineStr">
        <is>
          <t>6,500G</t>
        </is>
      </c>
      <c r="F13" s="9" t="inlineStr">
        <is>
          <t>모든 함정+용병 최적 배치, 어떤 공격 유형에도 대응 가능</t>
        </is>
      </c>
      <c r="G13" s="9" t="inlineStr">
        <is>
          <t>최고 비용, 숙련된 배치 감각 필요</t>
        </is>
      </c>
      <c r="H13" s="9" t="inlineStr">
        <is>
          <t>모든 유형 (범용 방어)</t>
        </is>
      </c>
      <c r="I13" s="9" t="inlineStr">
        <is>
          <t>85%</t>
        </is>
      </c>
    </row>
  </sheetData>
  <mergeCells count="1">
    <mergeCell ref="A1:I1"/>
  </mergeCell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12" customWidth="1" min="1" max="1"/>
    <col width="10" customWidth="1" min="2" max="2"/>
    <col width="8" customWidth="1" min="3" max="3"/>
    <col width="30" customWidth="1" min="4" max="4"/>
    <col width="20" customWidth="1" min="5" max="5"/>
    <col width="30" customWidth="1" min="6" max="6"/>
    <col width="30" customWidth="1" min="7" max="7"/>
    <col width="30" customWidth="1" min="8" max="8"/>
    <col width="20" customWidth="1" min="9" max="9"/>
  </cols>
  <sheetData>
    <row r="1">
      <c r="A1" s="6" t="inlineStr">
        <is>
          <t>월드 이벤트 시나리오 상세 (3대 체인)</t>
        </is>
      </c>
    </row>
    <row r="3">
      <c r="A3" s="7" t="inlineStr">
        <is>
          <t>체인</t>
        </is>
      </c>
      <c r="B3" s="7" t="inlineStr">
        <is>
          <t>단계</t>
        </is>
      </c>
      <c r="C3" s="7" t="inlineStr">
        <is>
          <t>일차</t>
        </is>
      </c>
      <c r="D3" s="7" t="inlineStr">
        <is>
          <t>이벤트</t>
        </is>
      </c>
      <c r="E3" s="7" t="inlineStr">
        <is>
          <t>트리거</t>
        </is>
      </c>
      <c r="F3" s="7" t="inlineStr">
        <is>
          <t>서버 영향</t>
        </is>
      </c>
      <c r="G3" s="7" t="inlineStr">
        <is>
          <t>플레이어 행동</t>
        </is>
      </c>
      <c r="H3" s="7" t="inlineStr">
        <is>
          <t>보상/손실</t>
        </is>
      </c>
      <c r="I3" s="7" t="inlineStr">
        <is>
          <t>분기 조건</t>
        </is>
      </c>
    </row>
    <row r="4">
      <c r="A4" s="8" t="inlineStr">
        <is>
          <t>드래곤 각성</t>
        </is>
      </c>
      <c r="B4" s="8" t="inlineStr">
        <is>
          <t>시작</t>
        </is>
      </c>
      <c r="C4" s="8" t="inlineStr">
        <is>
          <t>1일차</t>
        </is>
      </c>
      <c r="D4" s="8" t="inlineStr">
        <is>
          <t>화산 활동 징후 — 용암 분출 이펙트, 전 서버 경고 알림</t>
        </is>
      </c>
      <c r="E4" s="8" t="inlineStr">
        <is>
          <t>자동 (서버 스케줄)</t>
        </is>
      </c>
      <c r="F4" s="8" t="inlineStr">
        <is>
          <t>화산 지역 몬스터 HP +30%, 출현 빈도 2배</t>
        </is>
      </c>
      <c r="G4" s="8" t="inlineStr">
        <is>
          <t>화산 탐사 퀘스트 수락, 화산석 채집</t>
        </is>
      </c>
      <c r="H4" s="8" t="inlineStr">
        <is>
          <t>화산석 10개 → 드래곤 방어 재료</t>
        </is>
      </c>
      <c r="I4" s="8" t="inlineStr">
        <is>
          <t>없음</t>
        </is>
      </c>
    </row>
    <row r="5">
      <c r="A5" s="9" t="inlineStr">
        <is>
          <t>드래곤 각성</t>
        </is>
      </c>
      <c r="B5" s="9" t="inlineStr">
        <is>
          <t>전개</t>
        </is>
      </c>
      <c r="C5" s="9" t="inlineStr">
        <is>
          <t>2일차</t>
        </is>
      </c>
      <c r="D5" s="9" t="inlineStr">
        <is>
          <t>드래곤 정찰대 출현 — 비룡 3마리가 거점 상공 정찰</t>
        </is>
      </c>
      <c r="E5" s="9" t="inlineStr">
        <is>
          <t>자동</t>
        </is>
      </c>
      <c r="F5" s="9" t="inlineStr">
        <is>
          <t>정찰 지역 자원 채집 불가, NPC 상점 가격 +20%</t>
        </is>
      </c>
      <c r="G5" s="9" t="inlineStr">
        <is>
          <t>비룡 격퇴 (파티 추천), 대공 무기 제작</t>
        </is>
      </c>
      <c r="H5" s="9" t="inlineStr">
        <is>
          <t>비룡 격퇴 시 용의 비늘 5개, 실패 시 해당 거점 24시간 봉쇄</t>
        </is>
      </c>
      <c r="I5" s="9" t="inlineStr">
        <is>
          <t>비룡 3마리 중 2마리 이상 격퇴 여부</t>
        </is>
      </c>
    </row>
    <row r="6">
      <c r="A6" s="8" t="inlineStr">
        <is>
          <t>드래곤 각성</t>
        </is>
      </c>
      <c r="B6" s="8" t="inlineStr">
        <is>
          <t>전개</t>
        </is>
      </c>
      <c r="C6" s="8" t="inlineStr">
        <is>
          <t>3일차</t>
        </is>
      </c>
      <c r="D6" s="8" t="inlineStr">
        <is>
          <t>드래곤 군단 이동 시작 — 화산→북부 요새 경로로 대규모 이동</t>
        </is>
      </c>
      <c r="E6" s="8" t="inlineStr">
        <is>
          <t>자동</t>
        </is>
      </c>
      <c r="F6" s="8" t="inlineStr">
        <is>
          <t>이동 경로 무역로 폐쇄, 해당 루트 물품 가격 300% 폭등</t>
        </is>
      </c>
      <c r="G6" s="8" t="inlineStr">
        <is>
          <t>우회 무역로 개척 or 군단 선봉대 기습</t>
        </is>
      </c>
      <c r="H6" s="8" t="inlineStr">
        <is>
          <t>우회로 발견 시 독점 무역 이익 +500%, 기습 성공 시 용의 보주 1개</t>
        </is>
      </c>
      <c r="I6" s="8" t="inlineStr">
        <is>
          <t>선봉대 격퇴 수 (전체 서버 합산)</t>
        </is>
      </c>
    </row>
    <row r="7">
      <c r="A7" s="9" t="inlineStr">
        <is>
          <t>드래곤 각성</t>
        </is>
      </c>
      <c r="B7" s="9" t="inlineStr">
        <is>
          <t>전개</t>
        </is>
      </c>
      <c r="C7" s="9" t="inlineStr">
        <is>
          <t>4일차</t>
        </is>
      </c>
      <c r="D7" s="9" t="inlineStr">
        <is>
          <t>무역로 완전 위협 — 3개 무역 루트 동시 차단, 카라반 약탈 시작</t>
        </is>
      </c>
      <c r="E7" s="9" t="inlineStr">
        <is>
          <t>자동 + 선봉대 격퇴 실패 시 가속</t>
        </is>
      </c>
      <c r="F7" s="9" t="inlineStr">
        <is>
          <t>카라반 이동 시 드래곤 습격 확률 70%, 물품 소실 위험</t>
        </is>
      </c>
      <c r="G7" s="9" t="inlineStr">
        <is>
          <t>호위 편성 필수, 대드래곤 무기 구매 (금화 5000)</t>
        </is>
      </c>
      <c r="H7" s="9" t="inlineStr">
        <is>
          <t>호위 성공 시 무역 이익 3배, 약탈 당하면 물품 전량 소실</t>
        </is>
      </c>
      <c r="I7" s="9" t="inlineStr">
        <is>
          <t>카라반 생존율 50% 이상 유지 여부</t>
        </is>
      </c>
    </row>
    <row r="8">
      <c r="A8" s="8" t="inlineStr">
        <is>
          <t>드래곤 각성</t>
        </is>
      </c>
      <c r="B8" s="8" t="inlineStr">
        <is>
          <t>클라이맥스</t>
        </is>
      </c>
      <c r="C8" s="8" t="inlineStr">
        <is>
          <t>5일차</t>
        </is>
      </c>
      <c r="D8" s="8" t="inlineStr">
        <is>
          <t>드래곤 군단 성 3개 동시 공격 — 서버 전체 방어전 이벤트</t>
        </is>
      </c>
      <c r="E8" s="8" t="inlineStr">
        <is>
          <t>성 소유 혈맹 자동 방어전</t>
        </is>
      </c>
      <c r="F8" s="8" t="inlineStr">
        <is>
          <t>공격받는 성 주변 PvP 강제 활성화, 성벽 HP 실시간 감소</t>
        </is>
      </c>
      <c r="G8" s="8" t="inlineStr">
        <is>
          <t>성 방어 참여 (타워디펜스 모드), 공성 무기 배치, 용병 총동원</t>
        </is>
      </c>
      <c r="H8" s="8" t="inlineStr">
        <is>
          <t>방어 성공: 드래곤 전리품 상자 (전설 장비 확률 10%), 실패: 성 파괴 → 7일 복구</t>
        </is>
      </c>
      <c r="I8" s="8" t="inlineStr">
        <is>
          <t>3개 성 중 2개 이상 방어 성공 여부</t>
        </is>
      </c>
    </row>
    <row r="9">
      <c r="A9" s="9" t="inlineStr">
        <is>
          <t>드래곤 각성</t>
        </is>
      </c>
      <c r="B9" s="9" t="inlineStr">
        <is>
          <t>분기</t>
        </is>
      </c>
      <c r="C9" s="9" t="inlineStr">
        <is>
          <t>6일차</t>
        </is>
      </c>
      <c r="D9" s="9" t="inlineStr">
        <is>
          <t>[성공 루트] 드래곤 군단 퇴각, 잔존 병력 소탕전</t>
        </is>
      </c>
      <c r="E9" s="9" t="inlineStr">
        <is>
          <t>방어 성공 시</t>
        </is>
      </c>
      <c r="F9" s="9" t="inlineStr">
        <is>
          <t>드래곤 잔존 세력 필드 보스로 출현, 희귀 아이템 드롭률 +200%</t>
        </is>
      </c>
      <c r="G9" s="9" t="inlineStr">
        <is>
          <t>잔존 드래곤 사냥, 용의 둥지 레이드 (20인)</t>
        </is>
      </c>
      <c r="H9" s="9" t="inlineStr">
        <is>
          <t>용의 심장 (전설 재료), 드래곤 슬레이어 칭호</t>
        </is>
      </c>
      <c r="I9" s="9" t="inlineStr">
        <is>
          <t>레이드 클리어 여부</t>
        </is>
      </c>
    </row>
    <row r="10">
      <c r="A10" s="8" t="inlineStr">
        <is>
          <t>드래곤 각성</t>
        </is>
      </c>
      <c r="B10" s="8" t="inlineStr">
        <is>
          <t>분기</t>
        </is>
      </c>
      <c r="C10" s="8" t="inlineStr">
        <is>
          <t>6일차</t>
        </is>
      </c>
      <c r="D10" s="8" t="inlineStr">
        <is>
          <t>[실패 루트] 드래곤 지배 — 서버 전역 드래곤 공포 상태</t>
        </is>
      </c>
      <c r="E10" s="8" t="inlineStr">
        <is>
          <t>방어 실패 시</t>
        </is>
      </c>
      <c r="F10" s="8" t="inlineStr">
        <is>
          <t>전 지역 이동속도 -20%, 전투력 -10%, 밤 시간 2배 연장</t>
        </is>
      </c>
      <c r="G10" s="8" t="inlineStr">
        <is>
          <t>저항군 결성 퀘스트, 비밀 무기 제조 (용살검 조합)</t>
        </is>
      </c>
      <c r="H10" s="8" t="inlineStr">
        <is>
          <t>용살검 제작 성공 시 최종 보스전 참여 자격, 드래곤 저항 버프</t>
        </is>
      </c>
      <c r="I10" s="8" t="inlineStr">
        <is>
          <t>용살검 보유 플레이어 수 10명 이상 여부</t>
        </is>
      </c>
    </row>
    <row r="11">
      <c r="A11" s="9" t="inlineStr">
        <is>
          <t>드래곤 각성</t>
        </is>
      </c>
      <c r="B11" s="9" t="inlineStr">
        <is>
          <t>결말</t>
        </is>
      </c>
      <c r="C11" s="9" t="inlineStr">
        <is>
          <t>7일차</t>
        </is>
      </c>
      <c r="D11" s="9" t="inlineStr">
        <is>
          <t>[성공 결말] 평화 복귀 — 용왕 봉인, 축제 시작</t>
        </is>
      </c>
      <c r="E11" s="9" t="inlineStr">
        <is>
          <t>자동</t>
        </is>
      </c>
      <c r="F11" s="9" t="inlineStr">
        <is>
          <t>서버 전체 경험치 +50% 버프 3일, 특별 상점 오픈</t>
        </is>
      </c>
      <c r="G11" s="9" t="inlineStr">
        <is>
          <t>축제 참여, 한정 아이템 구매, 기념 스크린샷</t>
        </is>
      </c>
      <c r="H11" s="9" t="inlineStr">
        <is>
          <t>드래곤 슬레이어 프레임, 전설 용병 소환 티켓 1장</t>
        </is>
      </c>
      <c r="I11" s="9" t="inlineStr">
        <is>
          <t>없음 (이벤트 종료)</t>
        </is>
      </c>
    </row>
    <row r="12">
      <c r="A12" s="8" t="inlineStr">
        <is>
          <t>드래곤 각성</t>
        </is>
      </c>
      <c r="B12" s="8" t="inlineStr">
        <is>
          <t>결말</t>
        </is>
      </c>
      <c r="C12" s="8" t="inlineStr">
        <is>
          <t>7일차</t>
        </is>
      </c>
      <c r="D12" s="8" t="inlineStr">
        <is>
          <t>[실패 결말] 용왕 부활 — 서버 최종 보스 출현</t>
        </is>
      </c>
      <c r="E12" s="8" t="inlineStr">
        <is>
          <t>자동</t>
        </is>
      </c>
      <c r="F12" s="8" t="inlineStr">
        <is>
          <t>용왕 월드보스 출현 (HP 100만), 처치 시까지 디버프 유지</t>
        </is>
      </c>
      <c r="G12" s="8" t="inlineStr">
        <is>
          <t>서버 전원 협력 레이드, 24시간 내 처치 필요</t>
        </is>
      </c>
      <c r="H12" s="8" t="inlineStr">
        <is>
          <t>용왕 처치: 참여자 전원 SSR 용병 1기 + 칭호, 미처치: 디버프 1주 지속</t>
        </is>
      </c>
      <c r="I12" s="8" t="inlineStr">
        <is>
          <t>없음 (시간 제한)</t>
        </is>
      </c>
    </row>
    <row r="13">
      <c r="A13" s="9" t="inlineStr">
        <is>
          <t>마왕 부활</t>
        </is>
      </c>
      <c r="B13" s="9" t="inlineStr">
        <is>
          <t>시작</t>
        </is>
      </c>
      <c r="C13" s="9" t="inlineStr">
        <is>
          <t>1일차</t>
        </is>
      </c>
      <c r="D13" s="9" t="inlineStr">
        <is>
          <t>심연의 진동 — 전 맵에 균열 이펙트, 불길한 속삭임 BGM</t>
        </is>
      </c>
      <c r="E13" s="9" t="inlineStr">
        <is>
          <t>자동 (서버 스케줄)</t>
        </is>
      </c>
      <c r="F13" s="9" t="inlineStr">
        <is>
          <t>밤 시간 페널티 +50%, 심연 몬스터 출현 시작</t>
        </is>
      </c>
      <c r="G13" s="9" t="inlineStr">
        <is>
          <t>심연 균열 조사 퀘스트, 봉인석 수집 시작</t>
        </is>
      </c>
      <c r="H13" s="9" t="inlineStr">
        <is>
          <t>봉인석 조각 (10개 모으면 봉인의 오브 1개)</t>
        </is>
      </c>
      <c r="I13" s="9" t="inlineStr">
        <is>
          <t>없음</t>
        </is>
      </c>
    </row>
    <row r="14">
      <c r="A14" s="8" t="inlineStr">
        <is>
          <t>마왕 부활</t>
        </is>
      </c>
      <c r="B14" s="8" t="inlineStr">
        <is>
          <t>시작</t>
        </is>
      </c>
      <c r="C14" s="8" t="inlineStr">
        <is>
          <t>2일차</t>
        </is>
      </c>
      <c r="D14" s="8" t="inlineStr">
        <is>
          <t>언데드 출현 — 묘지·폐허 지역에서 좀비·스켈레톤 대량 스폰</t>
        </is>
      </c>
      <c r="E14" s="8" t="inlineStr">
        <is>
          <t>자동</t>
        </is>
      </c>
      <c r="F14" s="8" t="inlineStr">
        <is>
          <t>해당 지역 NPC 전원 철수, 상점 이용 불가</t>
        </is>
      </c>
      <c r="G14" s="8" t="inlineStr">
        <is>
          <t>언데드 소탕 (일일 퀘스트), 성수 제작</t>
        </is>
      </c>
      <c r="H14" s="8" t="inlineStr">
        <is>
          <t>언데드 100마리 처치: 퇴마사 버프 (언데드 피해 +30%)</t>
        </is>
      </c>
      <c r="I14" s="8" t="inlineStr">
        <is>
          <t>없음</t>
        </is>
      </c>
    </row>
    <row r="15">
      <c r="A15" s="9" t="inlineStr">
        <is>
          <t>마왕 부활</t>
        </is>
      </c>
      <c r="B15" s="9" t="inlineStr">
        <is>
          <t>전개</t>
        </is>
      </c>
      <c r="C15" s="9" t="inlineStr">
        <is>
          <t>3일차</t>
        </is>
      </c>
      <c r="D15" s="9" t="inlineStr">
        <is>
          <t>언데드 침공 1차 — 마을 3곳 동시 공격, 주민 대피 이벤트</t>
        </is>
      </c>
      <c r="E15" s="9" t="inlineStr">
        <is>
          <t>자동</t>
        </is>
      </c>
      <c r="F15" s="9" t="inlineStr">
        <is>
          <t>마을 기능 정지 (상점·대장간·여관 폐쇄)</t>
        </is>
      </c>
      <c r="G15" s="9" t="inlineStr">
        <is>
          <t>마을 방어전 참여, 주민 호위 퀘스트 (30명 생존 목표)</t>
        </is>
      </c>
      <c r="H15" s="9" t="inlineStr">
        <is>
          <t>주민 20명 이상 생존: 감사의 보따리 (골드 2000+), 전멸: 마을 1주 폐쇄</t>
        </is>
      </c>
      <c r="I15" s="9" t="inlineStr">
        <is>
          <t>주민 생존 수</t>
        </is>
      </c>
    </row>
    <row r="16">
      <c r="A16" s="8" t="inlineStr">
        <is>
          <t>마왕 부활</t>
        </is>
      </c>
      <c r="B16" s="8" t="inlineStr">
        <is>
          <t>전개</t>
        </is>
      </c>
      <c r="C16" s="8" t="inlineStr">
        <is>
          <t>4일차</t>
        </is>
      </c>
      <c r="D16" s="8" t="inlineStr">
        <is>
          <t>언데드 침공 2차 — 리치 보스 출현, 언데드 무한 리스폰</t>
        </is>
      </c>
      <c r="E16" s="8" t="inlineStr">
        <is>
          <t>자동</t>
        </is>
      </c>
      <c r="F16" s="8" t="inlineStr">
        <is>
          <t>죽은 플레이어가 일시적으로 언데드 진영 전환 (30초간)</t>
        </is>
      </c>
      <c r="G16" s="8" t="inlineStr">
        <is>
          <t>리치 처치 우선, 동료 부활 아이템 사용</t>
        </is>
      </c>
      <c r="H16" s="8" t="inlineStr">
        <is>
          <t>리치 처치: 사천왕 단서 획득, 네크로맨서 용병 소환권</t>
        </is>
      </c>
      <c r="I16" s="8" t="inlineStr">
        <is>
          <t>리치 처치 시간 (10분 이내 보너스)</t>
        </is>
      </c>
    </row>
    <row r="17">
      <c r="A17" s="9" t="inlineStr">
        <is>
          <t>마왕 부활</t>
        </is>
      </c>
      <c r="B17" s="9" t="inlineStr">
        <is>
          <t>전개</t>
        </is>
      </c>
      <c r="C17" s="9" t="inlineStr">
        <is>
          <t>5일차</t>
        </is>
      </c>
      <c r="D17" s="9" t="inlineStr">
        <is>
          <t>언데드 침공 3차 — 보급선 차단, 포션·회복 아이템 가격 5배</t>
        </is>
      </c>
      <c r="E17" s="9" t="inlineStr">
        <is>
          <t>자동</t>
        </is>
      </c>
      <c r="F17" s="9" t="inlineStr">
        <is>
          <t>회복 아이템 상점 판매 중단, 필드 드롭으로만 획득</t>
        </is>
      </c>
      <c r="G17" s="9" t="inlineStr">
        <is>
          <t>약초 채집 긴급 퀘스트, 연금술 제작, 아군 힐러 배치 중요</t>
        </is>
      </c>
      <c r="H17" s="9" t="inlineStr">
        <is>
          <t>약초 100개 납품: 군의관 NPC 활성화 (무료 힐)</t>
        </is>
      </c>
      <c r="I17" s="9" t="inlineStr">
        <is>
          <t>없음</t>
        </is>
      </c>
    </row>
    <row r="18">
      <c r="A18" s="8" t="inlineStr">
        <is>
          <t>마왕 부활</t>
        </is>
      </c>
      <c r="B18" s="8" t="inlineStr">
        <is>
          <t>클라이맥스</t>
        </is>
      </c>
      <c r="C18" s="8" t="inlineStr">
        <is>
          <t>6일차</t>
        </is>
      </c>
      <c r="D18" s="8" t="inlineStr">
        <is>
          <t>사천왕 출현 — 동서남북 4지역에 사천왕 1명씩 동시 출현</t>
        </is>
      </c>
      <c r="E18" s="8" t="inlineStr">
        <is>
          <t>자동</t>
        </is>
      </c>
      <c r="F18" s="8" t="inlineStr">
        <is>
          <t>각 지역 원소 속성 폭주 (화/수/풍/지), 해당 속성 피해 2배</t>
        </is>
      </c>
      <c r="G18" s="8" t="inlineStr">
        <is>
          <t>4개 레이드 동시 진행, 혈맹별 지역 분담 협의</t>
        </is>
      </c>
      <c r="H18" s="8" t="inlineStr">
        <is>
          <t>사천왕 1명 처치: 봉인의 열쇠 1개, 4개 모아야 마왕 봉인 가능</t>
        </is>
      </c>
      <c r="I18" s="8" t="inlineStr">
        <is>
          <t>4명 모두 처치 여부</t>
        </is>
      </c>
    </row>
    <row r="19">
      <c r="A19" s="9" t="inlineStr">
        <is>
          <t>마왕 부활</t>
        </is>
      </c>
      <c r="B19" s="9" t="inlineStr">
        <is>
          <t>클라이맥스</t>
        </is>
      </c>
      <c r="C19" s="9" t="inlineStr">
        <is>
          <t>7일차</t>
        </is>
      </c>
      <c r="D19" s="9" t="inlineStr">
        <is>
          <t>사천왕 최후 — 남은 사천왕 강화 부활, 광폭화 상태</t>
        </is>
      </c>
      <c r="E19" s="9" t="inlineStr">
        <is>
          <t>처치 실패 시 자동 강화</t>
        </is>
      </c>
      <c r="F19" s="9" t="inlineStr">
        <is>
          <t>미처치 사천왕 HP 회복 + 공격력 2배, 처치된 사천왕은 부활 안 함</t>
        </is>
      </c>
      <c r="G19" s="9" t="inlineStr">
        <is>
          <t>강화 사천왕 재도전, 서버 연합 필수</t>
        </is>
      </c>
      <c r="H19" s="9" t="inlineStr">
        <is>
          <t>전원 처치 시 마왕 봉인 루트, 1명이라도 생존 시 마왕 해방 루트</t>
        </is>
      </c>
      <c r="I19" s="9" t="inlineStr">
        <is>
          <t>최종 생존 사천왕 수</t>
        </is>
      </c>
    </row>
    <row r="20">
      <c r="A20" s="8" t="inlineStr">
        <is>
          <t>마왕 부활</t>
        </is>
      </c>
      <c r="B20" s="8" t="inlineStr">
        <is>
          <t>분기</t>
        </is>
      </c>
      <c r="C20" s="8" t="inlineStr">
        <is>
          <t>8일차</t>
        </is>
      </c>
      <c r="D20" s="8" t="inlineStr">
        <is>
          <t>[봉인 루트] 마왕 봉인 의식 — 4개 열쇠로 봉인진 완성</t>
        </is>
      </c>
      <c r="E20" s="8" t="inlineStr">
        <is>
          <t>사천왕 전멸 시</t>
        </is>
      </c>
      <c r="F20" s="8" t="inlineStr">
        <is>
          <t>심연 균열 축소, 언데드 스폰 중단</t>
        </is>
      </c>
      <c r="G20" s="8" t="inlineStr">
        <is>
          <t>봉인 의식 참여 (100인 동시), 방해 몬스터 처치</t>
        </is>
      </c>
      <c r="H20" s="8" t="inlineStr">
        <is>
          <t>봉인 완료 보상: SSR 성기사 용병, 빛의 축복 버프 3일</t>
        </is>
      </c>
      <c r="I20" s="8" t="inlineStr">
        <is>
          <t>봉인 의식 완료 여부</t>
        </is>
      </c>
    </row>
    <row r="21">
      <c r="A21" s="9" t="inlineStr">
        <is>
          <t>마왕 부활</t>
        </is>
      </c>
      <c r="B21" s="9" t="inlineStr">
        <is>
          <t>분기</t>
        </is>
      </c>
      <c r="C21" s="9" t="inlineStr">
        <is>
          <t>8일차</t>
        </is>
      </c>
      <c r="D21" s="9" t="inlineStr">
        <is>
          <t>[해방 루트] 마왕 해방 — 심연의 문 개방, 서버 암흑기 시작</t>
        </is>
      </c>
      <c r="E21" s="9" t="inlineStr">
        <is>
          <t>사천왕 1명 이상 생존 시</t>
        </is>
      </c>
      <c r="F21" s="9" t="inlineStr">
        <is>
          <t>서버 전역 암흑 상태, 시야 50% 감소, 모든 NPC 공포 상태</t>
        </is>
      </c>
      <c r="G21" s="9" t="inlineStr">
        <is>
          <t>마왕 약점 탐색 퀘스트, 고대 영웅 소환 의식</t>
        </is>
      </c>
      <c r="H21" s="9" t="inlineStr">
        <is>
          <t>고대 영웅 소환: 마왕 약화 (HP -30%), 소환 실패: 마왕 완전체</t>
        </is>
      </c>
      <c r="I21" s="9" t="inlineStr">
        <is>
          <t>고대 영웅 소환 재료 수집 여부</t>
        </is>
      </c>
    </row>
    <row r="22">
      <c r="A22" s="8" t="inlineStr">
        <is>
          <t>마왕 부활</t>
        </is>
      </c>
      <c r="B22" s="8" t="inlineStr">
        <is>
          <t>절정</t>
        </is>
      </c>
      <c r="C22" s="8" t="inlineStr">
        <is>
          <t>9일차</t>
        </is>
      </c>
      <c r="D22" s="8" t="inlineStr">
        <is>
          <t>[봉인 루트] 정화 작전 — 잔존 심연 세력 소탕</t>
        </is>
      </c>
      <c r="E22" s="8" t="inlineStr">
        <is>
          <t>자동</t>
        </is>
      </c>
      <c r="F22" s="8" t="inlineStr">
        <is>
          <t>심연 던전 개방 (한정 5일), 최고급 장비 드롭</t>
        </is>
      </c>
      <c r="G22" s="8" t="inlineStr">
        <is>
          <t>심연 던전 공략 (10인 레이드, 5층)</t>
        </is>
      </c>
      <c r="H22" s="8" t="inlineStr">
        <is>
          <t>층별 클리어 보상, 5층 보스: 마왕의 잔영 (전설 무기 확정)</t>
        </is>
      </c>
      <c r="I22" s="8" t="inlineStr">
        <is>
          <t>없음</t>
        </is>
      </c>
    </row>
    <row r="23">
      <c r="A23" s="9" t="inlineStr">
        <is>
          <t>마왕 부활</t>
        </is>
      </c>
      <c r="B23" s="9" t="inlineStr">
        <is>
          <t>절정</t>
        </is>
      </c>
      <c r="C23" s="9" t="inlineStr">
        <is>
          <t>9일차</t>
        </is>
      </c>
      <c r="D23" s="9" t="inlineStr">
        <is>
          <t>[해방 루트] 마왕 결전 — 서버 전원 vs 마왕 월드 레이드</t>
        </is>
      </c>
      <c r="E23" s="9" t="inlineStr">
        <is>
          <t>자동</t>
        </is>
      </c>
      <c r="F23" s="9" t="inlineStr">
        <is>
          <t>마왕 HP 200만, 3단계 변신, 광역기 보유</t>
        </is>
      </c>
      <c r="G23" s="9" t="inlineStr">
        <is>
          <t>서버 전원 협력 필수, 탱커·딜러·힐러 역할 분담</t>
        </is>
      </c>
      <c r="H23" s="9" t="inlineStr">
        <is>
          <t>마왕 처치: 전설 용병 + 마왕 무기 스킨, 실패: 무법 상태 1주</t>
        </is>
      </c>
      <c r="I23" s="9" t="inlineStr">
        <is>
          <t>마왕 HP 0 도달 여부</t>
        </is>
      </c>
    </row>
    <row r="24">
      <c r="A24" s="8" t="inlineStr">
        <is>
          <t>마왕 부활</t>
        </is>
      </c>
      <c r="B24" s="8" t="inlineStr">
        <is>
          <t>결말</t>
        </is>
      </c>
      <c r="C24" s="8" t="inlineStr">
        <is>
          <t>10일차</t>
        </is>
      </c>
      <c r="D24" s="8" t="inlineStr">
        <is>
          <t>[봉인 결말] 빛의 시대 — 서버 축복 기간 시작</t>
        </is>
      </c>
      <c r="E24" s="8" t="inlineStr">
        <is>
          <t>자동</t>
        </is>
      </c>
      <c r="F24" s="8" t="inlineStr">
        <is>
          <t>경험치 +100%, 골드 +50%, 전설 드롭률 +300% (3일간)</t>
        </is>
      </c>
      <c r="G24" s="8" t="inlineStr">
        <is>
          <t>축제 콘텐츠, 기념 상점, 명예의 전당 등록</t>
        </is>
      </c>
      <c r="H24" s="8" t="inlineStr">
        <is>
          <t>빛의 수호자 칭호, 한정 프레임, 다이아 500</t>
        </is>
      </c>
      <c r="I24" s="8" t="inlineStr">
        <is>
          <t>없음 (이벤트 종료)</t>
        </is>
      </c>
    </row>
    <row r="25">
      <c r="A25" s="9" t="inlineStr">
        <is>
          <t>마왕 부활</t>
        </is>
      </c>
      <c r="B25" s="9" t="inlineStr">
        <is>
          <t>결말</t>
        </is>
      </c>
      <c r="C25" s="9" t="inlineStr">
        <is>
          <t>10일차</t>
        </is>
      </c>
      <c r="D25" s="9" t="inlineStr">
        <is>
          <t>[해방 결말] 암흑의 1주 — 무법 상태 서버</t>
        </is>
      </c>
      <c r="E25" s="9" t="inlineStr">
        <is>
          <t>자동</t>
        </is>
      </c>
      <c r="F25" s="9" t="inlineStr">
        <is>
          <t>PvP 전 지역 활성화, 사망 패널티 2배, 장비 드롭 가능성</t>
        </is>
      </c>
      <c r="G25" s="9" t="inlineStr">
        <is>
          <t>생존·약탈·은신 전략 선택, 현상금 시스템 활성화</t>
        </is>
      </c>
      <c r="H25" s="9" t="inlineStr">
        <is>
          <t>무법 기간 킬 수 랭킹 보상, 생존자 보너스, 현상금 수입</t>
        </is>
      </c>
      <c r="I25" s="9" t="inlineStr">
        <is>
          <t>없음 (1주 후 자동 종료)</t>
        </is>
      </c>
    </row>
    <row r="26">
      <c r="A26" s="8" t="inlineStr">
        <is>
          <t>상인 전쟁</t>
        </is>
      </c>
      <c r="B26" s="8" t="inlineStr">
        <is>
          <t>시작</t>
        </is>
      </c>
      <c r="C26" s="8" t="inlineStr">
        <is>
          <t>1일차</t>
        </is>
      </c>
      <c r="D26" s="8" t="inlineStr">
        <is>
          <t>물품 고갈 시작 — 주요 무역품 공급량 50% 감소, 가격 폭등</t>
        </is>
      </c>
      <c r="E26" s="8" t="inlineStr">
        <is>
          <t>자동 (서버 스케줄)</t>
        </is>
      </c>
      <c r="F26" s="8" t="inlineStr">
        <is>
          <t>무역품 NPC 판매 수량 제한, 가격 실시간 변동 폭 3배</t>
        </is>
      </c>
      <c r="G26" s="8" t="inlineStr">
        <is>
          <t>물자 비축, 무역 루트 선점, 가격 예측 투자</t>
        </is>
      </c>
      <c r="H26" s="8" t="inlineStr">
        <is>
          <t>선제 매입 물품 가격 상승분 수익 (최대 500%)</t>
        </is>
      </c>
      <c r="I26" s="8" t="inlineStr">
        <is>
          <t>없음</t>
        </is>
      </c>
    </row>
    <row r="27">
      <c r="A27" s="9" t="inlineStr">
        <is>
          <t>상인 전쟁</t>
        </is>
      </c>
      <c r="B27" s="9" t="inlineStr">
        <is>
          <t>전개</t>
        </is>
      </c>
      <c r="C27" s="9" t="inlineStr">
        <is>
          <t>2일차</t>
        </is>
      </c>
      <c r="D27" s="9" t="inlineStr">
        <is>
          <t>해적왕 출현 — 해상 무역로에 해적 함대 배치, 약탈 시작</t>
        </is>
      </c>
      <c r="E27" s="9" t="inlineStr">
        <is>
          <t>자동</t>
        </is>
      </c>
      <c r="F27" s="9" t="inlineStr">
        <is>
          <t>해상 무역 위험도 MAX, 카라반 호위 비용 +300%</t>
        </is>
      </c>
      <c r="G27" s="9" t="inlineStr">
        <is>
          <t>해적 소탕 연합 결성 or 해적과 거래 (암시장)</t>
        </is>
      </c>
      <c r="H27" s="9" t="inlineStr">
        <is>
          <t>해적 소탕: 해상 독점권 3일, 암시장 거래: 희귀품 저가 구매</t>
        </is>
      </c>
      <c r="I27" s="9" t="inlineStr">
        <is>
          <t>해적왕 처치 or 거래 선택</t>
        </is>
      </c>
    </row>
    <row r="28">
      <c r="A28" s="8" t="inlineStr">
        <is>
          <t>상인 전쟁</t>
        </is>
      </c>
      <c r="B28" s="8" t="inlineStr">
        <is>
          <t>클라이맥스</t>
        </is>
      </c>
      <c r="C28" s="8" t="inlineStr">
        <is>
          <t>3일차</t>
        </is>
      </c>
      <c r="D28" s="8" t="inlineStr">
        <is>
          <t>무역 대전 시작 — 전 서버 무역 순위 경쟁 시작, 실시간 리더보드</t>
        </is>
      </c>
      <c r="E28" s="8" t="inlineStr">
        <is>
          <t>자동</t>
        </is>
      </c>
      <c r="F28" s="8" t="inlineStr">
        <is>
          <t>특별 무역품 10종 출현 (한정 수량), 무역 경험치 3배</t>
        </is>
      </c>
      <c r="G28" s="8" t="inlineStr">
        <is>
          <t>최적 루트 탐색, 매매 타이밍 경쟁, 경쟁자 방해 (PvP)</t>
        </is>
      </c>
      <c r="H28" s="8" t="inlineStr">
        <is>
          <t>무역 수익 실시간 랭킹, 매 시간 순위 보상 지급</t>
        </is>
      </c>
      <c r="I28" s="8" t="inlineStr">
        <is>
          <t>없음 (경쟁 지속)</t>
        </is>
      </c>
    </row>
    <row r="29">
      <c r="A29" s="9" t="inlineStr">
        <is>
          <t>상인 전쟁</t>
        </is>
      </c>
      <c r="B29" s="9" t="inlineStr">
        <is>
          <t>클라이맥스</t>
        </is>
      </c>
      <c r="C29" s="9" t="inlineStr">
        <is>
          <t>4일차</t>
        </is>
      </c>
      <c r="D29" s="9" t="inlineStr">
        <is>
          <t>무역 대전 격화 — 독점 전쟁, 무역길드 간 전면전</t>
        </is>
      </c>
      <c r="E29" s="9" t="inlineStr">
        <is>
          <t>자동</t>
        </is>
      </c>
      <c r="F29" s="9" t="inlineStr">
        <is>
          <t>도시별 물가 변동 극심, 독점 성공 시 해당 품목 가격 결정권</t>
        </is>
      </c>
      <c r="G29" s="9" t="inlineStr">
        <is>
          <t>독점 시도 (대량 매입), 독점 방어 (분산 매입), 가격 담합</t>
        </is>
      </c>
      <c r="H29" s="9" t="inlineStr">
        <is>
          <t>독점 성공: 해당 품목 수익 1000%, 독점 실패: 투자금 50% 손실</t>
        </is>
      </c>
      <c r="I29" s="9" t="inlineStr">
        <is>
          <t>독점 성공 여부</t>
        </is>
      </c>
    </row>
    <row r="30">
      <c r="A30" s="8" t="inlineStr">
        <is>
          <t>상인 전쟁</t>
        </is>
      </c>
      <c r="B30" s="8" t="inlineStr">
        <is>
          <t>결말</t>
        </is>
      </c>
      <c r="C30" s="8" t="inlineStr">
        <is>
          <t>5일차</t>
        </is>
      </c>
      <c r="D30" s="8" t="inlineStr">
        <is>
          <t>무역왕 결정 — 최종 순위 확정, 대규모 보상 지급</t>
        </is>
      </c>
      <c r="E30" s="8" t="inlineStr">
        <is>
          <t>자동</t>
        </is>
      </c>
      <c r="F30" s="8" t="inlineStr">
        <is>
          <t>물가 정상화 시작, 특별 무역품 소멸</t>
        </is>
      </c>
      <c r="G30" s="8" t="inlineStr">
        <is>
          <t>최후의 거래 (마감 1시간 전 가격 폭등), 순위 확보 전략</t>
        </is>
      </c>
      <c r="H30" s="8" t="inlineStr">
        <is>
          <t>1위: 무역왕 칭호 + 황금 마차 스킨 + 다이아 1000, 2-10위: 단계별 보상</t>
        </is>
      </c>
      <c r="I30" s="8" t="inlineStr">
        <is>
          <t>없음 (이벤트 종료)</t>
        </is>
      </c>
    </row>
  </sheetData>
  <mergeCells count="1">
    <mergeCell ref="A1:I1"/>
  </mergeCell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6" customWidth="1" min="1" max="1"/>
    <col width="18" customWidth="1" min="2" max="2"/>
    <col width="40" customWidth="1" min="3" max="3"/>
    <col width="40" customWidth="1" min="4" max="4"/>
    <col width="30" customWidth="1" min="5" max="5"/>
    <col width="30" customWidth="1" min="6" max="6"/>
    <col width="35" customWidth="1" min="7" max="7"/>
  </cols>
  <sheetData>
    <row r="1">
      <c r="A1" s="6" t="inlineStr">
        <is>
          <t>AutoBattle.io 1년 시즌 로드맵</t>
        </is>
      </c>
    </row>
    <row r="3">
      <c r="A3" s="7" t="inlineStr">
        <is>
          <t>월</t>
        </is>
      </c>
      <c r="B3" s="7" t="inlineStr">
        <is>
          <t>시즌</t>
        </is>
      </c>
      <c r="C3" s="7" t="inlineStr">
        <is>
          <t>주요 이벤트</t>
        </is>
      </c>
      <c r="D3" s="7" t="inlineStr">
        <is>
          <t>신규 콘텐츠</t>
        </is>
      </c>
      <c r="E3" s="7" t="inlineStr">
        <is>
          <t>시즌 한정 용병</t>
        </is>
      </c>
      <c r="F3" s="7" t="inlineStr">
        <is>
          <t>배틀패스 테마</t>
        </is>
      </c>
      <c r="G3" s="7" t="inlineStr">
        <is>
          <t>핵심 보상</t>
        </is>
      </c>
    </row>
    <row r="4">
      <c r="A4" s="8" t="inlineStr">
        <is>
          <t>1월</t>
        </is>
      </c>
      <c r="B4" s="8" t="inlineStr">
        <is>
          <t>신년 축제 시즌</t>
        </is>
      </c>
      <c r="C4" s="8" t="inlineStr">
        <is>
          <t>떡국 나누기 대작전 — 서버 전원 협동 요리 이벤트, 새해 소원 빌기, 윷놀이 미니게임</t>
        </is>
      </c>
      <c r="D4" s="8" t="inlineStr">
        <is>
          <t>윷놀이 보드게임 모드 (IO 맵 위 윷판), 새해 복주머니 가챠</t>
        </is>
      </c>
      <c r="E4" s="8" t="inlineStr">
        <is>
          <t>호랑이 무사 (SSR) — 새해 수호신, 범 강림 스킬</t>
        </is>
      </c>
      <c r="F4" s="8" t="inlineStr">
        <is>
          <t>신년 대길 — 금빛 한복 테마, 폭죽 이펙트</t>
        </is>
      </c>
      <c r="G4" s="8" t="inlineStr">
        <is>
          <t>황금 윷 스킨, 새해 한복 코스튬 세트, 다이아 500</t>
        </is>
      </c>
    </row>
    <row r="5">
      <c r="A5" s="9" t="inlineStr">
        <is>
          <t>2월</t>
        </is>
      </c>
      <c r="B5" s="9" t="inlineStr">
        <is>
          <t>연인의 날 시즌</t>
        </is>
      </c>
      <c r="C5" s="9" t="inlineStr">
        <is>
          <t>발렌타인 초콜릿 전쟁 — 짝 맞추기 PvP, 하트 수집 경쟁, 커플 던전</t>
        </is>
      </c>
      <c r="D5" s="9" t="inlineStr">
        <is>
          <t>커플 매칭 2인 던전, 초콜릿 제작 시스템, 고백 이벤트</t>
        </is>
      </c>
      <c r="E5" s="9" t="inlineStr">
        <is>
          <t>큐피드 궁수 (SSR) — 연인의 화살, 매혹 스킬</t>
        </is>
      </c>
      <c r="F5" s="9" t="inlineStr">
        <is>
          <t>연인의 편지 — 핑크빛 하트 테마, 꽃잎 이펙트</t>
        </is>
      </c>
      <c r="G5" s="9" t="inlineStr">
        <is>
          <t>커플 탈것 (2인 탑승), 하트 프레임, 발렌타인 이모티콘</t>
        </is>
      </c>
    </row>
    <row r="6">
      <c r="A6" s="8" t="inlineStr">
        <is>
          <t>3월</t>
        </is>
      </c>
      <c r="B6" s="8" t="inlineStr">
        <is>
          <t>봄 각성 시즌</t>
        </is>
      </c>
      <c r="C6" s="8" t="inlineStr">
        <is>
          <t>벚꽃 축제 — 벚꽃 맵 한정 개방, 봄의 정령 보스 출현, 꽃놀이 이벤트</t>
        </is>
      </c>
      <c r="D6" s="8" t="inlineStr">
        <is>
          <t>봄 정원 꾸미기 (하우징), 정령의 숲 신규 던전, 나비 채집</t>
        </is>
      </c>
      <c r="E6" s="8" t="inlineStr">
        <is>
          <t>봄의 정령 (SSR) — 꽃바람 소환, 자연 회복 오라</t>
        </is>
      </c>
      <c r="F6" s="8" t="inlineStr">
        <is>
          <t>봄바람 — 벚꽃잎 흩날리는 테마, 파스텔 컬러</t>
        </is>
      </c>
      <c r="G6" s="8" t="inlineStr">
        <is>
          <t>벚꽃 무기 스킨, 봄 정원 가구 세트, 나비 펫</t>
        </is>
      </c>
    </row>
    <row r="7">
      <c r="A7" s="9" t="inlineStr">
        <is>
          <t>4월</t>
        </is>
      </c>
      <c r="B7" s="9" t="inlineStr">
        <is>
          <t>만우절 카오스 시즌</t>
        </is>
      </c>
      <c r="C7" s="9" t="inlineStr">
        <is>
          <t>거짓말 대축제 — 모든 스킬 효과 랜덤 변경, 뒤바뀐 세계 이벤트, 함정 맵</t>
        </is>
      </c>
      <c r="D7" s="9" t="inlineStr">
        <is>
          <t>뒤집힌 세계 모드 (좌우반전·중력반전), 변장 시스템, 장난감 무기</t>
        </is>
      </c>
      <c r="E7" s="9" t="inlineStr">
        <is>
          <t>트릭스터 (SSR) — 만우절 광대, 랜덤 변신 스킬</t>
        </is>
      </c>
      <c r="F7" s="9" t="inlineStr">
        <is>
          <t>카오스 서커스 — 알록달록 서커스 테마, 폭탄 이펙트</t>
        </is>
      </c>
      <c r="G7" s="9" t="inlineStr">
        <is>
          <t>어릿광대 코스튬, 장난감 무기 스킨 세트, 서프라이즈 상자 50개</t>
        </is>
      </c>
    </row>
    <row r="8">
      <c r="A8" s="8" t="inlineStr">
        <is>
          <t>5월</t>
        </is>
      </c>
      <c r="B8" s="8" t="inlineStr">
        <is>
          <t>드래곤 시즌</t>
        </is>
      </c>
      <c r="C8" s="8" t="inlineStr">
        <is>
          <t>드래곤 각성 월드 이벤트 (7일) — 용왕 부활 대서사, 화산 폭발 + 드래곤 레이드</t>
        </is>
      </c>
      <c r="D8" s="8" t="inlineStr">
        <is>
          <t>드래곤 레이드 (20인), 용의 둥지 던전, 드래곤 라이딩 시스템</t>
        </is>
      </c>
      <c r="E8" s="8" t="inlineStr">
        <is>
          <t>용기사 (SSR) — 드래곤 소환, 화염 브레스 궁극기</t>
        </is>
      </c>
      <c r="F8" s="8" t="inlineStr">
        <is>
          <t>드래곤 파이어 — 용암·화염 테마, 드래곤 날개 이펙트</t>
        </is>
      </c>
      <c r="G8" s="8" t="inlineStr">
        <is>
          <t>드래곤 탈것, 용기사 갑옷 세트, 전설 용의 검</t>
        </is>
      </c>
    </row>
    <row r="9">
      <c r="A9" s="9" t="inlineStr">
        <is>
          <t>6월</t>
        </is>
      </c>
      <c r="B9" s="9" t="inlineStr">
        <is>
          <t>여름 해변 시즌</t>
        </is>
      </c>
      <c r="C9" s="9" t="inlineStr">
        <is>
          <t>해변 서바이벌 — 수영복 IO 모드, 물총 대전, 모래성 쌓기 경쟁, 보물찾기</t>
        </is>
      </c>
      <c r="D9" s="9" t="inlineStr">
        <is>
          <t>해변 맵 (물속 전투 가능), 서핑 미니게임, 빙수 가게 경영</t>
        </is>
      </c>
      <c r="E9" s="9" t="inlineStr">
        <is>
          <t>인어 공주 (SSR) — 파도 소환, 바다의 축복 힐</t>
        </is>
      </c>
      <c r="F9" s="9" t="inlineStr">
        <is>
          <t>썸머 웨이브 — 해변·야자수 테마, 파도 이펙트</t>
        </is>
      </c>
      <c r="G9" s="9" t="inlineStr">
        <is>
          <t>수영복 코스튬 전원, 서핑보드 탈것, 해변 파라솔 하우징</t>
        </is>
      </c>
    </row>
    <row r="10">
      <c r="A10" s="8" t="inlineStr">
        <is>
          <t>7월</t>
        </is>
      </c>
      <c r="B10" s="8" t="inlineStr">
        <is>
          <t>마왕 부활 시즌</t>
        </is>
      </c>
      <c r="C10" s="8" t="inlineStr">
        <is>
          <t>마왕 부활 월드 이벤트 (10일) — 사천왕 + 마왕 대결전, 서버 운명 결정</t>
        </is>
      </c>
      <c r="D10" s="8" t="inlineStr">
        <is>
          <t>사천왕 레이드 (4지역 동시), 심연 던전, 고대 영웅 소환 시스템</t>
        </is>
      </c>
      <c r="E10" s="8" t="inlineStr">
        <is>
          <t>타락 천사 (SSR) — 빛과 어둠 이중 속성, 심판 스킬</t>
        </is>
      </c>
      <c r="F10" s="8" t="inlineStr">
        <is>
          <t>심연의 그림자 — 암흑·보라빛 테마, 심연 균열 이펙트</t>
        </is>
      </c>
      <c r="G10" s="8" t="inlineStr">
        <is>
          <t>마왕의 왕관 스킨, 성기사 갑옷, 심연의 대검</t>
        </is>
      </c>
    </row>
    <row r="11">
      <c r="A11" s="9" t="inlineStr">
        <is>
          <t>8월</t>
        </is>
      </c>
      <c r="B11" s="9" t="inlineStr">
        <is>
          <t>상인 대전 시즌</t>
        </is>
      </c>
      <c r="C11" s="9" t="inlineStr">
        <is>
          <t>상인 전쟁 월드 이벤트 (5일) — 무역왕 결정전, 경제 대격변</t>
        </is>
      </c>
      <c r="D11" s="9" t="inlineStr">
        <is>
          <t>상인 길드 시스템, 경매장 리뉴얼, 무역선 해전 모드</t>
        </is>
      </c>
      <c r="E11" s="9" t="inlineStr">
        <is>
          <t>황금 상인 (SSR) — 골드 폭격, 매수 스킬</t>
        </is>
      </c>
      <c r="F11" s="9" t="inlineStr">
        <is>
          <t>골드 러시 — 황금·보물 테마, 금화 이펙트</t>
        </is>
      </c>
      <c r="G11" s="9" t="inlineStr">
        <is>
          <t>황금 마차 탈것, 상인왕 칭호 프레임, 금괴 펫</t>
        </is>
      </c>
    </row>
    <row r="12">
      <c r="A12" s="8" t="inlineStr">
        <is>
          <t>9월</t>
        </is>
      </c>
      <c r="B12" s="8" t="inlineStr">
        <is>
          <t>추석 수확 시즌</t>
        </is>
      </c>
      <c r="C12" s="8" t="inlineStr">
        <is>
          <t>한가위 대보름 축제 — 송편 만들기, 강강술래 PvP, 달맞이 보스, 추수 대회</t>
        </is>
      </c>
      <c r="D12" s="8" t="inlineStr">
        <is>
          <t>추수 미니게임, 달빛 던전, 보름달 버프 시스템</t>
        </is>
      </c>
      <c r="E12" s="8" t="inlineStr">
        <is>
          <t>달토끼 무사 (SSR) — 보름달 파워, 떡방아 스매시</t>
        </is>
      </c>
      <c r="F12" s="8" t="inlineStr">
        <is>
          <t>한가위 보름 — 보름달·갈대 테마, 달빛 이펙트</t>
        </is>
      </c>
      <c r="G12" s="8" t="inlineStr">
        <is>
          <t>추석 한복 코스튬, 달토끼 펫, 보름달 무기 스킨</t>
        </is>
      </c>
    </row>
    <row r="13">
      <c r="A13" s="9" t="inlineStr">
        <is>
          <t>10월</t>
        </is>
      </c>
      <c r="B13" s="9" t="inlineStr">
        <is>
          <t>할로윈 심연 시즌</t>
        </is>
      </c>
      <c r="C13" s="9" t="inlineStr">
        <is>
          <t>호박 대왕 습격 — 좀비 서바이벌 IO 모드, 귀신의 집 던전, 사탕 수집전</t>
        </is>
      </c>
      <c r="D13" s="9" t="inlineStr">
        <is>
          <t>좀비 모드 (감염 확산 PvP), 귀신의 집 호러 던전, 코스프레 시스템</t>
        </is>
      </c>
      <c r="E13" s="9" t="inlineStr">
        <is>
          <t>호박 기사 (SSR) — 할로윈 저주, 유령 소환</t>
        </is>
      </c>
      <c r="F13" s="9" t="inlineStr">
        <is>
          <t>다크 할로윈 — 호박·박쥐 테마, 유령 이펙트</t>
        </is>
      </c>
      <c r="G13" s="9" t="inlineStr">
        <is>
          <t>호박 머리 코스튬, 유령 탈것, 저주받은 무기 스킨</t>
        </is>
      </c>
    </row>
    <row r="14">
      <c r="A14" s="8" t="inlineStr">
        <is>
          <t>11월</t>
        </is>
      </c>
      <c r="B14" s="8" t="inlineStr">
        <is>
          <t>혈맹 대전 시즌</t>
        </is>
      </c>
      <c r="C14" s="8" t="inlineStr">
        <is>
          <t>혈맹 전쟁 토너먼트 — 32강 토너먼트, 혈맹 순위전, 영토 쟁탈 최종전</t>
        </is>
      </c>
      <c r="D14" s="8" t="inlineStr">
        <is>
          <t>혈맹 토너먼트 시스템, 혈맹 기지 업그레이드, 전쟁 중계 관전 모드</t>
        </is>
      </c>
      <c r="E14" s="8" t="inlineStr">
        <is>
          <t>전쟁의 여신 (SSR) — 혈맹 전체 버프, 전쟁의 함성 궁극기</t>
        </is>
      </c>
      <c r="F14" s="8" t="inlineStr">
        <is>
          <t>전쟁의 깃발 — 군기·갑옷 테마, 전장 이펙트</t>
        </is>
      </c>
      <c r="G14" s="8" t="inlineStr">
        <is>
          <t>혈맹 깃발 커스텀, 전쟁 영웅 칭호, 혈맹 전용 탈것</t>
        </is>
      </c>
    </row>
    <row r="15">
      <c r="A15" s="9" t="inlineStr">
        <is>
          <t>12월</t>
        </is>
      </c>
      <c r="B15" s="9" t="inlineStr">
        <is>
          <t>겨울 연말 대축제</t>
        </is>
      </c>
      <c r="C15" s="9" t="inlineStr">
        <is>
          <t>크리스마스 + 연말 결산 — 산타 보스, 눈싸움 PvP, 연말 시상식, 카운트다운</t>
        </is>
      </c>
      <c r="D15" s="9" t="inlineStr">
        <is>
          <t>눈싸움 모드, 산타 배달 미니게임, 연말 결산 시스템 (올해의 플레이어)</t>
        </is>
      </c>
      <c r="E15" s="9" t="inlineStr">
        <is>
          <t>산타 클로스 (SSR) — 선물 폭격, 눈보라 궁극기</t>
        </is>
      </c>
      <c r="F15" s="9" t="inlineStr">
        <is>
          <t>겨울 왕국 — 눈꽃·크리스마스 테마, 눈 이펙트</t>
        </is>
      </c>
      <c r="G15" s="9" t="inlineStr">
        <is>
          <t>산타 코스튬, 루돌프 탈것, 연말 한정 뽑기권 10장</t>
        </is>
      </c>
    </row>
  </sheetData>
  <mergeCells count="1">
    <mergeCell ref="A1:G1"/>
  </mergeCell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0" customWidth="1" min="1" max="1"/>
    <col width="14" customWidth="1" min="2" max="2"/>
    <col width="30" customWidth="1" min="3" max="3"/>
    <col width="35" customWidth="1" min="4" max="4"/>
    <col width="30" customWidth="1" min="5" max="5"/>
    <col width="35" customWidth="1" min="6" max="6"/>
  </cols>
  <sheetData>
    <row r="1">
      <c r="A1" s="6" t="inlineStr">
        <is>
          <t>서버 간 대전 상세 시나리오</t>
        </is>
      </c>
    </row>
    <row r="3">
      <c r="A3" s="7" t="inlineStr">
        <is>
          <t>단계</t>
        </is>
      </c>
      <c r="B3" s="7" t="inlineStr">
        <is>
          <t>시간</t>
        </is>
      </c>
      <c r="C3" s="7" t="inlineStr">
        <is>
          <t>이벤트</t>
        </is>
      </c>
      <c r="D3" s="7" t="inlineStr">
        <is>
          <t>규칙</t>
        </is>
      </c>
      <c r="E3" s="7" t="inlineStr">
        <is>
          <t>점수</t>
        </is>
      </c>
      <c r="F3" s="7" t="inlineStr">
        <is>
          <t>전략 포인트</t>
        </is>
      </c>
    </row>
    <row r="4">
      <c r="A4" s="8" t="inlineStr">
        <is>
          <t>예선</t>
        </is>
      </c>
      <c r="B4" s="8" t="inlineStr">
        <is>
          <t>D-7 ~ D-1</t>
        </is>
      </c>
      <c r="C4" s="8" t="inlineStr">
        <is>
          <t>서버 내 대표 선발 토너먼트 개막</t>
        </is>
      </c>
      <c r="D4" s="8" t="inlineStr">
        <is>
          <t>각 서버 상위 32인 자동 시드 배정, 나머지 128인 예선전 참가</t>
        </is>
      </c>
      <c r="E4" s="8" t="inlineStr">
        <is>
          <t>예선 승리 시 개인 명예 포인트 +50</t>
        </is>
      </c>
      <c r="F4" s="8" t="inlineStr">
        <is>
          <t>시드 확보를 위해 사전에 개인 랭킹 관리 필수</t>
        </is>
      </c>
    </row>
    <row r="5">
      <c r="A5" s="9" t="inlineStr">
        <is>
          <t>예선</t>
        </is>
      </c>
      <c r="B5" s="9" t="inlineStr">
        <is>
          <t>D-5</t>
        </is>
      </c>
      <c r="C5" s="9" t="inlineStr">
        <is>
          <t>예선 1라운드 — 128→64 단판 토너먼트</t>
        </is>
      </c>
      <c r="D5" s="9" t="inlineStr">
        <is>
          <t>1:1 IO 서바이벌, 제한시간 3분, 킬 수 동률 시 생존 시간 판정</t>
        </is>
      </c>
      <c r="E5" s="9" t="inlineStr">
        <is>
          <t>승리 +100, 패배 +20 (참가 보상)</t>
        </is>
      </c>
      <c r="F5" s="9" t="inlineStr">
        <is>
          <t>초반 장비 파밍 속도가 승패를 가름</t>
        </is>
      </c>
    </row>
    <row r="6">
      <c r="A6" s="8" t="inlineStr">
        <is>
          <t>예선</t>
        </is>
      </c>
      <c r="B6" s="8" t="inlineStr">
        <is>
          <t>D-3</t>
        </is>
      </c>
      <c r="C6" s="8" t="inlineStr">
        <is>
          <t>예선 2라운드 — 64→32 더블엘리미네이션</t>
        </is>
      </c>
      <c r="D6" s="8" t="inlineStr">
        <is>
          <t>패자부활전 포함, 2패 시 탈락</t>
        </is>
      </c>
      <c r="E6" s="8" t="inlineStr">
        <is>
          <t>승리 +150, 패자부활 승리 +100</t>
        </is>
      </c>
      <c r="F6" s="8" t="inlineStr">
        <is>
          <t>패자부활전은 맵이 좁아 근접 캐릭터 유리</t>
        </is>
      </c>
    </row>
    <row r="7">
      <c r="A7" s="9" t="inlineStr">
        <is>
          <t>예선</t>
        </is>
      </c>
      <c r="B7" s="9" t="inlineStr">
        <is>
          <t>D-1</t>
        </is>
      </c>
      <c r="C7" s="9" t="inlineStr">
        <is>
          <t>최종 선발 — 서버 대표 30인 확정</t>
        </is>
      </c>
      <c r="D7" s="9" t="inlineStr">
        <is>
          <t>상위 시드 32인 + 예선 통과 30인 중 혈맹 밸런스 조정</t>
        </is>
      </c>
      <c r="E7" s="9" t="inlineStr">
        <is>
          <t>대표 선발 시 서버 전체 버프: 경험치 +10%</t>
        </is>
      </c>
      <c r="F7" s="9" t="inlineStr">
        <is>
          <t>혈맹별 최소 2인 배정으로 다양한 전술 가능</t>
        </is>
      </c>
    </row>
    <row r="8">
      <c r="A8" s="8" t="inlineStr">
        <is>
          <t>1종목</t>
        </is>
      </c>
      <c r="B8" s="8" t="inlineStr">
        <is>
          <t>Day 1 10:00</t>
        </is>
      </c>
      <c r="C8" s="8" t="inlineStr">
        <is>
          <t>IO 서바이벌 — 양 서버 10명 혼합 매치 시작</t>
        </is>
      </c>
      <c r="D8" s="8" t="inlineStr">
        <is>
          <t>양 서버 10명씩 총 20명, FFA 서바이벌, 최후 1인 생존</t>
        </is>
      </c>
      <c r="E8" s="8" t="inlineStr">
        <is>
          <t>1위 +300, 2위 +200, 3~5위 +100, 6~10위 +50</t>
        </is>
      </c>
      <c r="F8" s="8" t="inlineStr">
        <is>
          <t>아군끼리 초반 교전 회피, 적 서버 핵심 딜러 집중 타겟</t>
        </is>
      </c>
    </row>
    <row r="9">
      <c r="A9" s="9" t="inlineStr">
        <is>
          <t>1종목</t>
        </is>
      </c>
      <c r="B9" s="9" t="inlineStr">
        <is>
          <t>Day 1 10:30</t>
        </is>
      </c>
      <c r="C9" s="9" t="inlineStr">
        <is>
          <t>IO 서바이벌 2라운드 — 맵 축소 가속</t>
        </is>
      </c>
      <c r="D9" s="9" t="inlineStr">
        <is>
          <t>1라운드와 다른 10명 투입, 맵 축소 속도 2배</t>
        </is>
      </c>
      <c r="E9" s="9" t="inlineStr">
        <is>
          <t>동일 배점, 라운드별 합산</t>
        </is>
      </c>
      <c r="F9" s="9" t="inlineStr">
        <is>
          <t>빠른 맵 축소에 대비해 중앙 포지션 선점 필수</t>
        </is>
      </c>
    </row>
    <row r="10">
      <c r="A10" s="8" t="inlineStr">
        <is>
          <t>1종목</t>
        </is>
      </c>
      <c r="B10" s="8" t="inlineStr">
        <is>
          <t>Day 1 11:00</t>
        </is>
      </c>
      <c r="C10" s="8" t="inlineStr">
        <is>
          <t>IO 서바이벌 최종 — 에이스전</t>
        </is>
      </c>
      <c r="D10" s="8" t="inlineStr">
        <is>
          <t>각 서버 1라운드·2라운드 1위끼리 1:1 결투</t>
        </is>
      </c>
      <c r="E10" s="8" t="inlineStr">
        <is>
          <t>에이스 승리 시 보너스 +500, 서버 합산에 반영</t>
        </is>
      </c>
      <c r="F10" s="8" t="inlineStr">
        <is>
          <t>서버의 자존심을 건 결투, 관전 모드로 전 서버 생중계</t>
        </is>
      </c>
    </row>
    <row r="11">
      <c r="A11" s="9" t="inlineStr">
        <is>
          <t>2종목</t>
        </is>
      </c>
      <c r="B11" s="9" t="inlineStr">
        <is>
          <t>Day 1 14:00</t>
        </is>
      </c>
      <c r="C11" s="9" t="inlineStr">
        <is>
          <t>공성전 홈 경기 — 홈 서버 성 공격/수비</t>
        </is>
      </c>
      <c r="D11" s="9" t="inlineStr">
        <is>
          <t>홈 서버가 수비, 어웨이 서버가 공격, 30분 제한</t>
        </is>
      </c>
      <c r="E11" s="9" t="inlineStr">
        <is>
          <t>성 방어 성공 +500, 함락 시 공격측 +500</t>
        </is>
      </c>
      <c r="F11" s="9" t="inlineStr">
        <is>
          <t>홈 이점: 성 구조 숙지, 방어 시설 사전 배치 가능</t>
        </is>
      </c>
    </row>
    <row r="12">
      <c r="A12" s="8" t="inlineStr">
        <is>
          <t>2종목</t>
        </is>
      </c>
      <c r="B12" s="8" t="inlineStr">
        <is>
          <t>Day 1 15:00</t>
        </is>
      </c>
      <c r="C12" s="8" t="inlineStr">
        <is>
          <t>공성전 어웨이 경기 — 공수 교대</t>
        </is>
      </c>
      <c r="D12" s="8" t="inlineStr">
        <is>
          <t>홈/어웨이 교대, 동일 규칙</t>
        </is>
      </c>
      <c r="E12" s="8" t="inlineStr">
        <is>
          <t>동일 배점, 2전 합산으로 공성 종목 승패 결정</t>
        </is>
      </c>
      <c r="F12" s="8" t="inlineStr">
        <is>
          <t>어웨이 맵은 낯선 구조 → 정찰 용병 필수 편성</t>
        </is>
      </c>
    </row>
    <row r="13">
      <c r="A13" s="9" t="inlineStr">
        <is>
          <t>2종목</t>
        </is>
      </c>
      <c r="B13" s="9" t="inlineStr">
        <is>
          <t>Day 1 15:30</t>
        </is>
      </c>
      <c r="C13" s="9" t="inlineStr">
        <is>
          <t>공성전 판정 — 2전 합산</t>
        </is>
      </c>
      <c r="D13" s="9" t="inlineStr">
        <is>
          <t>양팀 모두 방어 성공 시 잔여 성벽 HP%로 판정</t>
        </is>
      </c>
      <c r="E13" s="9" t="inlineStr">
        <is>
          <t>무승부 시 서든데스: 중앙 깃발 쟁탈전 5분</t>
        </is>
      </c>
      <c r="F13" s="9" t="inlineStr">
        <is>
          <t>깃발 쟁탈 대비 기동력 높은 유닛 예비 배치</t>
        </is>
      </c>
    </row>
    <row r="14">
      <c r="A14" s="8" t="inlineStr">
        <is>
          <t>3종목</t>
        </is>
      </c>
      <c r="B14" s="8" t="inlineStr">
        <is>
          <t>Day 2 10:00</t>
        </is>
      </c>
      <c r="C14" s="8" t="inlineStr">
        <is>
          <t>용병 토너먼트 개막 — 5:5 팀 매치 시작</t>
        </is>
      </c>
      <c r="D14" s="8" t="inlineStr">
        <is>
          <t>각 서버 5인 1팀, 5판 3선승제, 밴/픽 시스템 적용</t>
        </is>
      </c>
      <c r="E14" s="8" t="inlineStr">
        <is>
          <t>매 판 승리팀 +200, 최종 승리 보너스 +300</t>
        </is>
      </c>
      <c r="F14" s="8" t="inlineStr">
        <is>
          <t>밴/픽에서 상대 핵심 용병 차단이 전략의 핵심</t>
        </is>
      </c>
    </row>
    <row r="15">
      <c r="A15" s="9" t="inlineStr">
        <is>
          <t>3종목</t>
        </is>
      </c>
      <c r="B15" s="9" t="inlineStr">
        <is>
          <t>Day 2 10:30</t>
        </is>
      </c>
      <c r="C15" s="9" t="inlineStr">
        <is>
          <t>용병 토너먼트 2판 — 밴 카드 추가</t>
        </is>
      </c>
      <c r="D15" s="9" t="inlineStr">
        <is>
          <t>1판 MVP 용병 자동 밴, 추가 밴 1장씩 부여</t>
        </is>
      </c>
      <c r="E15" s="9" t="inlineStr">
        <is>
          <t>동일 배점</t>
        </is>
      </c>
      <c r="F15" s="9" t="inlineStr">
        <is>
          <t>핵심 용병 의존도를 낮추고 다양한 조합 준비 필요</t>
        </is>
      </c>
    </row>
    <row r="16">
      <c r="A16" s="8" t="inlineStr">
        <is>
          <t>3종목</t>
        </is>
      </c>
      <c r="B16" s="8" t="inlineStr">
        <is>
          <t>Day 2 11:00</t>
        </is>
      </c>
      <c r="C16" s="8" t="inlineStr">
        <is>
          <t>용병 토너먼트 3판 — 맵 변경</t>
        </is>
      </c>
      <c r="D16" s="8" t="inlineStr">
        <is>
          <t>랜덤 맵 추첨, 양팀 동의 시 맵 재추첨 1회 가능</t>
        </is>
      </c>
      <c r="E16" s="8" t="inlineStr">
        <is>
          <t>동일 배점</t>
        </is>
      </c>
      <c r="F16" s="8" t="inlineStr">
        <is>
          <t>맵 적응력이 중요, 다양한 맵 연습이 승률을 좌우</t>
        </is>
      </c>
    </row>
    <row r="17">
      <c r="A17" s="9" t="inlineStr">
        <is>
          <t>3종목</t>
        </is>
      </c>
      <c r="B17" s="9" t="inlineStr">
        <is>
          <t>Day 2 12:00</t>
        </is>
      </c>
      <c r="C17" s="9" t="inlineStr">
        <is>
          <t>용병 토너먼트 4~5판 — 최종 결전</t>
        </is>
      </c>
      <c r="D17" s="9" t="inlineStr">
        <is>
          <t>3선승 미확정 시 연속 진행, 5판은 블라인드 픽</t>
        </is>
      </c>
      <c r="E17" s="9" t="inlineStr">
        <is>
          <t>4판 +200, 5판(결정전) +500</t>
        </is>
      </c>
      <c r="F17" s="9" t="inlineStr">
        <is>
          <t>블라인드 픽에서 상대 심리 읽기가 최종 승부의 관건</t>
        </is>
      </c>
    </row>
    <row r="18">
      <c r="A18" s="8" t="inlineStr">
        <is>
          <t>집계</t>
        </is>
      </c>
      <c r="B18" s="8" t="inlineStr">
        <is>
          <t>Day 2 13:00</t>
        </is>
      </c>
      <c r="C18" s="8" t="inlineStr">
        <is>
          <t>3종목 합산 점수 집계</t>
        </is>
      </c>
      <c r="D18" s="8" t="inlineStr">
        <is>
          <t>IO +공성 +용병 토너먼트 점수 총합</t>
        </is>
      </c>
      <c r="E18" s="8" t="inlineStr">
        <is>
          <t>총점 높은 서버 승리</t>
        </is>
      </c>
      <c r="F18" s="8" t="inlineStr">
        <is>
          <t>개인 성적도 별도 집계되어 MVP 선정에 반영</t>
        </is>
      </c>
    </row>
    <row r="19">
      <c r="A19" s="9" t="inlineStr">
        <is>
          <t>등급결정</t>
        </is>
      </c>
      <c r="B19" s="9" t="inlineStr">
        <is>
          <t>Day 2 13:30</t>
        </is>
      </c>
      <c r="C19" s="9" t="inlineStr">
        <is>
          <t>서버 등급 결정 — 시즌 서버 랭킹 반영</t>
        </is>
      </c>
      <c r="D19" s="9" t="inlineStr">
        <is>
          <t>승리 서버 등급 포인트 +300, 패배 서버 +100</t>
        </is>
      </c>
      <c r="E19" s="9" t="inlineStr">
        <is>
          <t>시즌 누적 포인트로 서버 티어 결정 (브론즈~챔피언)</t>
        </is>
      </c>
      <c r="F19" s="9" t="inlineStr">
        <is>
          <t>챔피언 티어 서버는 시즌 말 특별 보상 + 서버 스킨</t>
        </is>
      </c>
    </row>
    <row r="20">
      <c r="A20" s="8" t="inlineStr">
        <is>
          <t>보상</t>
        </is>
      </c>
      <c r="B20" s="8" t="inlineStr">
        <is>
          <t>Day 2 14:00</t>
        </is>
      </c>
      <c r="C20" s="8" t="inlineStr">
        <is>
          <t>개인 보상 분배 — 참여도 기반</t>
        </is>
      </c>
      <c r="D20" s="8" t="inlineStr">
        <is>
          <t>참여 경기 수 × 개인 점수로 기여도 산출</t>
        </is>
      </c>
      <c r="E20" s="8" t="inlineStr">
        <is>
          <t>기여도 상위 10%: 전설 보상 상자, 50%: 영웅 상자, 전원: 참가 상자</t>
        </is>
      </c>
      <c r="F20" s="8" t="inlineStr">
        <is>
          <t>대전에 많이 참여할수록 보상 극대화, 관전만으로는 최소 보상</t>
        </is>
      </c>
    </row>
    <row r="21">
      <c r="A21" s="9" t="inlineStr">
        <is>
          <t>보상</t>
        </is>
      </c>
      <c r="B21" s="9" t="inlineStr">
        <is>
          <t>Day 2 14:00</t>
        </is>
      </c>
      <c r="C21" s="9" t="inlineStr">
        <is>
          <t>혈맹 보상 분배 — 혈맹 기여도 합산</t>
        </is>
      </c>
      <c r="D21" s="9" t="inlineStr">
        <is>
          <t>혈맹원 기여도 합산 상위 혈맹에 추가 보상</t>
        </is>
      </c>
      <c r="E21" s="9" t="inlineStr">
        <is>
          <t>1위 혈맹: 혈맹 금고 골드 100만 + 혈맹 깃발 스킨</t>
        </is>
      </c>
      <c r="F21" s="9" t="inlineStr">
        <is>
          <t>혈맹 단위 참여 독려, 혈맹 내부 전략 회의가 중요</t>
        </is>
      </c>
    </row>
    <row r="22">
      <c r="A22" s="8" t="inlineStr">
        <is>
          <t>보상</t>
        </is>
      </c>
      <c r="B22" s="8" t="inlineStr">
        <is>
          <t>Day 2 14:30</t>
        </is>
      </c>
      <c r="C22" s="8" t="inlineStr">
        <is>
          <t>MVP 시상 — 종목별 MVP 선정</t>
        </is>
      </c>
      <c r="D22" s="8" t="inlineStr">
        <is>
          <t>각 종목 최고 활약 플레이어 1인씩 + 전체 MVP</t>
        </is>
      </c>
      <c r="E22" s="8" t="inlineStr">
        <is>
          <t>MVP: 전용 칭호 + 서버 동상 건립 (1시즌 유지)</t>
        </is>
      </c>
      <c r="F22" s="8" t="inlineStr">
        <is>
          <t>서버 영웅으로 이름을 남길 기회, 동상 클릭 시 전적 확인 가능</t>
        </is>
      </c>
    </row>
    <row r="23">
      <c r="A23" s="9" t="inlineStr">
        <is>
          <t>보상</t>
        </is>
      </c>
      <c r="B23" s="9" t="inlineStr">
        <is>
          <t>Day 2 15:00</t>
        </is>
      </c>
      <c r="C23" s="9" t="inlineStr">
        <is>
          <t>패배 서버 위로 보상 + 다음 대전 예고</t>
        </is>
      </c>
      <c r="D23" s="9" t="inlineStr">
        <is>
          <t>패배 서버에도 참여 보상 + 복수전 예약권</t>
        </is>
      </c>
      <c r="E23" s="9" t="inlineStr">
        <is>
          <t>복수전 예약 시 다음 대전 보너스 점수 +10%</t>
        </is>
      </c>
      <c r="F23" s="9" t="inlineStr">
        <is>
          <t>패배해도 다음을 기약, 복수전 시스템으로 지속적 동기 부여</t>
        </is>
      </c>
    </row>
  </sheetData>
  <mergeCells count="1">
    <mergeCell ref="A1:F1"/>
  </mergeCell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4" customWidth="1" min="1" max="1"/>
    <col width="30" customWidth="1" min="2" max="2"/>
    <col width="30" customWidth="1" min="3" max="3"/>
    <col width="30" customWidth="1" min="4" max="4"/>
    <col width="40" customWidth="1" min="5" max="5"/>
  </cols>
  <sheetData>
    <row r="1">
      <c r="A1" s="6" t="inlineStr">
        <is>
          <t>포획 몬스터 유대도 &amp; 합체 변신 상세</t>
        </is>
      </c>
    </row>
    <row r="3">
      <c r="A3" s="7" t="inlineStr">
        <is>
          <t>유대 단계</t>
        </is>
      </c>
      <c r="B3" s="7" t="inlineStr">
        <is>
          <t>필요 행동</t>
        </is>
      </c>
      <c r="C3" s="7" t="inlineStr">
        <is>
          <t>효과</t>
        </is>
      </c>
      <c r="D3" s="7" t="inlineStr">
        <is>
          <t>보너스</t>
        </is>
      </c>
      <c r="E3" s="7" t="inlineStr">
        <is>
          <t>합체 변신 해금</t>
        </is>
      </c>
    </row>
    <row r="4">
      <c r="A4" s="8" t="inlineStr">
        <is>
          <t>1단계: 만남</t>
        </is>
      </c>
      <c r="B4" s="8" t="inlineStr">
        <is>
          <t>몬스터 최초 포획 성공</t>
        </is>
      </c>
      <c r="C4" s="8" t="inlineStr">
        <is>
          <t>포획 등록, 기본 명령 가능 (대기/따라오기)</t>
        </is>
      </c>
      <c r="D4" s="8" t="inlineStr">
        <is>
          <t>명령 반응속도 보통 (1.5초)</t>
        </is>
      </c>
      <c r="E4" s="8" t="inlineStr">
        <is>
          <t>없음</t>
        </is>
      </c>
    </row>
    <row r="5">
      <c r="A5" s="9" t="inlineStr">
        <is>
          <t>2단계: 친밀</t>
        </is>
      </c>
      <c r="B5" s="9" t="inlineStr">
        <is>
          <t>함께 전투 50회 + 먹이 주기 20회</t>
        </is>
      </c>
      <c r="C5" s="9" t="inlineStr">
        <is>
          <t>전투 시 주인 근처 유지, 도망 확률 0%</t>
        </is>
      </c>
      <c r="D5" s="9" t="inlineStr">
        <is>
          <t>명령 반응속도 빠름 (0.8초), 기본 스탯 +5%</t>
        </is>
      </c>
      <c r="E5" s="9" t="inlineStr">
        <is>
          <t>없음</t>
        </is>
      </c>
    </row>
    <row r="6">
      <c r="A6" s="8" t="inlineStr">
        <is>
          <t>3단계: 신뢰</t>
        </is>
      </c>
      <c r="B6" s="8" t="inlineStr">
        <is>
          <t>함께 보스 처치 10회 + 쓰다듬기 100회 + 특수 먹이 5회</t>
        </is>
      </c>
      <c r="C6" s="8" t="inlineStr">
        <is>
          <t>고급 명령 해금 (특정 대상 공격/방어 전환)</t>
        </is>
      </c>
      <c r="D6" s="8" t="inlineStr">
        <is>
          <t>명령 반응속도 즉시 (0.3초), 스탯 +10%, 고유 스킬 1개 해금</t>
        </is>
      </c>
      <c r="E6" s="8" t="inlineStr">
        <is>
          <t>합체 변신 조건 확인 가능 (UI 표시)</t>
        </is>
      </c>
    </row>
    <row r="7">
      <c r="A7" s="9" t="inlineStr">
        <is>
          <t>4단계: 유대</t>
        </is>
      </c>
      <c r="B7" s="9" t="inlineStr">
        <is>
          <t>함께 사냥 500회 + 위기 상황 구출 5회 + 전용 퀘스트 클리어</t>
        </is>
      </c>
      <c r="C7" s="9" t="inlineStr">
        <is>
          <t>주인 위험 시 자동 방어, 감정 표현 다양화</t>
        </is>
      </c>
      <c r="D7" s="9" t="inlineStr">
        <is>
          <t>스탯 +20%, 고유 스킬 2개 해금, 주인 사망 시 부활 보조 (1일 1회)</t>
        </is>
      </c>
      <c r="E7" s="9" t="inlineStr">
        <is>
          <t>합체 변신 가능 (쿨타임 10분)</t>
        </is>
      </c>
    </row>
    <row r="8">
      <c r="A8" s="8" t="inlineStr">
        <is>
          <t>5단계: 영혼</t>
        </is>
      </c>
      <c r="B8" s="8" t="inlineStr">
        <is>
          <t>유대 퀘스트 최종장 클리어 + 누적 동행 시간 100시간</t>
        </is>
      </c>
      <c r="C8" s="8" t="inlineStr">
        <is>
          <t>완전한 의사소통, 독립 판단 전투 가능</t>
        </is>
      </c>
      <c r="D8" s="8" t="inlineStr">
        <is>
          <t>스탯 +30%, 전 스킬 해금, 주인 버프 상시 적용, 고유 합체 궁극기</t>
        </is>
      </c>
      <c r="E8" s="8" t="inlineStr">
        <is>
          <t>합체 변신 강화 (쿨타임 5분, 지속시간 2배)</t>
        </is>
      </c>
    </row>
    <row r="9">
      <c r="A9" s="9" t="inlineStr">
        <is>
          <t>합체 변신 1</t>
        </is>
      </c>
      <c r="B9" s="9" t="inlineStr">
        <is>
          <t>화염 늑대 + 4단계 이상</t>
        </is>
      </c>
      <c r="C9" s="9" t="inlineStr">
        <is>
          <t>화염 늑대 기사 — 화염 갑옷 착용, 늑대 탑승 형태</t>
        </is>
      </c>
      <c r="D9" s="9" t="inlineStr">
        <is>
          <t>공격력 +40%, 이동속도 +50%, 화염 저항 100%</t>
        </is>
      </c>
      <c r="E9" s="9" t="inlineStr">
        <is>
          <t>화염 질주: 직선 돌진하며 경로상 적 전원에 화염 피해, 지속 60초, 쿨 10분</t>
        </is>
      </c>
    </row>
    <row r="10">
      <c r="A10" s="8" t="inlineStr">
        <is>
          <t>합체 변신 2</t>
        </is>
      </c>
      <c r="B10" s="8" t="inlineStr">
        <is>
          <t>얼음 곰 + 4단계 이상</t>
        </is>
      </c>
      <c r="C10" s="8" t="inlineStr">
        <is>
          <t>빙결 전사 — 얼음 갑옷 착용, 거대화</t>
        </is>
      </c>
      <c r="D10" s="8" t="inlineStr">
        <is>
          <t>HP +60%, 방어력 +50%, 빙결 저항 100%</t>
        </is>
      </c>
      <c r="E10" s="8" t="inlineStr">
        <is>
          <t>빙하 강타: 범위 3m 내 적 전원 빙결 3초 + 대미지, 지속 60초, 쿨 10분</t>
        </is>
      </c>
    </row>
    <row r="11">
      <c r="A11" s="9" t="inlineStr">
        <is>
          <t>합체 변신 3</t>
        </is>
      </c>
      <c r="B11" s="9" t="inlineStr">
        <is>
          <t>번개 매 + 4단계 이상</t>
        </is>
      </c>
      <c r="C11" s="9" t="inlineStr">
        <is>
          <t>뇌신 사냥꾼 — 번개 날개 생성, 비행 가능</t>
        </is>
      </c>
      <c r="D11" s="9" t="inlineStr">
        <is>
          <t>공격속도 +60%, 회피율 +30%, 번개 저항 100%</t>
        </is>
      </c>
      <c r="E11" s="9" t="inlineStr">
        <is>
          <t>뇌격 난무: 공중에서 번개 5연타 광역 공격, 지속 45초, 쿨 10분</t>
        </is>
      </c>
    </row>
    <row r="12">
      <c r="A12" s="8" t="inlineStr">
        <is>
          <t>합체 변신 4</t>
        </is>
      </c>
      <c r="B12" s="8" t="inlineStr">
        <is>
          <t>대지 거북 + 4단계 이상</t>
        </is>
      </c>
      <c r="C12" s="8" t="inlineStr">
        <is>
          <t>철벽 수호자 — 거북 등껍질 방패 장착</t>
        </is>
      </c>
      <c r="D12" s="8" t="inlineStr">
        <is>
          <t>방어력 +80%, HP +40%, 대지 저항 100%</t>
        </is>
      </c>
      <c r="E12" s="8" t="inlineStr">
        <is>
          <t>대지의 성벽: 주변 아군 전원에게 무적 쉴드 5초, 지속 60초, 쿨 12분</t>
        </is>
      </c>
    </row>
    <row r="13">
      <c r="A13" s="9" t="inlineStr">
        <is>
          <t>합체 변신 5</t>
        </is>
      </c>
      <c r="B13" s="9" t="inlineStr">
        <is>
          <t>그림자 표범 + 4단계 이상</t>
        </is>
      </c>
      <c r="C13" s="9" t="inlineStr">
        <is>
          <t>암영 암살자 — 그림자 은신 상태, 단검 이중 장착</t>
        </is>
      </c>
      <c r="D13" s="9" t="inlineStr">
        <is>
          <t>치명타율 +50%, 이동속도 +40%, 은신 시 무적</t>
        </is>
      </c>
      <c r="E13" s="9" t="inlineStr">
        <is>
          <t>그림자 습격: 은신 후 5연속 암살 공격, 지속 30초, 쿨 8분</t>
        </is>
      </c>
    </row>
    <row r="14">
      <c r="A14" s="8" t="inlineStr">
        <is>
          <t>합체 변신 6</t>
        </is>
      </c>
      <c r="B14" s="8" t="inlineStr">
        <is>
          <t>바다 해마 + 4단계 이상</t>
        </is>
      </c>
      <c r="C14" s="8" t="inlineStr">
        <is>
          <t>심해 마법사 — 수중 호흡, 물 마법 강화</t>
        </is>
      </c>
      <c r="D14" s="8" t="inlineStr">
        <is>
          <t>마법 공격력 +50%, 수중 이동속도 3배, 수속성 100%</t>
        </is>
      </c>
      <c r="E14" s="8" t="inlineStr">
        <is>
          <t>해일 소환: 거대 파도로 전방 적 전원 밀어내기 + 대미지, 지속 45초, 쿨 10분</t>
        </is>
      </c>
    </row>
    <row r="15">
      <c r="A15" s="9" t="inlineStr">
        <is>
          <t>합체 변신 7</t>
        </is>
      </c>
      <c r="B15" s="9" t="inlineStr">
        <is>
          <t>바람 독수리 + 5단계</t>
        </is>
      </c>
      <c r="C15" s="9" t="inlineStr">
        <is>
          <t>폭풍 군주 — 영구 비행, 바람 조종 능력</t>
        </is>
      </c>
      <c r="D15" s="9" t="inlineStr">
        <is>
          <t>전 스탯 +30%, 비행 속도 최고, 풍속성 100%</t>
        </is>
      </c>
      <c r="E15" s="9" t="inlineStr">
        <is>
          <t>폭풍의 눈: 거대 토네이도 소환, 범위 내 적 지속 피해 + 행동불능, 지속 90초, 쿨 15분</t>
        </is>
      </c>
    </row>
    <row r="16">
      <c r="A16" s="8" t="inlineStr">
        <is>
          <t>합체 변신 8</t>
        </is>
      </c>
      <c r="B16" s="8" t="inlineStr">
        <is>
          <t>신수 기린 + 5단계</t>
        </is>
      </c>
      <c r="C16" s="8" t="inlineStr">
        <is>
          <t>성수 기사 — 신성 갑옷, 기린 탑승 형태</t>
        </is>
      </c>
      <c r="D16" s="8" t="inlineStr">
        <is>
          <t>전 스탯 +35%, 아군 주변 자동 힐, 신성 저항 100%</t>
        </is>
      </c>
      <c r="E16" s="8" t="inlineStr">
        <is>
          <t>기린의 심판: 신성 광선으로 범위 내 적 정화 + 아군 전체 힐, 지속 90초, 쿨 15분</t>
        </is>
      </c>
    </row>
    <row r="17">
      <c r="A17" s="9" t="inlineStr">
        <is>
          <t>합체 변신 9</t>
        </is>
      </c>
      <c r="B17" s="9" t="inlineStr">
        <is>
          <t>용 해츨링 + 5단계</t>
        </is>
      </c>
      <c r="C17" s="9" t="inlineStr">
        <is>
          <t>드래곤 나이트 — 용 탑승 비행, 브레스 공격</t>
        </is>
      </c>
      <c r="D17" s="9" t="inlineStr">
        <is>
          <t>전 스탯 +40%, 비행 가능, 화염/얼음 브레스 교대 사용</t>
        </is>
      </c>
      <c r="E17" s="9" t="inlineStr">
        <is>
          <t>용의 포효: 전 맵 적에게 공포 + 아군 사기 충천 버프, 지속 120초, 쿨 20분</t>
        </is>
      </c>
    </row>
    <row r="18">
      <c r="A18" s="8" t="inlineStr">
        <is>
          <t>합체 변신 10</t>
        </is>
      </c>
      <c r="B18" s="8" t="inlineStr">
        <is>
          <t>어둠 불사조 + 5단계 (히든)</t>
        </is>
      </c>
      <c r="C18" s="8" t="inlineStr">
        <is>
          <t>불사조 화신 — 불사 상태, 화염+암흑 이중 속성</t>
        </is>
      </c>
      <c r="D18" s="8" t="inlineStr">
        <is>
          <t>전 스탯 +50%, 사망 시 자동 부활 1회, 이중 속성 100%</t>
        </is>
      </c>
      <c r="E18" s="8" t="inlineStr">
        <is>
          <t>종말의 불꽃: 피닉스 폭발로 맵 전체 대미지 + 자신 부활, 1회용, 쿨 30분</t>
        </is>
      </c>
    </row>
  </sheetData>
  <mergeCells count="1">
    <mergeCell ref="A1:E1"/>
  </mergeCell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5" customWidth="1" min="1" max="1"/>
    <col width="16" customWidth="1" min="2" max="2"/>
    <col width="30" customWidth="1" min="3" max="3"/>
    <col width="30" customWidth="1" min="4" max="4"/>
    <col width="8" customWidth="1" min="5" max="5"/>
    <col width="8" customWidth="1" min="6" max="6"/>
  </cols>
  <sheetData>
    <row r="1">
      <c r="A1" s="6" t="inlineStr">
        <is>
          <t>전체 칭호 목록 50종</t>
        </is>
      </c>
    </row>
    <row r="3">
      <c r="A3" s="7" t="inlineStr">
        <is>
          <t>#</t>
        </is>
      </c>
      <c r="B3" s="7" t="inlineStr">
        <is>
          <t>칭호명</t>
        </is>
      </c>
      <c r="C3" s="7" t="inlineStr">
        <is>
          <t>획득 조건</t>
        </is>
      </c>
      <c r="D3" s="7" t="inlineStr">
        <is>
          <t>효과</t>
        </is>
      </c>
      <c r="E3" s="7" t="inlineStr">
        <is>
          <t>희귀도</t>
        </is>
      </c>
      <c r="F3" s="7" t="inlineStr">
        <is>
          <t>카테고리</t>
        </is>
      </c>
    </row>
    <row r="4">
      <c r="A4" s="8" t="n">
        <v>1</v>
      </c>
      <c r="B4" s="8" t="inlineStr">
        <is>
          <t>첫 발걸음</t>
        </is>
      </c>
      <c r="C4" s="8" t="inlineStr">
        <is>
          <t>첫 PvP 킬 달성</t>
        </is>
      </c>
      <c r="D4" s="8" t="inlineStr">
        <is>
          <t>공격력 +1%</t>
        </is>
      </c>
      <c r="E4" s="8" t="inlineStr">
        <is>
          <t>일반</t>
        </is>
      </c>
      <c r="F4" s="8" t="inlineStr">
        <is>
          <t>전투</t>
        </is>
      </c>
    </row>
    <row r="5">
      <c r="A5" s="9" t="n">
        <v>2</v>
      </c>
      <c r="B5" s="9" t="inlineStr">
        <is>
          <t>전장의 신병</t>
        </is>
      </c>
      <c r="C5" s="9" t="inlineStr">
        <is>
          <t>PvP 10킬 누적</t>
        </is>
      </c>
      <c r="D5" s="9" t="inlineStr">
        <is>
          <t>공격력 +2%</t>
        </is>
      </c>
      <c r="E5" s="9" t="inlineStr">
        <is>
          <t>일반</t>
        </is>
      </c>
      <c r="F5" s="9" t="inlineStr">
        <is>
          <t>전투</t>
        </is>
      </c>
    </row>
    <row r="6">
      <c r="A6" s="8" t="n">
        <v>3</v>
      </c>
      <c r="B6" s="8" t="inlineStr">
        <is>
          <t>백전노장</t>
        </is>
      </c>
      <c r="C6" s="8" t="inlineStr">
        <is>
          <t>PvP 100킬 누적</t>
        </is>
      </c>
      <c r="D6" s="8" t="inlineStr">
        <is>
          <t>공격력 +3%, HP +1%</t>
        </is>
      </c>
      <c r="E6" s="8" t="inlineStr">
        <is>
          <t>고급</t>
        </is>
      </c>
      <c r="F6" s="8" t="inlineStr">
        <is>
          <t>전투</t>
        </is>
      </c>
    </row>
    <row r="7">
      <c r="A7" s="9" t="n">
        <v>4</v>
      </c>
      <c r="B7" s="9" t="inlineStr">
        <is>
          <t>100킬왕</t>
        </is>
      </c>
      <c r="C7" s="9" t="inlineStr">
        <is>
          <t>PvP 킬 수 100회 달성 (시즌 내)</t>
        </is>
      </c>
      <c r="D7" s="9" t="inlineStr">
        <is>
          <t>공격력 +5%</t>
        </is>
      </c>
      <c r="E7" s="9" t="inlineStr">
        <is>
          <t>희귀</t>
        </is>
      </c>
      <c r="F7" s="9" t="inlineStr">
        <is>
          <t>전투</t>
        </is>
      </c>
    </row>
    <row r="8">
      <c r="A8" s="8" t="n">
        <v>5</v>
      </c>
      <c r="B8" s="8" t="inlineStr">
        <is>
          <t>PvP 달인</t>
        </is>
      </c>
      <c r="C8" s="8" t="inlineStr">
        <is>
          <t>PvP 승률 70% 이상 (최소 50전)</t>
        </is>
      </c>
      <c r="D8" s="8" t="inlineStr">
        <is>
          <t>공격력 +4%, 방어력 +2%</t>
        </is>
      </c>
      <c r="E8" s="8" t="inlineStr">
        <is>
          <t>영웅</t>
        </is>
      </c>
      <c r="F8" s="8" t="inlineStr">
        <is>
          <t>전투</t>
        </is>
      </c>
    </row>
    <row r="9">
      <c r="A9" s="9" t="n">
        <v>6</v>
      </c>
      <c r="B9" s="9" t="inlineStr">
        <is>
          <t>불사신</t>
        </is>
      </c>
      <c r="C9" s="9" t="inlineStr">
        <is>
          <t>연속 10킬 무사망 달성</t>
        </is>
      </c>
      <c r="D9" s="9" t="inlineStr">
        <is>
          <t>HP +5%, 사망 시 부활 시간 -20%</t>
        </is>
      </c>
      <c r="E9" s="9" t="inlineStr">
        <is>
          <t>영웅</t>
        </is>
      </c>
      <c r="F9" s="9" t="inlineStr">
        <is>
          <t>전투</t>
        </is>
      </c>
    </row>
    <row r="10">
      <c r="A10" s="8" t="n">
        <v>7</v>
      </c>
      <c r="B10" s="8" t="inlineStr">
        <is>
          <t>학살자</t>
        </is>
      </c>
      <c r="C10" s="8" t="inlineStr">
        <is>
          <t>단일 매치에서 20킬 달성</t>
        </is>
      </c>
      <c r="D10" s="8" t="inlineStr">
        <is>
          <t>공격력 +6%</t>
        </is>
      </c>
      <c r="E10" s="8" t="inlineStr">
        <is>
          <t>전설</t>
        </is>
      </c>
      <c r="F10" s="8" t="inlineStr">
        <is>
          <t>전투</t>
        </is>
      </c>
    </row>
    <row r="11">
      <c r="A11" s="9" t="n">
        <v>8</v>
      </c>
      <c r="B11" s="9" t="inlineStr">
        <is>
          <t>전설의 검</t>
        </is>
      </c>
      <c r="C11" s="9" t="inlineStr">
        <is>
          <t>PvP 1000킬 누적</t>
        </is>
      </c>
      <c r="D11" s="9" t="inlineStr">
        <is>
          <t>공격력 +5%, 치명타 +3%</t>
        </is>
      </c>
      <c r="E11" s="9" t="inlineStr">
        <is>
          <t>전설</t>
        </is>
      </c>
      <c r="F11" s="9" t="inlineStr">
        <is>
          <t>전투</t>
        </is>
      </c>
    </row>
    <row r="12">
      <c r="A12" s="8" t="n">
        <v>9</v>
      </c>
      <c r="B12" s="8" t="inlineStr">
        <is>
          <t>서버 최강자</t>
        </is>
      </c>
      <c r="C12" s="8" t="inlineStr">
        <is>
          <t>서버 PvP 랭킹 1위 달성</t>
        </is>
      </c>
      <c r="D12" s="8" t="inlineStr">
        <is>
          <t>전 스탯 +3%</t>
        </is>
      </c>
      <c r="E12" s="8" t="inlineStr">
        <is>
          <t>신화</t>
        </is>
      </c>
      <c r="F12" s="8" t="inlineStr">
        <is>
          <t>전투</t>
        </is>
      </c>
    </row>
    <row r="13">
      <c r="A13" s="9" t="n">
        <v>10</v>
      </c>
      <c r="B13" s="9" t="inlineStr">
        <is>
          <t>전쟁의 화신</t>
        </is>
      </c>
      <c r="C13" s="9" t="inlineStr">
        <is>
          <t>시즌 PvP 킬 수 전체 1위</t>
        </is>
      </c>
      <c r="D13" s="9" t="inlineStr">
        <is>
          <t>전 스탯 +5%, 전용 이펙트</t>
        </is>
      </c>
      <c r="E13" s="9" t="inlineStr">
        <is>
          <t>신화</t>
        </is>
      </c>
      <c r="F13" s="9" t="inlineStr">
        <is>
          <t>전투</t>
        </is>
      </c>
    </row>
    <row r="14">
      <c r="A14" s="8" t="n">
        <v>11</v>
      </c>
      <c r="B14" s="8" t="inlineStr">
        <is>
          <t>장사꾼</t>
        </is>
      </c>
      <c r="C14" s="8" t="inlineStr">
        <is>
          <t>무역 거래 100회 완료</t>
        </is>
      </c>
      <c r="D14" s="8" t="inlineStr">
        <is>
          <t>골드 획득량 +3%</t>
        </is>
      </c>
      <c r="E14" s="8" t="inlineStr">
        <is>
          <t>일반</t>
        </is>
      </c>
      <c r="F14" s="8" t="inlineStr">
        <is>
          <t>무역</t>
        </is>
      </c>
    </row>
    <row r="15">
      <c r="A15" s="9" t="n">
        <v>12</v>
      </c>
      <c r="B15" s="9" t="inlineStr">
        <is>
          <t>무역왕</t>
        </is>
      </c>
      <c r="C15" s="9" t="inlineStr">
        <is>
          <t>무역 수익 누적 100만 골드</t>
        </is>
      </c>
      <c r="D15" s="9" t="inlineStr">
        <is>
          <t>골드 획득량 +5%, 무역품 구매가 -3%</t>
        </is>
      </c>
      <c r="E15" s="9" t="inlineStr">
        <is>
          <t>희귀</t>
        </is>
      </c>
      <c r="F15" s="9" t="inlineStr">
        <is>
          <t>무역</t>
        </is>
      </c>
    </row>
    <row r="16">
      <c r="A16" s="8" t="n">
        <v>13</v>
      </c>
      <c r="B16" s="8" t="inlineStr">
        <is>
          <t>거상</t>
        </is>
      </c>
      <c r="C16" s="8" t="inlineStr">
        <is>
          <t>무역 수익 누적 1000만 골드</t>
        </is>
      </c>
      <c r="D16" s="8" t="inlineStr">
        <is>
          <t>골드 획득량 +8%, 무역품 구매가 -5%</t>
        </is>
      </c>
      <c r="E16" s="8" t="inlineStr">
        <is>
          <t>영웅</t>
        </is>
      </c>
      <c r="F16" s="8" t="inlineStr">
        <is>
          <t>무역</t>
        </is>
      </c>
    </row>
    <row r="17">
      <c r="A17" s="9" t="n">
        <v>14</v>
      </c>
      <c r="B17" s="9" t="inlineStr">
        <is>
          <t>경제 지배자</t>
        </is>
      </c>
      <c r="C17" s="9" t="inlineStr">
        <is>
          <t>서버 무역 수익 1위 달성</t>
        </is>
      </c>
      <c r="D17" s="9" t="inlineStr">
        <is>
          <t>골드 획득량 +10%, 상점 전용 할인</t>
        </is>
      </c>
      <c r="E17" s="9" t="inlineStr">
        <is>
          <t>전설</t>
        </is>
      </c>
      <c r="F17" s="9" t="inlineStr">
        <is>
          <t>무역</t>
        </is>
      </c>
    </row>
    <row r="18">
      <c r="A18" s="8" t="n">
        <v>15</v>
      </c>
      <c r="B18" s="8" t="inlineStr">
        <is>
          <t>황금의 손</t>
        </is>
      </c>
      <c r="C18" s="8" t="inlineStr">
        <is>
          <t>무역 이벤트 우승 3회</t>
        </is>
      </c>
      <c r="D18" s="8" t="inlineStr">
        <is>
          <t>골드 획득량 +7%, 희귀 무역품 출현율 +10%</t>
        </is>
      </c>
      <c r="E18" s="8" t="inlineStr">
        <is>
          <t>전설</t>
        </is>
      </c>
      <c r="F18" s="8" t="inlineStr">
        <is>
          <t>무역</t>
        </is>
      </c>
    </row>
    <row r="19">
      <c r="A19" s="9" t="n">
        <v>16</v>
      </c>
      <c r="B19" s="9" t="inlineStr">
        <is>
          <t>성벽 파괴자</t>
        </is>
      </c>
      <c r="C19" s="9" t="inlineStr">
        <is>
          <t>공성전 참여 10회</t>
        </is>
      </c>
      <c r="D19" s="9" t="inlineStr">
        <is>
          <t>공성 대미지 +5%</t>
        </is>
      </c>
      <c r="E19" s="9" t="inlineStr">
        <is>
          <t>일반</t>
        </is>
      </c>
      <c r="F19" s="9" t="inlineStr">
        <is>
          <t>공성</t>
        </is>
      </c>
    </row>
    <row r="20">
      <c r="A20" s="8" t="n">
        <v>17</v>
      </c>
      <c r="B20" s="8" t="inlineStr">
        <is>
          <t>공성왕</t>
        </is>
      </c>
      <c r="C20" s="8" t="inlineStr">
        <is>
          <t>공성전 승리 20회</t>
        </is>
      </c>
      <c r="D20" s="8" t="inlineStr">
        <is>
          <t>공성 대미지 +10%, 성벽 피해 감소 +5%</t>
        </is>
      </c>
      <c r="E20" s="8" t="inlineStr">
        <is>
          <t>희귀</t>
        </is>
      </c>
      <c r="F20" s="8" t="inlineStr">
        <is>
          <t>공성</t>
        </is>
      </c>
    </row>
    <row r="21">
      <c r="A21" s="9" t="n">
        <v>18</v>
      </c>
      <c r="B21" s="9" t="inlineStr">
        <is>
          <t>철벽 수호자</t>
        </is>
      </c>
      <c r="C21" s="9" t="inlineStr">
        <is>
          <t>공성전 방어 성공 10회 연속</t>
        </is>
      </c>
      <c r="D21" s="9" t="inlineStr">
        <is>
          <t>방어력 +8%, 성벽 수리 속도 +20%</t>
        </is>
      </c>
      <c r="E21" s="9" t="inlineStr">
        <is>
          <t>영웅</t>
        </is>
      </c>
      <c r="F21" s="9" t="inlineStr">
        <is>
          <t>공성</t>
        </is>
      </c>
    </row>
    <row r="22">
      <c r="A22" s="8" t="n">
        <v>19</v>
      </c>
      <c r="B22" s="8" t="inlineStr">
        <is>
          <t>난공불락</t>
        </is>
      </c>
      <c r="C22" s="8" t="inlineStr">
        <is>
          <t>공성전 방어 성공률 90% 이상 (최소 20전)</t>
        </is>
      </c>
      <c r="D22" s="8" t="inlineStr">
        <is>
          <t>방어력 +10%, 아군 성벽 HP +5%</t>
        </is>
      </c>
      <c r="E22" s="8" t="inlineStr">
        <is>
          <t>전설</t>
        </is>
      </c>
      <c r="F22" s="8" t="inlineStr">
        <is>
          <t>공성</t>
        </is>
      </c>
    </row>
    <row r="23">
      <c r="A23" s="9" t="n">
        <v>20</v>
      </c>
      <c r="B23" s="9" t="inlineStr">
        <is>
          <t>정복왕</t>
        </is>
      </c>
      <c r="C23" s="9" t="inlineStr">
        <is>
          <t>3개 이상 성 동시 소유 달성</t>
        </is>
      </c>
      <c r="D23" s="9" t="inlineStr">
        <is>
          <t>공성 전 스탯 +5%, 성 수입 +10%</t>
        </is>
      </c>
      <c r="E23" s="9" t="inlineStr">
        <is>
          <t>신화</t>
        </is>
      </c>
      <c r="F23" s="9" t="inlineStr">
        <is>
          <t>공성</t>
        </is>
      </c>
    </row>
    <row r="24">
      <c r="A24" s="8" t="n">
        <v>21</v>
      </c>
      <c r="B24" s="8" t="inlineStr">
        <is>
          <t>포획 입문자</t>
        </is>
      </c>
      <c r="C24" s="8" t="inlineStr">
        <is>
          <t>몬스터 첫 포획 성공</t>
        </is>
      </c>
      <c r="D24" s="8" t="inlineStr">
        <is>
          <t>포획 확률 +2%</t>
        </is>
      </c>
      <c r="E24" s="8" t="inlineStr">
        <is>
          <t>일반</t>
        </is>
      </c>
      <c r="F24" s="8" t="inlineStr">
        <is>
          <t>포획</t>
        </is>
      </c>
    </row>
    <row r="25">
      <c r="A25" s="9" t="n">
        <v>22</v>
      </c>
      <c r="B25" s="9" t="inlineStr">
        <is>
          <t>포획왕</t>
        </is>
      </c>
      <c r="C25" s="9" t="inlineStr">
        <is>
          <t>서로 다른 몬스터 50종 포획</t>
        </is>
      </c>
      <c r="D25" s="9" t="inlineStr">
        <is>
          <t>포획 확률 +5%, 포획 시 경험치 +10%</t>
        </is>
      </c>
      <c r="E25" s="9" t="inlineStr">
        <is>
          <t>희귀</t>
        </is>
      </c>
      <c r="F25" s="9" t="inlineStr">
        <is>
          <t>포획</t>
        </is>
      </c>
    </row>
    <row r="26">
      <c r="A26" s="8" t="n">
        <v>23</v>
      </c>
      <c r="B26" s="8" t="inlineStr">
        <is>
          <t>도감 완성자</t>
        </is>
      </c>
      <c r="C26" s="8" t="inlineStr">
        <is>
          <t>전체 몬스터 도감 80% 이상 달성</t>
        </is>
      </c>
      <c r="D26" s="8" t="inlineStr">
        <is>
          <t>포획 확률 +8%, 몬스터 스탯 +3%</t>
        </is>
      </c>
      <c r="E26" s="8" t="inlineStr">
        <is>
          <t>영웅</t>
        </is>
      </c>
      <c r="F26" s="8" t="inlineStr">
        <is>
          <t>포획</t>
        </is>
      </c>
    </row>
    <row r="27">
      <c r="A27" s="9" t="n">
        <v>24</v>
      </c>
      <c r="B27" s="9" t="inlineStr">
        <is>
          <t>전설의 조련사</t>
        </is>
      </c>
      <c r="C27" s="9" t="inlineStr">
        <is>
          <t>전설 등급 몬스터 5마리 포획</t>
        </is>
      </c>
      <c r="D27" s="9" t="inlineStr">
        <is>
          <t>포획 확률 +10%, 몬스터 유대도 상승 속도 +20%</t>
        </is>
      </c>
      <c r="E27" s="9" t="inlineStr">
        <is>
          <t>전설</t>
        </is>
      </c>
      <c r="F27" s="9" t="inlineStr">
        <is>
          <t>포획</t>
        </is>
      </c>
    </row>
    <row r="28">
      <c r="A28" s="8" t="n">
        <v>25</v>
      </c>
      <c r="B28" s="8" t="inlineStr">
        <is>
          <t>몬스터 마스터</t>
        </is>
      </c>
      <c r="C28" s="8" t="inlineStr">
        <is>
          <t>전체 도감 100% 완성</t>
        </is>
      </c>
      <c r="D28" s="8" t="inlineStr">
        <is>
          <t>포획 확률 +15%, 몬스터 전 스탯 +5%</t>
        </is>
      </c>
      <c r="E28" s="8" t="inlineStr">
        <is>
          <t>신화</t>
        </is>
      </c>
      <c r="F28" s="8" t="inlineStr">
        <is>
          <t>포획</t>
        </is>
      </c>
    </row>
    <row r="29">
      <c r="A29" s="9" t="n">
        <v>26</v>
      </c>
      <c r="B29" s="9" t="inlineStr">
        <is>
          <t>용병 수집가</t>
        </is>
      </c>
      <c r="C29" s="9" t="inlineStr">
        <is>
          <t>서로 다른 용병 30종 보유</t>
        </is>
      </c>
      <c r="D29" s="9" t="inlineStr">
        <is>
          <t>용병 소환 쿨타임 -5%</t>
        </is>
      </c>
      <c r="E29" s="9" t="inlineStr">
        <is>
          <t>일반</t>
        </is>
      </c>
      <c r="F29" s="9" t="inlineStr">
        <is>
          <t>용병</t>
        </is>
      </c>
    </row>
    <row r="30">
      <c r="A30" s="8" t="n">
        <v>27</v>
      </c>
      <c r="B30" s="8" t="inlineStr">
        <is>
          <t>수집왕</t>
        </is>
      </c>
      <c r="C30" s="8" t="inlineStr">
        <is>
          <t>서로 다른 용병 100종 보유</t>
        </is>
      </c>
      <c r="D30" s="8" t="inlineStr">
        <is>
          <t>용병 소환 쿨타임 -10%, 용병 스탯 +3%</t>
        </is>
      </c>
      <c r="E30" s="8" t="inlineStr">
        <is>
          <t>희귀</t>
        </is>
      </c>
      <c r="F30" s="8" t="inlineStr">
        <is>
          <t>용병</t>
        </is>
      </c>
    </row>
    <row r="31">
      <c r="A31" s="9" t="n">
        <v>28</v>
      </c>
      <c r="B31" s="9" t="inlineStr">
        <is>
          <t>SSR 수집가</t>
        </is>
      </c>
      <c r="C31" s="9" t="inlineStr">
        <is>
          <t>SSR 용병 10종 보유</t>
        </is>
      </c>
      <c r="D31" s="9" t="inlineStr">
        <is>
          <t>SSR 용병 스탯 +5%</t>
        </is>
      </c>
      <c r="E31" s="9" t="inlineStr">
        <is>
          <t>영웅</t>
        </is>
      </c>
      <c r="F31" s="9" t="inlineStr">
        <is>
          <t>용병</t>
        </is>
      </c>
    </row>
    <row r="32">
      <c r="A32" s="8" t="n">
        <v>29</v>
      </c>
      <c r="B32" s="8" t="inlineStr">
        <is>
          <t>신화 소환사</t>
        </is>
      </c>
      <c r="C32" s="8" t="inlineStr">
        <is>
          <t>신화 등급 용병 소환 성공</t>
        </is>
      </c>
      <c r="D32" s="8" t="inlineStr">
        <is>
          <t>신화 용병 스탯 +5%, 용병 가챠 SSR 확률 +1%</t>
        </is>
      </c>
      <c r="E32" s="8" t="inlineStr">
        <is>
          <t>전설</t>
        </is>
      </c>
      <c r="F32" s="8" t="inlineStr">
        <is>
          <t>용병</t>
        </is>
      </c>
    </row>
    <row r="33">
      <c r="A33" s="9" t="n">
        <v>30</v>
      </c>
      <c r="B33" s="9" t="inlineStr">
        <is>
          <t>군단장</t>
        </is>
      </c>
      <c r="C33" s="9" t="inlineStr">
        <is>
          <t>용병 50종 동시 편성 달성</t>
        </is>
      </c>
      <c r="D33" s="9" t="inlineStr">
        <is>
          <t>용병 전체 스탯 +5%, 편성 슬롯 +1</t>
        </is>
      </c>
      <c r="E33" s="9" t="inlineStr">
        <is>
          <t>신화</t>
        </is>
      </c>
      <c r="F33" s="9" t="inlineStr">
        <is>
          <t>용병</t>
        </is>
      </c>
    </row>
    <row r="34">
      <c r="A34" s="8" t="n">
        <v>31</v>
      </c>
      <c r="B34" s="8" t="inlineStr">
        <is>
          <t>모험가</t>
        </is>
      </c>
      <c r="C34" s="8" t="inlineStr">
        <is>
          <t>전체 맵의 50% 탐험 완료</t>
        </is>
      </c>
      <c r="D34" s="8" t="inlineStr">
        <is>
          <t>이동속도 +3%</t>
        </is>
      </c>
      <c r="E34" s="8" t="inlineStr">
        <is>
          <t>일반</t>
        </is>
      </c>
      <c r="F34" s="8" t="inlineStr">
        <is>
          <t>탐험</t>
        </is>
      </c>
    </row>
    <row r="35">
      <c r="A35" s="9" t="n">
        <v>32</v>
      </c>
      <c r="B35" s="9" t="inlineStr">
        <is>
          <t>탐험 전문가</t>
        </is>
      </c>
      <c r="C35" s="9" t="inlineStr">
        <is>
          <t>전체 맵의 80% 탐험 완료</t>
        </is>
      </c>
      <c r="D35" s="9" t="inlineStr">
        <is>
          <t>이동속도 +5%, 함정 감지 확률 +20%</t>
        </is>
      </c>
      <c r="E35" s="9" t="inlineStr">
        <is>
          <t>희귀</t>
        </is>
      </c>
      <c r="F35" s="9" t="inlineStr">
        <is>
          <t>탐험</t>
        </is>
      </c>
    </row>
    <row r="36">
      <c r="A36" s="8" t="n">
        <v>33</v>
      </c>
      <c r="B36" s="8" t="inlineStr">
        <is>
          <t>비밀 발견자</t>
        </is>
      </c>
      <c r="C36" s="8" t="inlineStr">
        <is>
          <t>히든 지역 5곳 발견</t>
        </is>
      </c>
      <c r="D36" s="8" t="inlineStr">
        <is>
          <t>이동속도 +5%, 숨겨진 보물 발견 확률 +15%</t>
        </is>
      </c>
      <c r="E36" s="8" t="inlineStr">
        <is>
          <t>영웅</t>
        </is>
      </c>
      <c r="F36" s="8" t="inlineStr">
        <is>
          <t>탐험</t>
        </is>
      </c>
    </row>
    <row r="37">
      <c r="A37" s="9" t="n">
        <v>34</v>
      </c>
      <c r="B37" s="9" t="inlineStr">
        <is>
          <t>세계의 끝</t>
        </is>
      </c>
      <c r="C37" s="9" t="inlineStr">
        <is>
          <t>전체 맵 100% 탐험 완료</t>
        </is>
      </c>
      <c r="D37" s="9" t="inlineStr">
        <is>
          <t>이동속도 +8%, 모든 지역 워프 해금</t>
        </is>
      </c>
      <c r="E37" s="9" t="inlineStr">
        <is>
          <t>전설</t>
        </is>
      </c>
      <c r="F37" s="9" t="inlineStr">
        <is>
          <t>탐험</t>
        </is>
      </c>
    </row>
    <row r="38">
      <c r="A38" s="8" t="n">
        <v>35</v>
      </c>
      <c r="B38" s="8" t="inlineStr">
        <is>
          <t>차원 여행자</t>
        </is>
      </c>
      <c r="C38" s="8" t="inlineStr">
        <is>
          <t>시크릿 던전 10곳 클리어</t>
        </is>
      </c>
      <c r="D38" s="8" t="inlineStr">
        <is>
          <t>이동속도 +10%, 차원문 발견 확률 +25%</t>
        </is>
      </c>
      <c r="E38" s="8" t="inlineStr">
        <is>
          <t>신화</t>
        </is>
      </c>
      <c r="F38" s="8" t="inlineStr">
        <is>
          <t>탐험</t>
        </is>
      </c>
    </row>
    <row r="39">
      <c r="A39" s="9" t="n">
        <v>36</v>
      </c>
      <c r="B39" s="9" t="inlineStr">
        <is>
          <t>멘토</t>
        </is>
      </c>
      <c r="C39" s="9" t="inlineStr">
        <is>
          <t>다른 플레이어 5명 멘토링 완료</t>
        </is>
      </c>
      <c r="D39" s="9" t="inlineStr">
        <is>
          <t>경험치 획득량 +3%</t>
        </is>
      </c>
      <c r="E39" s="9" t="inlineStr">
        <is>
          <t>일반</t>
        </is>
      </c>
      <c r="F39" s="9" t="inlineStr">
        <is>
          <t>소셜</t>
        </is>
      </c>
    </row>
    <row r="40">
      <c r="A40" s="8" t="n">
        <v>37</v>
      </c>
      <c r="B40" s="8" t="inlineStr">
        <is>
          <t>인기인</t>
        </is>
      </c>
      <c r="C40" s="8" t="inlineStr">
        <is>
          <t>친구 100명 달성</t>
        </is>
      </c>
      <c r="D40" s="8" t="inlineStr">
        <is>
          <t>경험치 획득량 +5%, 선물 보너스 +10%</t>
        </is>
      </c>
      <c r="E40" s="8" t="inlineStr">
        <is>
          <t>희귀</t>
        </is>
      </c>
      <c r="F40" s="8" t="inlineStr">
        <is>
          <t>소셜</t>
        </is>
      </c>
    </row>
    <row r="41">
      <c r="A41" s="9" t="n">
        <v>38</v>
      </c>
      <c r="B41" s="9" t="inlineStr">
        <is>
          <t>혈맹장</t>
        </is>
      </c>
      <c r="C41" s="9" t="inlineStr">
        <is>
          <t>혈맹 리더로서 혈맹원 30명 이상 유지 1개월</t>
        </is>
      </c>
      <c r="D41" s="9" t="inlineStr">
        <is>
          <t>혈맹 버프 효과 +10%</t>
        </is>
      </c>
      <c r="E41" s="9" t="inlineStr">
        <is>
          <t>영웅</t>
        </is>
      </c>
      <c r="F41" s="9" t="inlineStr">
        <is>
          <t>소셜</t>
        </is>
      </c>
    </row>
    <row r="42">
      <c r="A42" s="8" t="n">
        <v>39</v>
      </c>
      <c r="B42" s="8" t="inlineStr">
        <is>
          <t>외교관</t>
        </is>
      </c>
      <c r="C42" s="8" t="inlineStr">
        <is>
          <t>3개 이상 혈맹과 동맹 체결</t>
        </is>
      </c>
      <c r="D42" s="8" t="inlineStr">
        <is>
          <t>외교 보너스 +5%, 서버 간 대전 보상 +10%</t>
        </is>
      </c>
      <c r="E42" s="8" t="inlineStr">
        <is>
          <t>전설</t>
        </is>
      </c>
      <c r="F42" s="8" t="inlineStr">
        <is>
          <t>소셜</t>
        </is>
      </c>
    </row>
    <row r="43">
      <c r="A43" s="9" t="n">
        <v>40</v>
      </c>
      <c r="B43" s="9" t="inlineStr">
        <is>
          <t>서버의 별</t>
        </is>
      </c>
      <c r="C43" s="9" t="inlineStr">
        <is>
          <t>서버 인기 투표 1위 달성</t>
        </is>
      </c>
      <c r="D43" s="9" t="inlineStr">
        <is>
          <t>전 스탯 +2%, 전용 채팅 이펙트</t>
        </is>
      </c>
      <c r="E43" s="9" t="inlineStr">
        <is>
          <t>신화</t>
        </is>
      </c>
      <c r="F43" s="9" t="inlineStr">
        <is>
          <t>소셜</t>
        </is>
      </c>
    </row>
    <row r="44">
      <c r="A44" s="8" t="n">
        <v>41</v>
      </c>
      <c r="B44" s="8" t="inlineStr">
        <is>
          <t>???</t>
        </is>
      </c>
      <c r="C44" s="8" t="inlineStr">
        <is>
          <t>특정 NPC에게 999번 대화 시도</t>
        </is>
      </c>
      <c r="D44" s="8" t="inlineStr">
        <is>
          <t>행운 +5%</t>
        </is>
      </c>
      <c r="E44" s="8" t="inlineStr">
        <is>
          <t>히든</t>
        </is>
      </c>
      <c r="F44" s="8" t="inlineStr">
        <is>
          <t>히든</t>
        </is>
      </c>
    </row>
    <row r="45">
      <c r="A45" s="9" t="n">
        <v>42</v>
      </c>
      <c r="B45" s="9" t="inlineStr">
        <is>
          <t>???</t>
        </is>
      </c>
      <c r="C45" s="9" t="inlineStr">
        <is>
          <t>새벽 3시에 접속한 상태로 보름달 아래 춤추기</t>
        </is>
      </c>
      <c r="D45" s="9" t="inlineStr">
        <is>
          <t>야간 스탯 +10%</t>
        </is>
      </c>
      <c r="E45" s="9" t="inlineStr">
        <is>
          <t>히든</t>
        </is>
      </c>
      <c r="F45" s="9" t="inlineStr">
        <is>
          <t>히든</t>
        </is>
      </c>
    </row>
    <row r="46">
      <c r="A46" s="8" t="n">
        <v>43</v>
      </c>
      <c r="B46" s="8" t="inlineStr">
        <is>
          <t>???</t>
        </is>
      </c>
      <c r="C46" s="8" t="inlineStr">
        <is>
          <t>사망 횟수 100회 달성 (의외의 근성)</t>
        </is>
      </c>
      <c r="D46" s="8" t="inlineStr">
        <is>
          <t>부활 시 무적 시간 +2초</t>
        </is>
      </c>
      <c r="E46" s="8" t="inlineStr">
        <is>
          <t>히든</t>
        </is>
      </c>
      <c r="F46" s="8" t="inlineStr">
        <is>
          <t>히든</t>
        </is>
      </c>
    </row>
    <row r="47">
      <c r="A47" s="9" t="n">
        <v>44</v>
      </c>
      <c r="B47" s="9" t="inlineStr">
        <is>
          <t>???</t>
        </is>
      </c>
      <c r="C47" s="9" t="inlineStr">
        <is>
          <t>0골드 상태에서 무역왕 달성</t>
        </is>
      </c>
      <c r="D47" s="9" t="inlineStr">
        <is>
          <t>골드 획득량 +15%</t>
        </is>
      </c>
      <c r="E47" s="9" t="inlineStr">
        <is>
          <t>히든</t>
        </is>
      </c>
      <c r="F47" s="9" t="inlineStr">
        <is>
          <t>히든</t>
        </is>
      </c>
    </row>
    <row r="48">
      <c r="A48" s="8" t="n">
        <v>45</v>
      </c>
      <c r="B48" s="8" t="inlineStr">
        <is>
          <t>???</t>
        </is>
      </c>
      <c r="C48" s="8" t="inlineStr">
        <is>
          <t>전 서버 최초 전설 용병 소환</t>
        </is>
      </c>
      <c r="D48" s="8" t="inlineStr">
        <is>
          <t>전설 용병 스탯 +10%</t>
        </is>
      </c>
      <c r="E48" s="8" t="inlineStr">
        <is>
          <t>히든</t>
        </is>
      </c>
      <c r="F48" s="8" t="inlineStr">
        <is>
          <t>히든</t>
        </is>
      </c>
    </row>
    <row r="49">
      <c r="A49" s="9" t="n">
        <v>46</v>
      </c>
      <c r="B49" s="9" t="inlineStr">
        <is>
          <t>???</t>
        </is>
      </c>
      <c r="C49" s="9" t="inlineStr">
        <is>
          <t>1분 이내 10킬 달성</t>
        </is>
      </c>
      <c r="D49" s="9" t="inlineStr">
        <is>
          <t>공격속도 +8%</t>
        </is>
      </c>
      <c r="E49" s="9" t="inlineStr">
        <is>
          <t>히든</t>
        </is>
      </c>
      <c r="F49" s="9" t="inlineStr">
        <is>
          <t>히든</t>
        </is>
      </c>
    </row>
    <row r="50">
      <c r="A50" s="8" t="n">
        <v>47</v>
      </c>
      <c r="B50" s="8" t="inlineStr">
        <is>
          <t>???</t>
        </is>
      </c>
      <c r="C50" s="8" t="inlineStr">
        <is>
          <t>모든 종류의 탈것 보유</t>
        </is>
      </c>
      <c r="D50" s="8" t="inlineStr">
        <is>
          <t>탈것 속도 +15%</t>
        </is>
      </c>
      <c r="E50" s="8" t="inlineStr">
        <is>
          <t>히든</t>
        </is>
      </c>
      <c r="F50" s="8" t="inlineStr">
        <is>
          <t>히든</t>
        </is>
      </c>
    </row>
    <row r="51">
      <c r="A51" s="9" t="n">
        <v>48</v>
      </c>
      <c r="B51" s="9" t="inlineStr">
        <is>
          <t>???</t>
        </is>
      </c>
      <c r="C51" s="9" t="inlineStr">
        <is>
          <t>공성전에서 혼자 성 함락</t>
        </is>
      </c>
      <c r="D51" s="9" t="inlineStr">
        <is>
          <t>공성 대미지 +20%</t>
        </is>
      </c>
      <c r="E51" s="9" t="inlineStr">
        <is>
          <t>히든</t>
        </is>
      </c>
      <c r="F51" s="9" t="inlineStr">
        <is>
          <t>히든</t>
        </is>
      </c>
    </row>
    <row r="52">
      <c r="A52" s="8" t="n">
        <v>49</v>
      </c>
      <c r="B52" s="8" t="inlineStr">
        <is>
          <t>???</t>
        </is>
      </c>
      <c r="C52" s="8" t="inlineStr">
        <is>
          <t>5단계 유대 몬스터 3마리 동시 보유</t>
        </is>
      </c>
      <c r="D52" s="8" t="inlineStr">
        <is>
          <t>몬스터 전 스탯 +10%</t>
        </is>
      </c>
      <c r="E52" s="8" t="inlineStr">
        <is>
          <t>히든</t>
        </is>
      </c>
      <c r="F52" s="8" t="inlineStr">
        <is>
          <t>히든</t>
        </is>
      </c>
    </row>
    <row r="53">
      <c r="A53" s="9" t="n">
        <v>50</v>
      </c>
      <c r="B53" s="9" t="inlineStr">
        <is>
          <t>???</t>
        </is>
      </c>
      <c r="C53" s="9" t="inlineStr">
        <is>
          <t>모든 카테고리 칭호 최소 1개씩 보유</t>
        </is>
      </c>
      <c r="D53" s="9" t="inlineStr">
        <is>
          <t>전 스탯 +3%, 칭호 수집가 프레임</t>
        </is>
      </c>
      <c r="E53" s="9" t="inlineStr">
        <is>
          <t>히든</t>
        </is>
      </c>
      <c r="F53" s="9" t="inlineStr">
        <is>
          <t>히든</t>
        </is>
      </c>
    </row>
  </sheetData>
  <mergeCells count="1">
    <mergeCell ref="A1:F1"/>
  </mergeCell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8" customWidth="1" min="1" max="1"/>
    <col width="20" customWidth="1" min="2" max="2"/>
    <col width="25" customWidth="1" min="3" max="3"/>
    <col width="35" customWidth="1" min="4" max="4"/>
    <col width="12" customWidth="1" min="5" max="5"/>
    <col width="10" customWidth="1" min="6" max="6"/>
  </cols>
  <sheetData>
    <row r="1">
      <c r="A1" s="6" t="inlineStr">
        <is>
          <t>일일 퀘스트 &amp; 미션 보드 30종</t>
        </is>
      </c>
    </row>
    <row r="3">
      <c r="A3" s="7" t="inlineStr">
        <is>
          <t>카테고리</t>
        </is>
      </c>
      <c r="B3" s="7" t="inlineStr">
        <is>
          <t>퀘스트명</t>
        </is>
      </c>
      <c r="C3" s="7" t="inlineStr">
        <is>
          <t>조건</t>
        </is>
      </c>
      <c r="D3" s="7" t="inlineStr">
        <is>
          <t>보상</t>
        </is>
      </c>
      <c r="E3" s="7" t="inlineStr">
        <is>
          <t>리셋</t>
        </is>
      </c>
      <c r="F3" s="7" t="inlineStr">
        <is>
          <t>난이도</t>
        </is>
      </c>
    </row>
    <row r="4">
      <c r="A4" s="8" t="inlineStr">
        <is>
          <t>일일</t>
        </is>
      </c>
      <c r="B4" s="8" t="inlineStr">
        <is>
          <t>IO 실전 참여</t>
        </is>
      </c>
      <c r="C4" s="8" t="inlineStr">
        <is>
          <t>IO 모드 3판 완료</t>
        </is>
      </c>
      <c r="D4" s="8" t="inlineStr">
        <is>
          <t>골드 500 + 경험치 300</t>
        </is>
      </c>
      <c r="E4" s="8" t="inlineStr">
        <is>
          <t>매일</t>
        </is>
      </c>
      <c r="F4" s="8" t="inlineStr">
        <is>
          <t>★</t>
        </is>
      </c>
    </row>
    <row r="5">
      <c r="A5" s="9" t="inlineStr">
        <is>
          <t>일일</t>
        </is>
      </c>
      <c r="B5" s="9" t="inlineStr">
        <is>
          <t>무역상 거래</t>
        </is>
      </c>
      <c r="C5" s="9" t="inlineStr">
        <is>
          <t>무역 1회 완료</t>
        </is>
      </c>
      <c r="D5" s="9" t="inlineStr">
        <is>
          <t>골드 300 + 무역 경험치 100</t>
        </is>
      </c>
      <c r="E5" s="9" t="inlineStr">
        <is>
          <t>매일</t>
        </is>
      </c>
      <c r="F5" s="9" t="inlineStr">
        <is>
          <t>★</t>
        </is>
      </c>
    </row>
    <row r="6">
      <c r="A6" s="8" t="inlineStr">
        <is>
          <t>일일</t>
        </is>
      </c>
      <c r="B6" s="8" t="inlineStr">
        <is>
          <t>용병 훈련소</t>
        </is>
      </c>
      <c r="C6" s="8" t="inlineStr">
        <is>
          <t>용병 훈련 3회 완료</t>
        </is>
      </c>
      <c r="D6" s="8" t="inlineStr">
        <is>
          <t>경험치 500 + 훈련 쿠폰 1</t>
        </is>
      </c>
      <c r="E6" s="8" t="inlineStr">
        <is>
          <t>매일</t>
        </is>
      </c>
      <c r="F6" s="8" t="inlineStr">
        <is>
          <t>★</t>
        </is>
      </c>
    </row>
    <row r="7">
      <c r="A7" s="9" t="inlineStr">
        <is>
          <t>일일</t>
        </is>
      </c>
      <c r="B7" s="9" t="inlineStr">
        <is>
          <t>몬스터 포획</t>
        </is>
      </c>
      <c r="C7" s="9" t="inlineStr">
        <is>
          <t>필드 몬스터 포획 1회</t>
        </is>
      </c>
      <c r="D7" s="9" t="inlineStr">
        <is>
          <t>포획 공 3개 + 골드 200</t>
        </is>
      </c>
      <c r="E7" s="9" t="inlineStr">
        <is>
          <t>매일</t>
        </is>
      </c>
      <c r="F7" s="9" t="inlineStr">
        <is>
          <t>★★</t>
        </is>
      </c>
    </row>
    <row r="8">
      <c r="A8" s="8" t="inlineStr">
        <is>
          <t>일일</t>
        </is>
      </c>
      <c r="B8" s="8" t="inlineStr">
        <is>
          <t>공성전 참여</t>
        </is>
      </c>
      <c r="C8" s="8" t="inlineStr">
        <is>
          <t>공성전 1회 참여</t>
        </is>
      </c>
      <c r="D8" s="8" t="inlineStr">
        <is>
          <t>다이아 30 + 전쟁 메달 5</t>
        </is>
      </c>
      <c r="E8" s="8" t="inlineStr">
        <is>
          <t>매일</t>
        </is>
      </c>
      <c r="F8" s="8" t="inlineStr">
        <is>
          <t>★★</t>
        </is>
      </c>
    </row>
    <row r="9">
      <c r="A9" s="9" t="inlineStr">
        <is>
          <t>일일</t>
        </is>
      </c>
      <c r="B9" s="9" t="inlineStr">
        <is>
          <t>가챠 도전</t>
        </is>
      </c>
      <c r="C9" s="9" t="inlineStr">
        <is>
          <t>가챠 1회 실행</t>
        </is>
      </c>
      <c r="D9" s="9" t="inlineStr">
        <is>
          <t>골드 200 + 가챠 조각 10</t>
        </is>
      </c>
      <c r="E9" s="9" t="inlineStr">
        <is>
          <t>매일</t>
        </is>
      </c>
      <c r="F9" s="9" t="inlineStr">
        <is>
          <t>★</t>
        </is>
      </c>
    </row>
    <row r="10">
      <c r="A10" s="8" t="inlineStr">
        <is>
          <t>일일</t>
        </is>
      </c>
      <c r="B10" s="8" t="inlineStr">
        <is>
          <t>낚시 일과</t>
        </is>
      </c>
      <c r="C10" s="8" t="inlineStr">
        <is>
          <t>낚시 3회 완료</t>
        </is>
      </c>
      <c r="D10" s="8" t="inlineStr">
        <is>
          <t>골드 300 + 희귀 미끼 1</t>
        </is>
      </c>
      <c r="E10" s="8" t="inlineStr">
        <is>
          <t>매일</t>
        </is>
      </c>
      <c r="F10" s="8" t="inlineStr">
        <is>
          <t>★</t>
        </is>
      </c>
    </row>
    <row r="11">
      <c r="A11" s="9" t="inlineStr">
        <is>
          <t>일일</t>
        </is>
      </c>
      <c r="B11" s="9" t="inlineStr">
        <is>
          <t>요리 제작</t>
        </is>
      </c>
      <c r="C11" s="9" t="inlineStr">
        <is>
          <t>요리 1회 완료</t>
        </is>
      </c>
      <c r="D11" s="9" t="inlineStr">
        <is>
          <t>요리 재료 상자 1 + 골드 200</t>
        </is>
      </c>
      <c r="E11" s="9" t="inlineStr">
        <is>
          <t>매일</t>
        </is>
      </c>
      <c r="F11" s="9" t="inlineStr">
        <is>
          <t>★</t>
        </is>
      </c>
    </row>
    <row r="12">
      <c r="A12" s="8" t="inlineStr">
        <is>
          <t>일일</t>
        </is>
      </c>
      <c r="B12" s="8" t="inlineStr">
        <is>
          <t>원정 파견</t>
        </is>
      </c>
      <c r="C12" s="8" t="inlineStr">
        <is>
          <t>원정대 1회 파견</t>
        </is>
      </c>
      <c r="D12" s="8" t="inlineStr">
        <is>
          <t>원정 코인 50 + 경험치 200</t>
        </is>
      </c>
      <c r="E12" s="8" t="inlineStr">
        <is>
          <t>매일</t>
        </is>
      </c>
      <c r="F12" s="8" t="inlineStr">
        <is>
          <t>★</t>
        </is>
      </c>
    </row>
    <row r="13">
      <c r="A13" s="9" t="inlineStr">
        <is>
          <t>일일</t>
        </is>
      </c>
      <c r="B13" s="9" t="inlineStr">
        <is>
          <t>PvP 아레나 도전</t>
        </is>
      </c>
      <c r="C13" s="9" t="inlineStr">
        <is>
          <t>PvP 아레나 3회 참여</t>
        </is>
      </c>
      <c r="D13" s="9" t="inlineStr">
        <is>
          <t>아레나 포인트 100 + 골드 400</t>
        </is>
      </c>
      <c r="E13" s="9" t="inlineStr">
        <is>
          <t>매일</t>
        </is>
      </c>
      <c r="F13" s="9" t="inlineStr">
        <is>
          <t>★★</t>
        </is>
      </c>
    </row>
    <row r="14">
      <c r="A14" s="8" t="inlineStr">
        <is>
          <t>일일</t>
        </is>
      </c>
      <c r="B14" s="8" t="inlineStr">
        <is>
          <t>혈맹 기부</t>
        </is>
      </c>
      <c r="C14" s="8" t="inlineStr">
        <is>
          <t>혈맹 기부 1회</t>
        </is>
      </c>
      <c r="D14" s="8" t="inlineStr">
        <is>
          <t>혈맹 코인 30 + 명예 50</t>
        </is>
      </c>
      <c r="E14" s="8" t="inlineStr">
        <is>
          <t>매일</t>
        </is>
      </c>
      <c r="F14" s="8" t="inlineStr">
        <is>
          <t>★</t>
        </is>
      </c>
    </row>
    <row r="15">
      <c r="A15" s="9" t="inlineStr">
        <is>
          <t>일일</t>
        </is>
      </c>
      <c r="B15" s="9" t="inlineStr">
        <is>
          <t>몬스터 사냥꾼</t>
        </is>
      </c>
      <c r="C15" s="9" t="inlineStr">
        <is>
          <t>몬스터 100마리 처치</t>
        </is>
      </c>
      <c r="D15" s="9" t="inlineStr">
        <is>
          <t>경험치 800 + 드롭 부스터 (30분)</t>
        </is>
      </c>
      <c r="E15" s="9" t="inlineStr">
        <is>
          <t>매일</t>
        </is>
      </c>
      <c r="F15" s="9" t="inlineStr">
        <is>
          <t>★★</t>
        </is>
      </c>
    </row>
    <row r="16">
      <c r="A16" s="8" t="inlineStr">
        <is>
          <t>주간</t>
        </is>
      </c>
      <c r="B16" s="8" t="inlineStr">
        <is>
          <t>IO 마스터</t>
        </is>
      </c>
      <c r="C16" s="8" t="inlineStr">
        <is>
          <t>IO 모드 15판 완료</t>
        </is>
      </c>
      <c r="D16" s="8" t="inlineStr">
        <is>
          <t>다이아 100 + 전설 장비 상자 1</t>
        </is>
      </c>
      <c r="E16" s="8" t="inlineStr">
        <is>
          <t>매주 월요일</t>
        </is>
      </c>
      <c r="F16" s="8" t="inlineStr">
        <is>
          <t>★★</t>
        </is>
      </c>
    </row>
    <row r="17">
      <c r="A17" s="9" t="inlineStr">
        <is>
          <t>주간</t>
        </is>
      </c>
      <c r="B17" s="9" t="inlineStr">
        <is>
          <t>무역왕</t>
        </is>
      </c>
      <c r="C17" s="9" t="inlineStr">
        <is>
          <t>무역 10회 완료</t>
        </is>
      </c>
      <c r="D17" s="9" t="inlineStr">
        <is>
          <t>골드 5000 + 무역 등급 경험치 500</t>
        </is>
      </c>
      <c r="E17" s="9" t="inlineStr">
        <is>
          <t>매주 월요일</t>
        </is>
      </c>
      <c r="F17" s="9" t="inlineStr">
        <is>
          <t>★★</t>
        </is>
      </c>
    </row>
    <row r="18">
      <c r="A18" s="8" t="inlineStr">
        <is>
          <t>주간</t>
        </is>
      </c>
      <c r="B18" s="8" t="inlineStr">
        <is>
          <t>공성전 베테랑</t>
        </is>
      </c>
      <c r="C18" s="8" t="inlineStr">
        <is>
          <t>공성전 5회 참여</t>
        </is>
      </c>
      <c r="D18" s="8" t="inlineStr">
        <is>
          <t>다이아 150 + 전쟁의 깃발 3</t>
        </is>
      </c>
      <c r="E18" s="8" t="inlineStr">
        <is>
          <t>매주 월요일</t>
        </is>
      </c>
      <c r="F18" s="8" t="inlineStr">
        <is>
          <t>★★★</t>
        </is>
      </c>
    </row>
    <row r="19">
      <c r="A19" s="9" t="inlineStr">
        <is>
          <t>주간</t>
        </is>
      </c>
      <c r="B19" s="9" t="inlineStr">
        <is>
          <t>용병 각성</t>
        </is>
      </c>
      <c r="C19" s="9" t="inlineStr">
        <is>
          <t>용병 각성 1회 완료</t>
        </is>
      </c>
      <c r="D19" s="9" t="inlineStr">
        <is>
          <t>각성석 조각 20 + 골드 3000</t>
        </is>
      </c>
      <c r="E19" s="9" t="inlineStr">
        <is>
          <t>매주 월요일</t>
        </is>
      </c>
      <c r="F19" s="9" t="inlineStr">
        <is>
          <t>★★★</t>
        </is>
      </c>
    </row>
    <row r="20">
      <c r="A20" s="8" t="inlineStr">
        <is>
          <t>주간</t>
        </is>
      </c>
      <c r="B20" s="8" t="inlineStr">
        <is>
          <t>진화의 길</t>
        </is>
      </c>
      <c r="C20" s="8" t="inlineStr">
        <is>
          <t>몬스터 또는 용병 진화 1회</t>
        </is>
      </c>
      <c r="D20" s="8" t="inlineStr">
        <is>
          <t>진화 재료 상자 1 + 다이아 50</t>
        </is>
      </c>
      <c r="E20" s="8" t="inlineStr">
        <is>
          <t>매주 월요일</t>
        </is>
      </c>
      <c r="F20" s="8" t="inlineStr">
        <is>
          <t>★★★</t>
        </is>
      </c>
    </row>
    <row r="21">
      <c r="A21" s="9" t="inlineStr">
        <is>
          <t>주간</t>
        </is>
      </c>
      <c r="B21" s="9" t="inlineStr">
        <is>
          <t>아레나 골드 달성</t>
        </is>
      </c>
      <c r="C21" s="9" t="inlineStr">
        <is>
          <t>PvP 아레나 골드 등급 도달</t>
        </is>
      </c>
      <c r="D21" s="9" t="inlineStr">
        <is>
          <t>아레나 포인트 500 + 골드 5000</t>
        </is>
      </c>
      <c r="E21" s="9" t="inlineStr">
        <is>
          <t>매주 월요일</t>
        </is>
      </c>
      <c r="F21" s="9" t="inlineStr">
        <is>
          <t>★★★</t>
        </is>
      </c>
    </row>
    <row r="22">
      <c r="A22" s="8" t="inlineStr">
        <is>
          <t>주간</t>
        </is>
      </c>
      <c r="B22" s="8" t="inlineStr">
        <is>
          <t>원정 전문가</t>
        </is>
      </c>
      <c r="C22" s="8" t="inlineStr">
        <is>
          <t>원정 5회 완료</t>
        </is>
      </c>
      <c r="D22" s="8" t="inlineStr">
        <is>
          <t>원정 코인 300 + 희귀 재료 상자 1</t>
        </is>
      </c>
      <c r="E22" s="8" t="inlineStr">
        <is>
          <t>매주 월요일</t>
        </is>
      </c>
      <c r="F22" s="8" t="inlineStr">
        <is>
          <t>★★</t>
        </is>
      </c>
    </row>
    <row r="23">
      <c r="A23" s="9" t="inlineStr">
        <is>
          <t>주간</t>
        </is>
      </c>
      <c r="B23" s="9" t="inlineStr">
        <is>
          <t>혈맹 레이드 참여</t>
        </is>
      </c>
      <c r="C23" s="9" t="inlineStr">
        <is>
          <t>혈맹 레이드 1회 참여</t>
        </is>
      </c>
      <c r="D23" s="9" t="inlineStr">
        <is>
          <t>혈맹 코인 200 + 다이아 80</t>
        </is>
      </c>
      <c r="E23" s="9" t="inlineStr">
        <is>
          <t>매주 월요일</t>
        </is>
      </c>
      <c r="F23" s="9" t="inlineStr">
        <is>
          <t>★★★</t>
        </is>
      </c>
    </row>
    <row r="24">
      <c r="A24" s="8" t="inlineStr">
        <is>
          <t>주간</t>
        </is>
      </c>
      <c r="B24" s="8" t="inlineStr">
        <is>
          <t>칭호 수집가</t>
        </is>
      </c>
      <c r="C24" s="8" t="inlineStr">
        <is>
          <t>칭호 1개 신규 획득</t>
        </is>
      </c>
      <c r="D24" s="8" t="inlineStr">
        <is>
          <t>다이아 50 + 칭호 경험치 300</t>
        </is>
      </c>
      <c r="E24" s="8" t="inlineStr">
        <is>
          <t>매주 월요일</t>
        </is>
      </c>
      <c r="F24" s="8" t="inlineStr">
        <is>
          <t>★★</t>
        </is>
      </c>
    </row>
    <row r="25">
      <c r="A25" s="9" t="inlineStr">
        <is>
          <t>주간</t>
        </is>
      </c>
      <c r="B25" s="9" t="inlineStr">
        <is>
          <t>도감 연구원</t>
        </is>
      </c>
      <c r="C25" s="9" t="inlineStr">
        <is>
          <t>도감 5종 신규 등록</t>
        </is>
      </c>
      <c r="D25" s="9" t="inlineStr">
        <is>
          <t>도감 보상 상자 1 + 골드 2000</t>
        </is>
      </c>
      <c r="E25" s="9" t="inlineStr">
        <is>
          <t>매주 월요일</t>
        </is>
      </c>
      <c r="F25" s="9" t="inlineStr">
        <is>
          <t>★★</t>
        </is>
      </c>
    </row>
    <row r="26">
      <c r="A26" s="8" t="inlineStr">
        <is>
          <t>특별</t>
        </is>
      </c>
      <c r="B26" s="8" t="inlineStr">
        <is>
          <t>보스 솔로킬</t>
        </is>
      </c>
      <c r="C26" s="8" t="inlineStr">
        <is>
          <t>월드 보스 혼자 처치</t>
        </is>
      </c>
      <c r="D26" s="8" t="inlineStr">
        <is>
          <t>전설 장비 선택 상자 1 + 다이아 500</t>
        </is>
      </c>
      <c r="E26" s="8" t="inlineStr">
        <is>
          <t>미리셋</t>
        </is>
      </c>
      <c r="F26" s="8" t="inlineStr">
        <is>
          <t>★★★★★</t>
        </is>
      </c>
    </row>
    <row r="27">
      <c r="A27" s="9" t="inlineStr">
        <is>
          <t>특별</t>
        </is>
      </c>
      <c r="B27" s="9" t="inlineStr">
        <is>
          <t>비밀 지역 탐험가</t>
        </is>
      </c>
      <c r="C27" s="9" t="inlineStr">
        <is>
          <t>숨겨진 비밀 지역 발견</t>
        </is>
      </c>
      <c r="D27" s="9" t="inlineStr">
        <is>
          <t>희귀 탈것 + 다이아 300</t>
        </is>
      </c>
      <c r="E27" s="9" t="inlineStr">
        <is>
          <t>미리셋</t>
        </is>
      </c>
      <c r="F27" s="9" t="inlineStr">
        <is>
          <t>★★★★</t>
        </is>
      </c>
    </row>
    <row r="28">
      <c r="A28" s="8" t="inlineStr">
        <is>
          <t>특별</t>
        </is>
      </c>
      <c r="B28" s="8" t="inlineStr">
        <is>
          <t>PK 사냥꾼</t>
        </is>
      </c>
      <c r="C28" s="8" t="inlineStr">
        <is>
          <t>다른 플레이어 10킬</t>
        </is>
      </c>
      <c r="D28" s="8" t="inlineStr">
        <is>
          <t>PK 칭호 + 암살자 의상 + 골드 5000</t>
        </is>
      </c>
      <c r="E28" s="8" t="inlineStr">
        <is>
          <t>미리셋</t>
        </is>
      </c>
      <c r="F28" s="8" t="inlineStr">
        <is>
          <t>★★★★</t>
        </is>
      </c>
    </row>
    <row r="29">
      <c r="A29" s="9" t="inlineStr">
        <is>
          <t>특별</t>
        </is>
      </c>
      <c r="B29" s="9" t="inlineStr">
        <is>
          <t>무역 재벌</t>
        </is>
      </c>
      <c r="C29" s="9" t="inlineStr">
        <is>
          <t>무역 누적 수익 100만 골드</t>
        </is>
      </c>
      <c r="D29" s="9" t="inlineStr">
        <is>
          <t>전용 마차 스킨 + 다이아 200</t>
        </is>
      </c>
      <c r="E29" s="9" t="inlineStr">
        <is>
          <t>미리셋</t>
        </is>
      </c>
      <c r="F29" s="9" t="inlineStr">
        <is>
          <t>★★★★</t>
        </is>
      </c>
    </row>
    <row r="30">
      <c r="A30" s="8" t="inlineStr">
        <is>
          <t>특별</t>
        </is>
      </c>
      <c r="B30" s="8" t="inlineStr">
        <is>
          <t>10연차 행운</t>
        </is>
      </c>
      <c r="C30" s="8" t="inlineStr">
        <is>
          <t>10연차 가챠 1회 실행</t>
        </is>
      </c>
      <c r="D30" s="8" t="inlineStr">
        <is>
          <t>가챠 조각 100 + 보장 포인트 50</t>
        </is>
      </c>
      <c r="E30" s="8" t="inlineStr">
        <is>
          <t>미리셋</t>
        </is>
      </c>
      <c r="F30" s="8" t="inlineStr">
        <is>
          <t>★★★</t>
        </is>
      </c>
    </row>
    <row r="31">
      <c r="A31" s="9" t="inlineStr">
        <is>
          <t>특별</t>
        </is>
      </c>
      <c r="B31" s="9" t="inlineStr">
        <is>
          <t>포획 몬스터 진화</t>
        </is>
      </c>
      <c r="C31" s="9" t="inlineStr">
        <is>
          <t>포획 몬스터 진화 1회 성공</t>
        </is>
      </c>
      <c r="D31" s="9" t="inlineStr">
        <is>
          <t>진화석 3 + 다이아 100</t>
        </is>
      </c>
      <c r="E31" s="9" t="inlineStr">
        <is>
          <t>미리셋</t>
        </is>
      </c>
      <c r="F31" s="9" t="inlineStr">
        <is>
          <t>★★★★</t>
        </is>
      </c>
    </row>
    <row r="32">
      <c r="A32" s="8" t="inlineStr">
        <is>
          <t>특별</t>
        </is>
      </c>
      <c r="B32" s="8" t="inlineStr">
        <is>
          <t>혈맹 공성전 승리</t>
        </is>
      </c>
      <c r="C32" s="8" t="inlineStr">
        <is>
          <t>소속 혈맹 공성전 승리</t>
        </is>
      </c>
      <c r="D32" s="8" t="inlineStr">
        <is>
          <t>혈맹 코인 500 + 전쟁 트로피 + 다이아 200</t>
        </is>
      </c>
      <c r="E32" s="8" t="inlineStr">
        <is>
          <t>미리셋</t>
        </is>
      </c>
      <c r="F32" s="8" t="inlineStr">
        <is>
          <t>★★★★★</t>
        </is>
      </c>
    </row>
    <row r="33">
      <c r="A33" s="9" t="inlineStr">
        <is>
          <t>특별</t>
        </is>
      </c>
      <c r="B33" s="9" t="inlineStr">
        <is>
          <t>심연의 탑 돌파</t>
        </is>
      </c>
      <c r="C33" s="9" t="inlineStr">
        <is>
          <t>심연의 탑 10층 돌파</t>
        </is>
      </c>
      <c r="D33" s="9" t="inlineStr">
        <is>
          <t>전설 각성석 1 + 다이아 300 + 골드 10000</t>
        </is>
      </c>
      <c r="E33" s="9" t="inlineStr">
        <is>
          <t>미리셋</t>
        </is>
      </c>
      <c r="F33" s="9" t="inlineStr">
        <is>
          <t>★★★★★</t>
        </is>
      </c>
    </row>
  </sheetData>
  <mergeCells count="1">
    <mergeCell ref="A1:F1"/>
  </mergeCell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2" customWidth="1" min="1" max="1"/>
    <col width="6" customWidth="1" min="2" max="2"/>
    <col width="25" customWidth="1" min="3" max="3"/>
    <col width="22" customWidth="1" min="4" max="4"/>
    <col width="22" customWidth="1" min="5" max="5"/>
    <col width="22" customWidth="1" min="6" max="6"/>
    <col width="18" customWidth="1" min="7" max="7"/>
    <col width="10" customWidth="1" min="8" max="8"/>
  </cols>
  <sheetData>
    <row r="1">
      <c r="A1" s="6" t="inlineStr">
        <is>
          <t>용병 진화 재료 획득처 총정리 20종</t>
        </is>
      </c>
    </row>
    <row r="3">
      <c r="A3" s="7" t="inlineStr">
        <is>
          <t>재료명</t>
        </is>
      </c>
      <c r="B3" s="7" t="inlineStr">
        <is>
          <t>아이콘</t>
        </is>
      </c>
      <c r="C3" s="7" t="inlineStr">
        <is>
          <t>용도</t>
        </is>
      </c>
      <c r="D3" s="7" t="inlineStr">
        <is>
          <t>획득처 1</t>
        </is>
      </c>
      <c r="E3" s="7" t="inlineStr">
        <is>
          <t>획득처 2</t>
        </is>
      </c>
      <c r="F3" s="7" t="inlineStr">
        <is>
          <t>획득처 3</t>
        </is>
      </c>
      <c r="G3" s="7" t="inlineStr">
        <is>
          <t>획득 확률/주기</t>
        </is>
      </c>
      <c r="H3" s="7" t="inlineStr">
        <is>
          <t>예상 소요</t>
        </is>
      </c>
    </row>
    <row r="4">
      <c r="A4" s="8" t="inlineStr">
        <is>
          <t>철광석</t>
        </is>
      </c>
      <c r="B4" s="8" t="inlineStr">
        <is>
          <t>⛏️</t>
        </is>
      </c>
      <c r="C4" s="8" t="inlineStr">
        <is>
          <t>용병 장비 강화, 무기 제작</t>
        </is>
      </c>
      <c r="D4" s="8" t="inlineStr">
        <is>
          <t>IO 필드 드롭</t>
        </is>
      </c>
      <c r="E4" s="8" t="inlineStr">
        <is>
          <t>광산 채집</t>
        </is>
      </c>
      <c r="F4" s="8" t="inlineStr">
        <is>
          <t>무역 상점 구매</t>
        </is>
      </c>
      <c r="G4" s="8" t="inlineStr">
        <is>
          <t>필드 20% / 채집 100%</t>
        </is>
      </c>
      <c r="H4" s="8" t="inlineStr">
        <is>
          <t>1~2일</t>
        </is>
      </c>
    </row>
    <row r="5">
      <c r="A5" s="9" t="inlineStr">
        <is>
          <t>목재</t>
        </is>
      </c>
      <c r="B5" s="9" t="inlineStr">
        <is>
          <t>🪵</t>
        </is>
      </c>
      <c r="C5" s="9" t="inlineStr">
        <is>
          <t>방어구 제작, 건물 수리</t>
        </is>
      </c>
      <c r="D5" s="9" t="inlineStr">
        <is>
          <t>IO 필드 드롭</t>
        </is>
      </c>
      <c r="E5" s="9" t="inlineStr">
        <is>
          <t>벌목장 채집</t>
        </is>
      </c>
      <c r="F5" s="9" t="inlineStr">
        <is>
          <t>원정 보상</t>
        </is>
      </c>
      <c r="G5" s="9" t="inlineStr">
        <is>
          <t>필드 20% / 채집 100%</t>
        </is>
      </c>
      <c r="H5" s="9" t="inlineStr">
        <is>
          <t>1~2일</t>
        </is>
      </c>
    </row>
    <row r="6">
      <c r="A6" s="8" t="inlineStr">
        <is>
          <t>마나석</t>
        </is>
      </c>
      <c r="B6" s="8" t="inlineStr">
        <is>
          <t>💎</t>
        </is>
      </c>
      <c r="C6" s="8" t="inlineStr">
        <is>
          <t>마법 장비 강화, 스킬북 제작</t>
        </is>
      </c>
      <c r="D6" s="8" t="inlineStr">
        <is>
          <t>IO 필드 드롭 (엘리트)</t>
        </is>
      </c>
      <c r="E6" s="8" t="inlineStr">
        <is>
          <t>마나 광맥 채집</t>
        </is>
      </c>
      <c r="F6" s="8" t="inlineStr">
        <is>
          <t>공성전 보상</t>
        </is>
      </c>
      <c r="G6" s="8" t="inlineStr">
        <is>
          <t>필드 10% / 채집 50%</t>
        </is>
      </c>
      <c r="H6" s="8" t="inlineStr">
        <is>
          <t>2~3일</t>
        </is>
      </c>
    </row>
    <row r="7">
      <c r="A7" s="9" t="inlineStr">
        <is>
          <t>가죽</t>
        </is>
      </c>
      <c r="B7" s="9" t="inlineStr">
        <is>
          <t>🦊</t>
        </is>
      </c>
      <c r="C7" s="9" t="inlineStr">
        <is>
          <t>경장비 제작, 소환수 장비</t>
        </is>
      </c>
      <c r="D7" s="9" t="inlineStr">
        <is>
          <t>IO 필드 드롭 (야수형)</t>
        </is>
      </c>
      <c r="E7" s="9" t="inlineStr">
        <is>
          <t>목장 생산</t>
        </is>
      </c>
      <c r="F7" s="9" t="inlineStr">
        <is>
          <t>무역 교환</t>
        </is>
      </c>
      <c r="G7" s="9" t="inlineStr">
        <is>
          <t>필드 15% / 생산 1일 1회</t>
        </is>
      </c>
      <c r="H7" s="9" t="inlineStr">
        <is>
          <t>1~2일</t>
        </is>
      </c>
    </row>
    <row r="8">
      <c r="A8" s="8" t="inlineStr">
        <is>
          <t>약초</t>
        </is>
      </c>
      <c r="B8" s="8" t="inlineStr">
        <is>
          <t>🌿</t>
        </is>
      </c>
      <c r="C8" s="8" t="inlineStr">
        <is>
          <t>포션 제작, 요리 재료</t>
        </is>
      </c>
      <c r="D8" s="8" t="inlineStr">
        <is>
          <t>IO 필드 드롭</t>
        </is>
      </c>
      <c r="E8" s="8" t="inlineStr">
        <is>
          <t>약초밭 채집</t>
        </is>
      </c>
      <c r="F8" s="8" t="inlineStr">
        <is>
          <t>낚시 부산물</t>
        </is>
      </c>
      <c r="G8" s="8" t="inlineStr">
        <is>
          <t>필드 25% / 채집 100%</t>
        </is>
      </c>
      <c r="H8" s="8" t="inlineStr">
        <is>
          <t>1일</t>
        </is>
      </c>
    </row>
    <row r="9">
      <c r="A9" s="9" t="inlineStr">
        <is>
          <t>용알</t>
        </is>
      </c>
      <c r="B9" s="9" t="inlineStr">
        <is>
          <t>🥚</t>
        </is>
      </c>
      <c r="C9" s="9" t="inlineStr">
        <is>
          <t>드래곤 계열 용병 진화</t>
        </is>
      </c>
      <c r="D9" s="9" t="inlineStr">
        <is>
          <t>IO 보스 드롭</t>
        </is>
      </c>
      <c r="E9" s="9" t="inlineStr">
        <is>
          <t>원정 (용의 둥지)</t>
        </is>
      </c>
      <c r="F9" s="9" t="inlineStr">
        <is>
          <t>이벤트 보상</t>
        </is>
      </c>
      <c r="G9" s="9" t="inlineStr">
        <is>
          <t>보스 5% / 원정 주 1회</t>
        </is>
      </c>
      <c r="H9" s="9" t="inlineStr">
        <is>
          <t>1~2주</t>
        </is>
      </c>
    </row>
    <row r="10">
      <c r="A10" s="8" t="inlineStr">
        <is>
          <t>불사조 깃털</t>
        </is>
      </c>
      <c r="B10" s="8" t="inlineStr">
        <is>
          <t>🔥</t>
        </is>
      </c>
      <c r="C10" s="8" t="inlineStr">
        <is>
          <t>불사조 계열 진화, 부활 아이템</t>
        </is>
      </c>
      <c r="D10" s="8" t="inlineStr">
        <is>
          <t>IO 보스 드롭</t>
        </is>
      </c>
      <c r="E10" s="8" t="inlineStr">
        <is>
          <t>공성전 S급 보상</t>
        </is>
      </c>
      <c r="F10" s="8" t="inlineStr">
        <is>
          <t>가챠 부산물</t>
        </is>
      </c>
      <c r="G10" s="8" t="inlineStr">
        <is>
          <t>보스 3% / 공성 A등급</t>
        </is>
      </c>
      <c r="H10" s="8" t="inlineStr">
        <is>
          <t>2~3주</t>
        </is>
      </c>
    </row>
    <row r="11">
      <c r="A11" s="9" t="inlineStr">
        <is>
          <t>그림자 조각</t>
        </is>
      </c>
      <c r="B11" s="9" t="inlineStr">
        <is>
          <t>🌑</t>
        </is>
      </c>
      <c r="C11" s="9" t="inlineStr">
        <is>
          <t>암살자 계열 진화, 은신 장비</t>
        </is>
      </c>
      <c r="D11" s="9" t="inlineStr">
        <is>
          <t>IO 야간 필드 드롭</t>
        </is>
      </c>
      <c r="E11" s="9" t="inlineStr">
        <is>
          <t>심연의 탑 보상</t>
        </is>
      </c>
      <c r="F11" s="9" t="inlineStr">
        <is>
          <t>PvP 상점</t>
        </is>
      </c>
      <c r="G11" s="9" t="inlineStr">
        <is>
          <t>야간 8% / 탑 층당 1개</t>
        </is>
      </c>
      <c r="H11" s="9" t="inlineStr">
        <is>
          <t>1~2주</t>
        </is>
      </c>
    </row>
    <row r="12">
      <c r="A12" s="8" t="inlineStr">
        <is>
          <t>세계수 잎</t>
        </is>
      </c>
      <c r="B12" s="8" t="inlineStr">
        <is>
          <t>🍃</t>
        </is>
      </c>
      <c r="C12" s="8" t="inlineStr">
        <is>
          <t>치유사 계열 진화, 생명 장비</t>
        </is>
      </c>
      <c r="D12" s="8" t="inlineStr">
        <is>
          <t>IO 숲 지역 보스</t>
        </is>
      </c>
      <c r="E12" s="8" t="inlineStr">
        <is>
          <t>원정 (세계수)</t>
        </is>
      </c>
      <c r="F12" s="8" t="inlineStr">
        <is>
          <t>혈맹 상점</t>
        </is>
      </c>
      <c r="G12" s="8" t="inlineStr">
        <is>
          <t>보스 5% / 원정 주 1회</t>
        </is>
      </c>
      <c r="H12" s="8" t="inlineStr">
        <is>
          <t>1~2주</t>
        </is>
      </c>
    </row>
    <row r="13">
      <c r="A13" s="9" t="inlineStr">
        <is>
          <t>태초의 마나</t>
        </is>
      </c>
      <c r="B13" s="9" t="inlineStr">
        <is>
          <t>✨</t>
        </is>
      </c>
      <c r="C13" s="9" t="inlineStr">
        <is>
          <t>마법사 계열 진화, 궁극기 해금</t>
        </is>
      </c>
      <c r="D13" s="9" t="inlineStr">
        <is>
          <t>IO 엘리트 드롭</t>
        </is>
      </c>
      <c r="E13" s="9" t="inlineStr">
        <is>
          <t>심연의 탑 10층+</t>
        </is>
      </c>
      <c r="F13" s="9" t="inlineStr">
        <is>
          <t>제작 (마나석 x50)</t>
        </is>
      </c>
      <c r="G13" s="9" t="inlineStr">
        <is>
          <t>엘리트 2% / 제작 확정</t>
        </is>
      </c>
      <c r="H13" s="9" t="inlineStr">
        <is>
          <t>2~4주</t>
        </is>
      </c>
    </row>
    <row r="14">
      <c r="A14" s="8" t="inlineStr">
        <is>
          <t>용의 심장</t>
        </is>
      </c>
      <c r="B14" s="8" t="inlineStr">
        <is>
          <t>❤️‍🔥</t>
        </is>
      </c>
      <c r="C14" s="8" t="inlineStr">
        <is>
          <t>신화 등급 드래곤 진화</t>
        </is>
      </c>
      <c r="D14" s="8" t="inlineStr">
        <is>
          <t>월드 보스 드롭</t>
        </is>
      </c>
      <c r="E14" s="8" t="inlineStr">
        <is>
          <t>제작 (용알 x10 + 태초의 마나 x5)</t>
        </is>
      </c>
      <c r="F14" s="8" t="inlineStr">
        <is>
          <t>시즌 보상</t>
        </is>
      </c>
      <c r="G14" s="8" t="inlineStr">
        <is>
          <t>보스 1% / 제작 확정</t>
        </is>
      </c>
      <c r="H14" s="8" t="inlineStr">
        <is>
          <t>1~2개월</t>
        </is>
      </c>
    </row>
    <row r="15">
      <c r="A15" s="9" t="inlineStr">
        <is>
          <t>신의 깃털</t>
        </is>
      </c>
      <c r="B15" s="9" t="inlineStr">
        <is>
          <t>🪶</t>
        </is>
      </c>
      <c r="C15" s="9" t="inlineStr">
        <is>
          <t>신화 등급 천사/신수 진화</t>
        </is>
      </c>
      <c r="D15" s="9" t="inlineStr">
        <is>
          <t>월드 보스 드롭</t>
        </is>
      </c>
      <c r="E15" s="9" t="inlineStr">
        <is>
          <t>제작 (불사조 깃털 x10 + 세계수 잎 x5)</t>
        </is>
      </c>
      <c r="F15" s="9" t="inlineStr">
        <is>
          <t>이벤트 한정</t>
        </is>
      </c>
      <c r="G15" s="9" t="inlineStr">
        <is>
          <t>보스 1% / 제작 확정</t>
        </is>
      </c>
      <c r="H15" s="9" t="inlineStr">
        <is>
          <t>1~2개월</t>
        </is>
      </c>
    </row>
    <row r="16">
      <c r="A16" s="8" t="inlineStr">
        <is>
          <t>창세의 조각</t>
        </is>
      </c>
      <c r="B16" s="8" t="inlineStr">
        <is>
          <t>💫</t>
        </is>
      </c>
      <c r="C16" s="8" t="inlineStr">
        <is>
          <t>신화 무기 제작, 궁극 진화</t>
        </is>
      </c>
      <c r="D16" s="8" t="inlineStr">
        <is>
          <t>심연의 탑 50층 보상</t>
        </is>
      </c>
      <c r="E16" s="8" t="inlineStr">
        <is>
          <t>제작 (그림자 조각 x20 + 마나석 x100)</t>
        </is>
      </c>
      <c r="F16" s="8" t="inlineStr">
        <is>
          <t>시즌 최종 보상</t>
        </is>
      </c>
      <c r="G16" s="8" t="inlineStr">
        <is>
          <t>탑 확정 / 제작 확정</t>
        </is>
      </c>
      <c r="H16" s="8" t="inlineStr">
        <is>
          <t>2~3개월</t>
        </is>
      </c>
    </row>
    <row r="17">
      <c r="A17" s="9" t="inlineStr">
        <is>
          <t>원소의 왕관</t>
        </is>
      </c>
      <c r="B17" s="9" t="inlineStr">
        <is>
          <t>👑</t>
        </is>
      </c>
      <c r="C17" s="9" t="inlineStr">
        <is>
          <t>원소 군주 진화, 궁극 장비</t>
        </is>
      </c>
      <c r="D17" s="9" t="inlineStr">
        <is>
          <t>공성전 시즌 1위</t>
        </is>
      </c>
      <c r="E17" s="9" t="inlineStr">
        <is>
          <t>제작 (4원소 재료 각 10개)</t>
        </is>
      </c>
      <c r="F17" s="9" t="inlineStr">
        <is>
          <t>월드 보스 숨겨진 드롭</t>
        </is>
      </c>
      <c r="G17" s="9" t="inlineStr">
        <is>
          <t>시즌 확정 / 보스 0.5%</t>
        </is>
      </c>
      <c r="H17" s="9" t="inlineStr">
        <is>
          <t>2~3개월</t>
        </is>
      </c>
    </row>
    <row r="18">
      <c r="A18" s="8" t="inlineStr">
        <is>
          <t>시간 파편</t>
        </is>
      </c>
      <c r="B18" s="8" t="inlineStr">
        <is>
          <t>⏳</t>
        </is>
      </c>
      <c r="C18" s="8" t="inlineStr">
        <is>
          <t>시간 계열 진화, 쿨다운 장비</t>
        </is>
      </c>
      <c r="D18" s="8" t="inlineStr">
        <is>
          <t>심연의 탑 100층 보상</t>
        </is>
      </c>
      <c r="E18" s="8" t="inlineStr">
        <is>
          <t>특별 이벤트 한정</t>
        </is>
      </c>
      <c r="F18" s="8" t="inlineStr">
        <is>
          <t>제작 (태초의 마나 x20 + 창세의 조각 x3)</t>
        </is>
      </c>
      <c r="G18" s="8" t="inlineStr">
        <is>
          <t>탑 확정 / 제작 확정</t>
        </is>
      </c>
      <c r="H18" s="8" t="inlineStr">
        <is>
          <t>3개월+</t>
        </is>
      </c>
    </row>
    <row r="19">
      <c r="A19" s="9" t="inlineStr">
        <is>
          <t>각성석</t>
        </is>
      </c>
      <c r="B19" s="9" t="inlineStr">
        <is>
          <t>🌟</t>
        </is>
      </c>
      <c r="C19" s="9" t="inlineStr">
        <is>
          <t>용병 각성 (등급 돌파)</t>
        </is>
      </c>
      <c r="D19" s="9" t="inlineStr">
        <is>
          <t>심연의 탑 보상</t>
        </is>
      </c>
      <c r="E19" s="9" t="inlineStr">
        <is>
          <t>가챠 부산물</t>
        </is>
      </c>
      <c r="F19" s="9" t="inlineStr">
        <is>
          <t>주간 퀘스트 보상</t>
        </is>
      </c>
      <c r="G19" s="9" t="inlineStr">
        <is>
          <t>탑 5층마다 1개</t>
        </is>
      </c>
      <c r="H19" s="9" t="inlineStr">
        <is>
          <t>2~3주</t>
        </is>
      </c>
    </row>
    <row r="20">
      <c r="A20" s="8" t="inlineStr">
        <is>
          <t>각성석 조각</t>
        </is>
      </c>
      <c r="B20" s="8" t="inlineStr">
        <is>
          <t>⭐</t>
        </is>
      </c>
      <c r="C20" s="8" t="inlineStr">
        <is>
          <t>각성석 합성 (조각 50개 = 1개)</t>
        </is>
      </c>
      <c r="D20" s="8" t="inlineStr">
        <is>
          <t>IO 일일 보상</t>
        </is>
      </c>
      <c r="E20" s="8" t="inlineStr">
        <is>
          <t>PvP 아레나 보상</t>
        </is>
      </c>
      <c r="F20" s="8" t="inlineStr">
        <is>
          <t>혈맹 레이드</t>
        </is>
      </c>
      <c r="G20" s="8" t="inlineStr">
        <is>
          <t>일일 5~10개</t>
        </is>
      </c>
      <c r="H20" s="8" t="inlineStr">
        <is>
          <t>2~3주</t>
        </is>
      </c>
    </row>
    <row r="21">
      <c r="A21" s="9" t="inlineStr">
        <is>
          <t>재추첨석</t>
        </is>
      </c>
      <c r="B21" s="9" t="inlineStr">
        <is>
          <t>🎲</t>
        </is>
      </c>
      <c r="C21" s="9" t="inlineStr">
        <is>
          <t>용병 스킬 재추첨</t>
        </is>
      </c>
      <c r="D21" s="9" t="inlineStr">
        <is>
          <t>가챠 부산물</t>
        </is>
      </c>
      <c r="E21" s="9" t="inlineStr">
        <is>
          <t>이벤트 보상</t>
        </is>
      </c>
      <c r="F21" s="9" t="inlineStr">
        <is>
          <t>다이아 상점 (100다이아)</t>
        </is>
      </c>
      <c r="G21" s="9" t="inlineStr">
        <is>
          <t>가챠 10회당 1개</t>
        </is>
      </c>
      <c r="H21" s="9" t="inlineStr">
        <is>
          <t>1주</t>
        </is>
      </c>
    </row>
    <row r="22">
      <c r="A22" s="8" t="inlineStr">
        <is>
          <t>전쟁의 깃발</t>
        </is>
      </c>
      <c r="B22" s="8" t="inlineStr">
        <is>
          <t>⚔️</t>
        </is>
      </c>
      <c r="C22" s="8" t="inlineStr">
        <is>
          <t>공성전 버프, 전쟁 장비 제작</t>
        </is>
      </c>
      <c r="D22" s="8" t="inlineStr">
        <is>
          <t>공성전 참여 보상</t>
        </is>
      </c>
      <c r="E22" s="8" t="inlineStr">
        <is>
          <t>혈맹 상점</t>
        </is>
      </c>
      <c r="F22" s="8" t="inlineStr">
        <is>
          <t>주간 퀘스트</t>
        </is>
      </c>
      <c r="G22" s="8" t="inlineStr">
        <is>
          <t>참여당 3~5개</t>
        </is>
      </c>
      <c r="H22" s="8" t="inlineStr">
        <is>
          <t>1주</t>
        </is>
      </c>
    </row>
    <row r="23">
      <c r="A23" s="9" t="inlineStr">
        <is>
          <t>바람의 결정</t>
        </is>
      </c>
      <c r="B23" s="9" t="inlineStr">
        <is>
          <t>💨</t>
        </is>
      </c>
      <c r="C23" s="9" t="inlineStr">
        <is>
          <t>이동속도 장비, 탈것 강화</t>
        </is>
      </c>
      <c r="D23" s="9" t="inlineStr">
        <is>
          <t>원정 (바람의 계곡)</t>
        </is>
      </c>
      <c r="E23" s="9" t="inlineStr">
        <is>
          <t>낚시 희귀 보상</t>
        </is>
      </c>
      <c r="F23" s="9" t="inlineStr">
        <is>
          <t>제작 (약초 x20 + 마나석 x10)</t>
        </is>
      </c>
      <c r="G23" s="9" t="inlineStr">
        <is>
          <t>원정 30% / 낚시 5%</t>
        </is>
      </c>
      <c r="H23" s="9" t="inlineStr">
        <is>
          <t>1~2주</t>
        </is>
      </c>
    </row>
  </sheetData>
  <mergeCells count="1">
    <mergeCell ref="A1:H1"/>
  </mergeCell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2" customWidth="1" min="1" max="1"/>
    <col width="28" customWidth="1" min="2" max="2"/>
    <col width="22" customWidth="1" min="3" max="3"/>
    <col width="25" customWidth="1" min="4" max="4"/>
    <col width="25" customWidth="1" min="5" max="5"/>
    <col width="20" customWidth="1" min="6" max="6"/>
    <col width="22" customWidth="1" min="7" max="7"/>
    <col width="8" customWidth="1" min="8" max="8"/>
  </cols>
  <sheetData>
    <row r="1">
      <c r="A1" s="6" t="inlineStr">
        <is>
          <t>공성전 공격 전략 가이드 10종</t>
        </is>
      </c>
    </row>
    <row r="3">
      <c r="A3" s="7" t="inlineStr">
        <is>
          <t>전략명</t>
        </is>
      </c>
      <c r="B3" s="7" t="inlineStr">
        <is>
          <t>핵심 용병</t>
        </is>
      </c>
      <c r="C3" s="7" t="inlineStr">
        <is>
          <t>이동 루트</t>
        </is>
      </c>
      <c r="D3" s="7" t="inlineStr">
        <is>
          <t>함정 대처</t>
        </is>
      </c>
      <c r="E3" s="7" t="inlineStr">
        <is>
          <t>우선 처치 대상</t>
        </is>
      </c>
      <c r="F3" s="7" t="inlineStr">
        <is>
          <t>타이밍</t>
        </is>
      </c>
      <c r="G3" s="7" t="inlineStr">
        <is>
          <t>적합한 적 방어</t>
        </is>
      </c>
      <c r="H3" s="7" t="inlineStr">
        <is>
          <t>승률</t>
        </is>
      </c>
    </row>
    <row r="4">
      <c r="A4" s="8" t="inlineStr">
        <is>
          <t>정면 돌파</t>
        </is>
      </c>
      <c r="B4" s="8" t="inlineStr">
        <is>
          <t>철벽 기사, 대지의 수호자, 전쟁 사제</t>
        </is>
      </c>
      <c r="C4" s="8" t="inlineStr">
        <is>
          <t>중앙 대로 직진</t>
        </is>
      </c>
      <c r="D4" s="8" t="inlineStr">
        <is>
          <t>방패 스킬로 함정 피해 흡수</t>
        </is>
      </c>
      <c r="E4" s="8" t="inlineStr">
        <is>
          <t>성문 앞 방어탑 → 궁수 → 치유사</t>
        </is>
      </c>
      <c r="F4" s="8" t="inlineStr">
        <is>
          <t>공성전 시작 즉시</t>
        </is>
      </c>
      <c r="G4" s="8" t="inlineStr">
        <is>
          <t>저레벨 방어, 함정 적은 배치</t>
        </is>
      </c>
      <c r="H4" s="8" t="inlineStr">
        <is>
          <t>70%</t>
        </is>
      </c>
    </row>
    <row r="5">
      <c r="A5" s="9" t="inlineStr">
        <is>
          <t>스피드 러시</t>
        </is>
      </c>
      <c r="B5" s="9" t="inlineStr">
        <is>
          <t>바람의 기사, 그림자 암살자, 질풍 궁수</t>
        </is>
      </c>
      <c r="C5" s="9" t="inlineStr">
        <is>
          <t>외곽 빠른 길 → 성벽 측면</t>
        </is>
      </c>
      <c r="D5" s="9" t="inlineStr">
        <is>
          <t>이동속도로 함정 범위 빠르게 이탈</t>
        </is>
      </c>
      <c r="E5" s="9" t="inlineStr">
        <is>
          <t>성문 수비대 → 성주 직행</t>
        </is>
      </c>
      <c r="F5" s="9" t="inlineStr">
        <is>
          <t>상대 버프 시간 전 기습</t>
        </is>
      </c>
      <c r="G5" s="9" t="inlineStr">
        <is>
          <t>느린 탱커 위주 방어</t>
        </is>
      </c>
      <c r="H5" s="9" t="inlineStr">
        <is>
          <t>65%</t>
        </is>
      </c>
    </row>
    <row r="6">
      <c r="A6" s="8" t="inlineStr">
        <is>
          <t>함정 유인</t>
        </is>
      </c>
      <c r="B6" s="8" t="inlineStr">
        <is>
          <t>골렘 소환사, 불사 전사, 광전사</t>
        </is>
      </c>
      <c r="C6" s="8" t="inlineStr">
        <is>
          <t>중앙 → 지그재그 진행</t>
        </is>
      </c>
      <c r="D6" s="8" t="inlineStr">
        <is>
          <t>선두 탱커가 함정 밟아 소모시키기</t>
        </is>
      </c>
      <c r="E6" s="8" t="inlineStr">
        <is>
          <t>함정 설치 유닛 → 성벽 방어대</t>
        </is>
      </c>
      <c r="F6" s="8" t="inlineStr">
        <is>
          <t>함정 쿨타임 파악 후 진입</t>
        </is>
      </c>
      <c r="G6" s="8" t="inlineStr">
        <is>
          <t>함정 과다 배치 방어</t>
        </is>
      </c>
      <c r="H6" s="8" t="inlineStr">
        <is>
          <t>60%</t>
        </is>
      </c>
    </row>
    <row r="7">
      <c r="A7" s="9" t="inlineStr">
        <is>
          <t>우회 루트</t>
        </is>
      </c>
      <c r="B7" s="9" t="inlineStr">
        <is>
          <t>도적단장, 바람의 기사, 정찰병</t>
        </is>
      </c>
      <c r="C7" s="9" t="inlineStr">
        <is>
          <t>벽 옆 좁은 샛길 → 후문</t>
        </is>
      </c>
      <c r="D7" s="9" t="inlineStr">
        <is>
          <t>좁은 길에 함정 없는 구간 탐색</t>
        </is>
      </c>
      <c r="E7" s="9" t="inlineStr">
        <is>
          <t>후문 소수 방어대 → 내부 진입</t>
        </is>
      </c>
      <c r="F7" s="9" t="inlineStr">
        <is>
          <t>수비 교대 타이밍</t>
        </is>
      </c>
      <c r="G7" s="9" t="inlineStr">
        <is>
          <t>전면 집중 방어 (후방 약함)</t>
        </is>
      </c>
      <c r="H7" s="9" t="inlineStr">
        <is>
          <t>55%</t>
        </is>
      </c>
    </row>
    <row r="8">
      <c r="A8" s="8" t="inlineStr">
        <is>
          <t>CC 무시</t>
        </is>
      </c>
      <c r="B8" s="8" t="inlineStr">
        <is>
          <t>불굴의 전사, 정화 사제, 룬 기사</t>
        </is>
      </c>
      <c r="C8" s="8" t="inlineStr">
        <is>
          <t>중앙 돌파 (CC 무시)</t>
        </is>
      </c>
      <c r="D8" s="8" t="inlineStr">
        <is>
          <t>상태이상 저항 버프 유지</t>
        </is>
      </c>
      <c r="E8" s="8" t="inlineStr">
        <is>
          <t>CC 시전자 (빙결/기절 마법사)</t>
        </is>
      </c>
      <c r="F8" s="8" t="inlineStr">
        <is>
          <t>상대 CC 스킬 사용 직후</t>
        </is>
      </c>
      <c r="G8" s="8" t="inlineStr">
        <is>
          <t>CC 의존형 방어 편성</t>
        </is>
      </c>
      <c r="H8" s="8" t="inlineStr">
        <is>
          <t>60%</t>
        </is>
      </c>
    </row>
    <row r="9">
      <c r="A9" s="9" t="inlineStr">
        <is>
          <t>힐 탱</t>
        </is>
      </c>
      <c r="B9" s="9" t="inlineStr">
        <is>
          <t>대지의 수호자, 생명 사제, 세계수 드루이드</t>
        </is>
      </c>
      <c r="C9" s="9" t="inlineStr">
        <is>
          <t>중앙 천천히 전진</t>
        </is>
      </c>
      <c r="D9" s="9" t="inlineStr">
        <is>
          <t>피해 즉시 회복, 함정 무력화</t>
        </is>
      </c>
      <c r="E9" s="9" t="inlineStr">
        <is>
          <t>적 딜러 → 적 치유사 → 성문</t>
        </is>
      </c>
      <c r="F9" s="9" t="inlineStr">
        <is>
          <t>지구전 (3분 이상 버티기)</t>
        </is>
      </c>
      <c r="G9" s="9" t="inlineStr">
        <is>
          <t>화력 부족 방어 편성</t>
        </is>
      </c>
      <c r="H9" s="9" t="inlineStr">
        <is>
          <t>65%</t>
        </is>
      </c>
    </row>
    <row r="10">
      <c r="A10" s="8" t="inlineStr">
        <is>
          <t>암살 돌입</t>
        </is>
      </c>
      <c r="B10" s="8" t="inlineStr">
        <is>
          <t>그림자 군주, 독안개 암살자, 환영 도적</t>
        </is>
      </c>
      <c r="C10" s="8" t="inlineStr">
        <is>
          <t>은신 → 성벽 넘기 → 내부</t>
        </is>
      </c>
      <c r="D10" s="8" t="inlineStr">
        <is>
          <t>은신 상태로 함정 감지 회피</t>
        </is>
      </c>
      <c r="E10" s="8" t="inlineStr">
        <is>
          <t>적 지휘관 → 치유사 → 핵심 딜러</t>
        </is>
      </c>
      <c r="F10" s="8" t="inlineStr">
        <is>
          <t>수비대 주의 분산 시</t>
        </is>
      </c>
      <c r="G10" s="8" t="inlineStr">
        <is>
          <t>원거리 탐지 없는 방어</t>
        </is>
      </c>
      <c r="H10" s="8" t="inlineStr">
        <is>
          <t>50%</t>
        </is>
      </c>
    </row>
    <row r="11">
      <c r="A11" s="9" t="inlineStr">
        <is>
          <t>소환수 벽</t>
        </is>
      </c>
      <c r="B11" s="9" t="inlineStr">
        <is>
          <t>골렘 소환사, 네크로맨서, 정령술사</t>
        </is>
      </c>
      <c r="C11" s="9" t="inlineStr">
        <is>
          <t>소환수 선두 → 본대 후방</t>
        </is>
      </c>
      <c r="D11" s="9" t="inlineStr">
        <is>
          <t>소환수가 함정 대신 밟아 소모</t>
        </is>
      </c>
      <c r="E11" s="9" t="inlineStr">
        <is>
          <t>소환수로 방어탑 어그로 → 본대 돌입</t>
        </is>
      </c>
      <c r="F11" s="9" t="inlineStr">
        <is>
          <t>소환수 쿨타임 완료 후</t>
        </is>
      </c>
      <c r="G11" s="9" t="inlineStr">
        <is>
          <t>고정 방어탑 의존 방어</t>
        </is>
      </c>
      <c r="H11" s="9" t="inlineStr">
        <is>
          <t>55%</t>
        </is>
      </c>
    </row>
    <row r="12">
      <c r="A12" s="8" t="inlineStr">
        <is>
          <t>원소 폭격</t>
        </is>
      </c>
      <c r="B12" s="8" t="inlineStr">
        <is>
          <t>화염 대마법사, 빙결 마도사, 번개 술사</t>
        </is>
      </c>
      <c r="C12" s="8" t="inlineStr">
        <is>
          <t>후방 유지 → 원거리 공격</t>
        </is>
      </c>
      <c r="D12" s="8" t="inlineStr">
        <is>
          <t>원거리라 함정 범위 밖에서 공격</t>
        </is>
      </c>
      <c r="E12" s="8" t="inlineStr">
        <is>
          <t>방어탑 → 성벽 → 성문 순서</t>
        </is>
      </c>
      <c r="F12" s="8" t="inlineStr">
        <is>
          <t>마나 풀 충전 후 일제 사격</t>
        </is>
      </c>
      <c r="G12" s="8" t="inlineStr">
        <is>
          <t>근접 위주 방어 (원거리 부족)</t>
        </is>
      </c>
      <c r="H12" s="8" t="inlineStr">
        <is>
          <t>60%</t>
        </is>
      </c>
    </row>
    <row r="13">
      <c r="A13" s="9" t="inlineStr">
        <is>
          <t>종합 엘리트</t>
        </is>
      </c>
      <c r="B13" s="9" t="inlineStr">
        <is>
          <t>철벽 기사 + 화염 대마법사 + 생명 사제 + 바람의 기사</t>
        </is>
      </c>
      <c r="C13" s="9" t="inlineStr">
        <is>
          <t>상황별 최적 루트 선택</t>
        </is>
      </c>
      <c r="D13" s="9" t="inlineStr">
        <is>
          <t>탱커 선두 + 치유 + 원거리 조합</t>
        </is>
      </c>
      <c r="E13" s="9" t="inlineStr">
        <is>
          <t>상황 판단하여 유동적 타겟팅</t>
        </is>
      </c>
      <c r="F13" s="9" t="inlineStr">
        <is>
          <t>적 편성 분석 후 최적 타이밍</t>
        </is>
      </c>
      <c r="G13" s="9" t="inlineStr">
        <is>
          <t>모든 방어 유형에 대응 가능</t>
        </is>
      </c>
      <c r="H13" s="9" t="inlineStr">
        <is>
          <t>75%</t>
        </is>
      </c>
    </row>
  </sheetData>
  <mergeCells count="1">
    <mergeCell ref="A1:H1"/>
  </mergeCell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4" customWidth="1" min="1" max="1"/>
    <col width="16" customWidth="1" min="2" max="2"/>
    <col width="6" customWidth="1" min="3" max="3"/>
    <col width="14" customWidth="1" min="4" max="4"/>
    <col width="12" customWidth="1" min="5" max="5"/>
    <col width="10" customWidth="1" min="6" max="6"/>
    <col width="10" customWidth="1" min="7" max="7"/>
    <col width="10" customWidth="1" min="8" max="8"/>
    <col width="18" customWidth="1" min="9" max="9"/>
    <col width="22" customWidth="1" min="10" max="10"/>
  </cols>
  <sheetData>
    <row r="1">
      <c r="A1" s="6" t="inlineStr">
        <is>
          <t>낚시 도감 30종</t>
        </is>
      </c>
    </row>
    <row r="3">
      <c r="A3" s="7" t="inlineStr">
        <is>
          <t>#</t>
        </is>
      </c>
      <c r="B3" s="7" t="inlineStr">
        <is>
          <t>물고기</t>
        </is>
      </c>
      <c r="C3" s="7" t="inlineStr">
        <is>
          <t>등급</t>
        </is>
      </c>
      <c r="D3" s="7" t="inlineStr">
        <is>
          <t>출현 장소</t>
        </is>
      </c>
      <c r="E3" s="7" t="inlineStr">
        <is>
          <t>시간대</t>
        </is>
      </c>
      <c r="F3" s="7" t="inlineStr">
        <is>
          <t>날씨</t>
        </is>
      </c>
      <c r="G3" s="7" t="inlineStr">
        <is>
          <t>크기(cm)</t>
        </is>
      </c>
      <c r="H3" s="7" t="inlineStr">
        <is>
          <t>판매가</t>
        </is>
      </c>
      <c r="I3" s="7" t="inlineStr">
        <is>
          <t>요리 재료</t>
        </is>
      </c>
      <c r="J3" s="7" t="inlineStr">
        <is>
          <t>특수 효과</t>
        </is>
      </c>
    </row>
    <row r="4">
      <c r="A4" s="8" t="n">
        <v>1</v>
      </c>
      <c r="B4" s="8" t="inlineStr">
        <is>
          <t>붕어</t>
        </is>
      </c>
      <c r="C4" s="8" t="inlineStr">
        <is>
          <t>일반</t>
        </is>
      </c>
      <c r="D4" s="8" t="inlineStr">
        <is>
          <t>마을 연못</t>
        </is>
      </c>
      <c r="E4" s="8" t="inlineStr">
        <is>
          <t>종일</t>
        </is>
      </c>
      <c r="F4" s="8" t="inlineStr">
        <is>
          <t>맑음</t>
        </is>
      </c>
      <c r="G4" s="8" t="n">
        <v>15</v>
      </c>
      <c r="H4" s="8" t="inlineStr">
        <is>
          <t>10G</t>
        </is>
      </c>
      <c r="I4" s="8" t="inlineStr">
        <is>
          <t>붕어찜</t>
        </is>
      </c>
      <c r="J4" s="8" t="inlineStr">
        <is>
          <t>없음</t>
        </is>
      </c>
    </row>
    <row r="5">
      <c r="A5" s="9" t="n">
        <v>2</v>
      </c>
      <c r="B5" s="9" t="inlineStr">
        <is>
          <t>잉어</t>
        </is>
      </c>
      <c r="C5" s="9" t="inlineStr">
        <is>
          <t>일반</t>
        </is>
      </c>
      <c r="D5" s="9" t="inlineStr">
        <is>
          <t>강 하류</t>
        </is>
      </c>
      <c r="E5" s="9" t="inlineStr">
        <is>
          <t>오전</t>
        </is>
      </c>
      <c r="F5" s="9" t="inlineStr">
        <is>
          <t>맑음/흐림</t>
        </is>
      </c>
      <c r="G5" s="9" t="n">
        <v>30</v>
      </c>
      <c r="H5" s="9" t="inlineStr">
        <is>
          <t>20G</t>
        </is>
      </c>
      <c r="I5" s="9" t="inlineStr">
        <is>
          <t>잉어탕</t>
        </is>
      </c>
      <c r="J5" s="9" t="inlineStr">
        <is>
          <t>없음</t>
        </is>
      </c>
    </row>
    <row r="6">
      <c r="A6" s="8" t="n">
        <v>3</v>
      </c>
      <c r="B6" s="8" t="inlineStr">
        <is>
          <t>미꾸라지</t>
        </is>
      </c>
      <c r="C6" s="8" t="inlineStr">
        <is>
          <t>일반</t>
        </is>
      </c>
      <c r="D6" s="8" t="inlineStr">
        <is>
          <t>논밭 수로</t>
        </is>
      </c>
      <c r="E6" s="8" t="inlineStr">
        <is>
          <t>새벽</t>
        </is>
      </c>
      <c r="F6" s="8" t="inlineStr">
        <is>
          <t>흐림</t>
        </is>
      </c>
      <c r="G6" s="8" t="n">
        <v>12</v>
      </c>
      <c r="H6" s="8" t="inlineStr">
        <is>
          <t>8G</t>
        </is>
      </c>
      <c r="I6" s="8" t="inlineStr">
        <is>
          <t>추어탕</t>
        </is>
      </c>
      <c r="J6" s="8" t="inlineStr">
        <is>
          <t>없음</t>
        </is>
      </c>
    </row>
    <row r="7">
      <c r="A7" s="9" t="n">
        <v>4</v>
      </c>
      <c r="B7" s="9" t="inlineStr">
        <is>
          <t>메기</t>
        </is>
      </c>
      <c r="C7" s="9" t="inlineStr">
        <is>
          <t>일반</t>
        </is>
      </c>
      <c r="D7" s="9" t="inlineStr">
        <is>
          <t>강 중류</t>
        </is>
      </c>
      <c r="E7" s="9" t="inlineStr">
        <is>
          <t>밤</t>
        </is>
      </c>
      <c r="F7" s="9" t="inlineStr">
        <is>
          <t>비</t>
        </is>
      </c>
      <c r="G7" s="9" t="n">
        <v>45</v>
      </c>
      <c r="H7" s="9" t="inlineStr">
        <is>
          <t>35G</t>
        </is>
      </c>
      <c r="I7" s="9" t="inlineStr">
        <is>
          <t>메기매운탕</t>
        </is>
      </c>
      <c r="J7" s="9" t="inlineStr">
        <is>
          <t>없음</t>
        </is>
      </c>
    </row>
    <row r="8">
      <c r="A8" s="8" t="n">
        <v>5</v>
      </c>
      <c r="B8" s="8" t="inlineStr">
        <is>
          <t>송어</t>
        </is>
      </c>
      <c r="C8" s="8" t="inlineStr">
        <is>
          <t>일반</t>
        </is>
      </c>
      <c r="D8" s="8" t="inlineStr">
        <is>
          <t>계곡</t>
        </is>
      </c>
      <c r="E8" s="8" t="inlineStr">
        <is>
          <t>오전</t>
        </is>
      </c>
      <c r="F8" s="8" t="inlineStr">
        <is>
          <t>맑음</t>
        </is>
      </c>
      <c r="G8" s="8" t="n">
        <v>25</v>
      </c>
      <c r="H8" s="8" t="inlineStr">
        <is>
          <t>30G</t>
        </is>
      </c>
      <c r="I8" s="8" t="inlineStr">
        <is>
          <t>송어회</t>
        </is>
      </c>
      <c r="J8" s="8" t="inlineStr">
        <is>
          <t>없음</t>
        </is>
      </c>
    </row>
    <row r="9">
      <c r="A9" s="9" t="n">
        <v>6</v>
      </c>
      <c r="B9" s="9" t="inlineStr">
        <is>
          <t>넙치</t>
        </is>
      </c>
      <c r="C9" s="9" t="inlineStr">
        <is>
          <t>일반</t>
        </is>
      </c>
      <c r="D9" s="9" t="inlineStr">
        <is>
          <t>얕은 바다</t>
        </is>
      </c>
      <c r="E9" s="9" t="inlineStr">
        <is>
          <t>오후</t>
        </is>
      </c>
      <c r="F9" s="9" t="inlineStr">
        <is>
          <t>맑음</t>
        </is>
      </c>
      <c r="G9" s="9" t="n">
        <v>40</v>
      </c>
      <c r="H9" s="9" t="inlineStr">
        <is>
          <t>40G</t>
        </is>
      </c>
      <c r="I9" s="9" t="inlineStr">
        <is>
          <t>넙치회</t>
        </is>
      </c>
      <c r="J9" s="9" t="inlineStr">
        <is>
          <t>없음</t>
        </is>
      </c>
    </row>
    <row r="10">
      <c r="A10" s="8" t="n">
        <v>7</v>
      </c>
      <c r="B10" s="8" t="inlineStr">
        <is>
          <t>고등어</t>
        </is>
      </c>
      <c r="C10" s="8" t="inlineStr">
        <is>
          <t>일반</t>
        </is>
      </c>
      <c r="D10" s="8" t="inlineStr">
        <is>
          <t>근해</t>
        </is>
      </c>
      <c r="E10" s="8" t="inlineStr">
        <is>
          <t>종일</t>
        </is>
      </c>
      <c r="F10" s="8" t="inlineStr">
        <is>
          <t>흐림</t>
        </is>
      </c>
      <c r="G10" s="8" t="n">
        <v>35</v>
      </c>
      <c r="H10" s="8" t="inlineStr">
        <is>
          <t>25G</t>
        </is>
      </c>
      <c r="I10" s="8" t="inlineStr">
        <is>
          <t>고등어구이</t>
        </is>
      </c>
      <c r="J10" s="8" t="inlineStr">
        <is>
          <t>없음</t>
        </is>
      </c>
    </row>
    <row r="11">
      <c r="A11" s="9" t="n">
        <v>8</v>
      </c>
      <c r="B11" s="9" t="inlineStr">
        <is>
          <t>꽁치</t>
        </is>
      </c>
      <c r="C11" s="9" t="inlineStr">
        <is>
          <t>일반</t>
        </is>
      </c>
      <c r="D11" s="9" t="inlineStr">
        <is>
          <t>근해</t>
        </is>
      </c>
      <c r="E11" s="9" t="inlineStr">
        <is>
          <t>저녁</t>
        </is>
      </c>
      <c r="F11" s="9" t="inlineStr">
        <is>
          <t>맑음</t>
        </is>
      </c>
      <c r="G11" s="9" t="n">
        <v>28</v>
      </c>
      <c r="H11" s="9" t="inlineStr">
        <is>
          <t>15G</t>
        </is>
      </c>
      <c r="I11" s="9" t="inlineStr">
        <is>
          <t>꽁치조림</t>
        </is>
      </c>
      <c r="J11" s="9" t="inlineStr">
        <is>
          <t>없음</t>
        </is>
      </c>
    </row>
    <row r="12">
      <c r="A12" s="8" t="n">
        <v>9</v>
      </c>
      <c r="B12" s="8" t="inlineStr">
        <is>
          <t>멸치</t>
        </is>
      </c>
      <c r="C12" s="8" t="inlineStr">
        <is>
          <t>일반</t>
        </is>
      </c>
      <c r="D12" s="8" t="inlineStr">
        <is>
          <t>해안가</t>
        </is>
      </c>
      <c r="E12" s="8" t="inlineStr">
        <is>
          <t>새벽</t>
        </is>
      </c>
      <c r="F12" s="8" t="inlineStr">
        <is>
          <t>맑음/흐림</t>
        </is>
      </c>
      <c r="G12" s="8" t="n">
        <v>8</v>
      </c>
      <c r="H12" s="8" t="inlineStr">
        <is>
          <t>5G</t>
        </is>
      </c>
      <c r="I12" s="8" t="inlineStr">
        <is>
          <t>멸치볶음</t>
        </is>
      </c>
      <c r="J12" s="8" t="inlineStr">
        <is>
          <t>없음</t>
        </is>
      </c>
    </row>
    <row r="13">
      <c r="A13" s="9" t="n">
        <v>10</v>
      </c>
      <c r="B13" s="9" t="inlineStr">
        <is>
          <t>해파리</t>
        </is>
      </c>
      <c r="C13" s="9" t="inlineStr">
        <is>
          <t>일반</t>
        </is>
      </c>
      <c r="D13" s="9" t="inlineStr">
        <is>
          <t>해안가</t>
        </is>
      </c>
      <c r="E13" s="9" t="inlineStr">
        <is>
          <t>밤</t>
        </is>
      </c>
      <c r="F13" s="9" t="inlineStr">
        <is>
          <t>흐림</t>
        </is>
      </c>
      <c r="G13" s="9" t="n">
        <v>20</v>
      </c>
      <c r="H13" s="9" t="inlineStr">
        <is>
          <t>12G</t>
        </is>
      </c>
      <c r="I13" s="9" t="inlineStr">
        <is>
          <t>해파리냉채</t>
        </is>
      </c>
      <c r="J13" s="9" t="inlineStr">
        <is>
          <t>없음</t>
        </is>
      </c>
    </row>
    <row r="14">
      <c r="A14" s="8" t="n">
        <v>11</v>
      </c>
      <c r="B14" s="8" t="inlineStr">
        <is>
          <t>연어</t>
        </is>
      </c>
      <c r="C14" s="8" t="inlineStr">
        <is>
          <t>고급</t>
        </is>
      </c>
      <c r="D14" s="8" t="inlineStr">
        <is>
          <t>강 상류</t>
        </is>
      </c>
      <c r="E14" s="8" t="inlineStr">
        <is>
          <t>오전</t>
        </is>
      </c>
      <c r="F14" s="8" t="inlineStr">
        <is>
          <t>맑음</t>
        </is>
      </c>
      <c r="G14" s="8" t="n">
        <v>60</v>
      </c>
      <c r="H14" s="8" t="inlineStr">
        <is>
          <t>150G</t>
        </is>
      </c>
      <c r="I14" s="8" t="inlineStr">
        <is>
          <t>연어스테이크</t>
        </is>
      </c>
      <c r="J14" s="8" t="inlineStr">
        <is>
          <t>체력 회복 +5%</t>
        </is>
      </c>
    </row>
    <row r="15">
      <c r="A15" s="9" t="n">
        <v>12</v>
      </c>
      <c r="B15" s="9" t="inlineStr">
        <is>
          <t>참치</t>
        </is>
      </c>
      <c r="C15" s="9" t="inlineStr">
        <is>
          <t>고급</t>
        </is>
      </c>
      <c r="D15" s="9" t="inlineStr">
        <is>
          <t>원해</t>
        </is>
      </c>
      <c r="E15" s="9" t="inlineStr">
        <is>
          <t>오후</t>
        </is>
      </c>
      <c r="F15" s="9" t="inlineStr">
        <is>
          <t>맑음</t>
        </is>
      </c>
      <c r="G15" s="9" t="n">
        <v>120</v>
      </c>
      <c r="H15" s="9" t="inlineStr">
        <is>
          <t>300G</t>
        </is>
      </c>
      <c r="I15" s="9" t="inlineStr">
        <is>
          <t>참치회</t>
        </is>
      </c>
      <c r="J15" s="9" t="inlineStr">
        <is>
          <t>공격력 +3% (10분)</t>
        </is>
      </c>
    </row>
    <row r="16">
      <c r="A16" s="8" t="n">
        <v>13</v>
      </c>
      <c r="B16" s="8" t="inlineStr">
        <is>
          <t>광어</t>
        </is>
      </c>
      <c r="C16" s="8" t="inlineStr">
        <is>
          <t>고급</t>
        </is>
      </c>
      <c r="D16" s="8" t="inlineStr">
        <is>
          <t>깊은 바다</t>
        </is>
      </c>
      <c r="E16" s="8" t="inlineStr">
        <is>
          <t>종일</t>
        </is>
      </c>
      <c r="F16" s="8" t="inlineStr">
        <is>
          <t>흐림</t>
        </is>
      </c>
      <c r="G16" s="8" t="n">
        <v>55</v>
      </c>
      <c r="H16" s="8" t="inlineStr">
        <is>
          <t>200G</t>
        </is>
      </c>
      <c r="I16" s="8" t="inlineStr">
        <is>
          <t>광어세꼬시</t>
        </is>
      </c>
      <c r="J16" s="8" t="inlineStr">
        <is>
          <t>방어력 +3% (10분)</t>
        </is>
      </c>
    </row>
    <row r="17">
      <c r="A17" s="9" t="n">
        <v>14</v>
      </c>
      <c r="B17" s="9" t="inlineStr">
        <is>
          <t>문어</t>
        </is>
      </c>
      <c r="C17" s="9" t="inlineStr">
        <is>
          <t>고급</t>
        </is>
      </c>
      <c r="D17" s="9" t="inlineStr">
        <is>
          <t>암초 지대</t>
        </is>
      </c>
      <c r="E17" s="9" t="inlineStr">
        <is>
          <t>밤</t>
        </is>
      </c>
      <c r="F17" s="9" t="inlineStr">
        <is>
          <t>맑음</t>
        </is>
      </c>
      <c r="G17" s="9" t="n">
        <v>70</v>
      </c>
      <c r="H17" s="9" t="inlineStr">
        <is>
          <t>250G</t>
        </is>
      </c>
      <c r="I17" s="9" t="inlineStr">
        <is>
          <t>문어숙회</t>
        </is>
      </c>
      <c r="J17" s="9" t="inlineStr">
        <is>
          <t>이동속도 +5% (10분)</t>
        </is>
      </c>
    </row>
    <row r="18">
      <c r="A18" s="8" t="n">
        <v>15</v>
      </c>
      <c r="B18" s="8" t="inlineStr">
        <is>
          <t>새우</t>
        </is>
      </c>
      <c r="C18" s="8" t="inlineStr">
        <is>
          <t>고급</t>
        </is>
      </c>
      <c r="D18" s="8" t="inlineStr">
        <is>
          <t>갯벌</t>
        </is>
      </c>
      <c r="E18" s="8" t="inlineStr">
        <is>
          <t>새벽</t>
        </is>
      </c>
      <c r="F18" s="8" t="inlineStr">
        <is>
          <t>맑음</t>
        </is>
      </c>
      <c r="G18" s="8" t="n">
        <v>15</v>
      </c>
      <c r="H18" s="8" t="inlineStr">
        <is>
          <t>120G</t>
        </is>
      </c>
      <c r="I18" s="8" t="inlineStr">
        <is>
          <t>새우튀김</t>
        </is>
      </c>
      <c r="J18" s="8" t="inlineStr">
        <is>
          <t>경험치 +3% (10분)</t>
        </is>
      </c>
    </row>
    <row r="19">
      <c r="A19" s="9" t="n">
        <v>16</v>
      </c>
      <c r="B19" s="9" t="inlineStr">
        <is>
          <t>가재</t>
        </is>
      </c>
      <c r="C19" s="9" t="inlineStr">
        <is>
          <t>고급</t>
        </is>
      </c>
      <c r="D19" s="9" t="inlineStr">
        <is>
          <t>맑은 계곡</t>
        </is>
      </c>
      <c r="E19" s="9" t="inlineStr">
        <is>
          <t>오전</t>
        </is>
      </c>
      <c r="F19" s="9" t="inlineStr">
        <is>
          <t>맑음</t>
        </is>
      </c>
      <c r="G19" s="9" t="n">
        <v>18</v>
      </c>
      <c r="H19" s="9" t="inlineStr">
        <is>
          <t>130G</t>
        </is>
      </c>
      <c r="I19" s="9" t="inlineStr">
        <is>
          <t>가재찜</t>
        </is>
      </c>
      <c r="J19" s="9" t="inlineStr">
        <is>
          <t>체력 회복 +8%</t>
        </is>
      </c>
    </row>
    <row r="20">
      <c r="A20" s="8" t="n">
        <v>17</v>
      </c>
      <c r="B20" s="8" t="inlineStr">
        <is>
          <t>전복</t>
        </is>
      </c>
      <c r="C20" s="8" t="inlineStr">
        <is>
          <t>고급</t>
        </is>
      </c>
      <c r="D20" s="8" t="inlineStr">
        <is>
          <t>암초 해안</t>
        </is>
      </c>
      <c r="E20" s="8" t="inlineStr">
        <is>
          <t>오후</t>
        </is>
      </c>
      <c r="F20" s="8" t="inlineStr">
        <is>
          <t>흐림</t>
        </is>
      </c>
      <c r="G20" s="8" t="n">
        <v>12</v>
      </c>
      <c r="H20" s="8" t="inlineStr">
        <is>
          <t>350G</t>
        </is>
      </c>
      <c r="I20" s="8" t="inlineStr">
        <is>
          <t>전복죽</t>
        </is>
      </c>
      <c r="J20" s="8" t="inlineStr">
        <is>
          <t>마나 회복 +10%</t>
        </is>
      </c>
    </row>
    <row r="21">
      <c r="A21" s="9" t="n">
        <v>18</v>
      </c>
      <c r="B21" s="9" t="inlineStr">
        <is>
          <t>성게</t>
        </is>
      </c>
      <c r="C21" s="9" t="inlineStr">
        <is>
          <t>고급</t>
        </is>
      </c>
      <c r="D21" s="9" t="inlineStr">
        <is>
          <t>깊은 암초</t>
        </is>
      </c>
      <c r="E21" s="9" t="inlineStr">
        <is>
          <t>저녁</t>
        </is>
      </c>
      <c r="F21" s="9" t="inlineStr">
        <is>
          <t>맑음</t>
        </is>
      </c>
      <c r="G21" s="9" t="n">
        <v>8</v>
      </c>
      <c r="H21" s="9" t="inlineStr">
        <is>
          <t>280G</t>
        </is>
      </c>
      <c r="I21" s="9" t="inlineStr">
        <is>
          <t>성게비빔밥</t>
        </is>
      </c>
      <c r="J21" s="9" t="inlineStr">
        <is>
          <t>크리티컬 +2% (10분)</t>
        </is>
      </c>
    </row>
    <row r="22">
      <c r="A22" s="8" t="n">
        <v>19</v>
      </c>
      <c r="B22" s="8" t="inlineStr">
        <is>
          <t>금붕어</t>
        </is>
      </c>
      <c r="C22" s="8" t="inlineStr">
        <is>
          <t>희귀</t>
        </is>
      </c>
      <c r="D22" s="8" t="inlineStr">
        <is>
          <t>숨겨진 연못</t>
        </is>
      </c>
      <c r="E22" s="8" t="inlineStr">
        <is>
          <t>정오</t>
        </is>
      </c>
      <c r="F22" s="8" t="inlineStr">
        <is>
          <t>맑음</t>
        </is>
      </c>
      <c r="G22" s="8" t="n">
        <v>10</v>
      </c>
      <c r="H22" s="8" t="inlineStr">
        <is>
          <t>800G</t>
        </is>
      </c>
      <c r="I22" s="8" t="inlineStr">
        <is>
          <t>관상용 (요리 불가)</t>
        </is>
      </c>
      <c r="J22" s="8" t="inlineStr">
        <is>
          <t>골드 획득 +10% (30분)</t>
        </is>
      </c>
    </row>
    <row r="23">
      <c r="A23" s="9" t="n">
        <v>20</v>
      </c>
      <c r="B23" s="9" t="inlineStr">
        <is>
          <t>무지개 송어</t>
        </is>
      </c>
      <c r="C23" s="9" t="inlineStr">
        <is>
          <t>희귀</t>
        </is>
      </c>
      <c r="D23" s="9" t="inlineStr">
        <is>
          <t>폭포 아래</t>
        </is>
      </c>
      <c r="E23" s="9" t="inlineStr">
        <is>
          <t>새벽</t>
        </is>
      </c>
      <c r="F23" s="9" t="inlineStr">
        <is>
          <t>비 온 뒤</t>
        </is>
      </c>
      <c r="G23" s="9" t="n">
        <v>35</v>
      </c>
      <c r="H23" s="9" t="inlineStr">
        <is>
          <t>1,000G</t>
        </is>
      </c>
      <c r="I23" s="9" t="inlineStr">
        <is>
          <t>무지개 스테이크</t>
        </is>
      </c>
      <c r="J23" s="9" t="inlineStr">
        <is>
          <t>전 스탯 +2% (15분)</t>
        </is>
      </c>
    </row>
    <row r="24">
      <c r="A24" s="8" t="n">
        <v>21</v>
      </c>
      <c r="B24" s="8" t="inlineStr">
        <is>
          <t>킹크랩</t>
        </is>
      </c>
      <c r="C24" s="8" t="inlineStr">
        <is>
          <t>희귀</t>
        </is>
      </c>
      <c r="D24" s="8" t="inlineStr">
        <is>
          <t>빙하 해역</t>
        </is>
      </c>
      <c r="E24" s="8" t="inlineStr">
        <is>
          <t>밤</t>
        </is>
      </c>
      <c r="F24" s="8" t="inlineStr">
        <is>
          <t>눈</t>
        </is>
      </c>
      <c r="G24" s="8" t="n">
        <v>50</v>
      </c>
      <c r="H24" s="8" t="inlineStr">
        <is>
          <t>1,500G</t>
        </is>
      </c>
      <c r="I24" s="8" t="inlineStr">
        <is>
          <t>킹크랩 찜</t>
        </is>
      </c>
      <c r="J24" s="8" t="inlineStr">
        <is>
          <t>방어력 +8% (20분)</t>
        </is>
      </c>
    </row>
    <row r="25">
      <c r="A25" s="9" t="n">
        <v>22</v>
      </c>
      <c r="B25" s="9" t="inlineStr">
        <is>
          <t>대왕오징어</t>
        </is>
      </c>
      <c r="C25" s="9" t="inlineStr">
        <is>
          <t>희귀</t>
        </is>
      </c>
      <c r="D25" s="9" t="inlineStr">
        <is>
          <t>심해</t>
        </is>
      </c>
      <c r="E25" s="9" t="inlineStr">
        <is>
          <t>자정</t>
        </is>
      </c>
      <c r="F25" s="9" t="inlineStr">
        <is>
          <t>폭풍</t>
        </is>
      </c>
      <c r="G25" s="9" t="n">
        <v>200</v>
      </c>
      <c r="H25" s="9" t="inlineStr">
        <is>
          <t>2,000G</t>
        </is>
      </c>
      <c r="I25" s="9" t="inlineStr">
        <is>
          <t>대왕오징어 숯불구이</t>
        </is>
      </c>
      <c r="J25" s="9" t="inlineStr">
        <is>
          <t>공격력 +8% (20분)</t>
        </is>
      </c>
    </row>
    <row r="26">
      <c r="A26" s="8" t="n">
        <v>23</v>
      </c>
      <c r="B26" s="8" t="inlineStr">
        <is>
          <t>심해어</t>
        </is>
      </c>
      <c r="C26" s="8" t="inlineStr">
        <is>
          <t>희귀</t>
        </is>
      </c>
      <c r="D26" s="8" t="inlineStr">
        <is>
          <t>심연의 해구</t>
        </is>
      </c>
      <c r="E26" s="8" t="inlineStr">
        <is>
          <t>밤</t>
        </is>
      </c>
      <c r="F26" s="8" t="inlineStr">
        <is>
          <t>흐림</t>
        </is>
      </c>
      <c r="G26" s="8" t="n">
        <v>30</v>
      </c>
      <c r="H26" s="8" t="inlineStr">
        <is>
          <t>2,500G</t>
        </is>
      </c>
      <c r="I26" s="8" t="inlineStr">
        <is>
          <t>심해어 스프</t>
        </is>
      </c>
      <c r="J26" s="8" t="inlineStr">
        <is>
          <t>암흑 저항 +15% (30분)</t>
        </is>
      </c>
    </row>
    <row r="27">
      <c r="A27" s="9" t="n">
        <v>24</v>
      </c>
      <c r="B27" s="9" t="inlineStr">
        <is>
          <t>용궁 물고기</t>
        </is>
      </c>
      <c r="C27" s="9" t="inlineStr">
        <is>
          <t>희귀</t>
        </is>
      </c>
      <c r="D27" s="9" t="inlineStr">
        <is>
          <t>해저 동굴</t>
        </is>
      </c>
      <c r="E27" s="9" t="inlineStr">
        <is>
          <t>특수 (보름달)</t>
        </is>
      </c>
      <c r="F27" s="9" t="inlineStr">
        <is>
          <t>맑음</t>
        </is>
      </c>
      <c r="G27" s="9" t="n">
        <v>25</v>
      </c>
      <c r="H27" s="9" t="inlineStr">
        <is>
          <t>3,000G</t>
        </is>
      </c>
      <c r="I27" s="9" t="inlineStr">
        <is>
          <t>용궁 진미</t>
        </is>
      </c>
      <c r="J27" s="9" t="inlineStr">
        <is>
          <t>수중 호흡 (60분)</t>
        </is>
      </c>
    </row>
    <row r="28">
      <c r="A28" s="8" t="n">
        <v>25</v>
      </c>
      <c r="B28" s="8" t="inlineStr">
        <is>
          <t>황금 잉어</t>
        </is>
      </c>
      <c r="C28" s="8" t="inlineStr">
        <is>
          <t>전설</t>
        </is>
      </c>
      <c r="D28" s="8" t="inlineStr">
        <is>
          <t>전설의 호수</t>
        </is>
      </c>
      <c r="E28" s="8" t="inlineStr">
        <is>
          <t>일출</t>
        </is>
      </c>
      <c r="F28" s="8" t="inlineStr">
        <is>
          <t>맑음</t>
        </is>
      </c>
      <c r="G28" s="8" t="n">
        <v>80</v>
      </c>
      <c r="H28" s="8" t="inlineStr">
        <is>
          <t>10,000G</t>
        </is>
      </c>
      <c r="I28" s="8" t="inlineStr">
        <is>
          <t>황금 잉어찜</t>
        </is>
      </c>
      <c r="J28" s="8" t="inlineStr">
        <is>
          <t>골드 획득 +30% (1시간)</t>
        </is>
      </c>
    </row>
    <row r="29">
      <c r="A29" s="9" t="n">
        <v>26</v>
      </c>
      <c r="B29" s="9" t="inlineStr">
        <is>
          <t>바다의 왕</t>
        </is>
      </c>
      <c r="C29" s="9" t="inlineStr">
        <is>
          <t>전설</t>
        </is>
      </c>
      <c r="D29" s="9" t="inlineStr">
        <is>
          <t>폭풍 해역</t>
        </is>
      </c>
      <c r="E29" s="9" t="inlineStr">
        <is>
          <t>폭풍우 중</t>
        </is>
      </c>
      <c r="F29" s="9" t="inlineStr">
        <is>
          <t>폭풍</t>
        </is>
      </c>
      <c r="G29" s="9" t="n">
        <v>300</v>
      </c>
      <c r="H29" s="9" t="inlineStr">
        <is>
          <t>15,000G</t>
        </is>
      </c>
      <c r="I29" s="9" t="inlineStr">
        <is>
          <t>해왕의 만찬</t>
        </is>
      </c>
      <c r="J29" s="9" t="inlineStr">
        <is>
          <t>전 스탯 +10% (30분)</t>
        </is>
      </c>
    </row>
    <row r="30">
      <c r="A30" s="8" t="n">
        <v>27</v>
      </c>
      <c r="B30" s="8" t="inlineStr">
        <is>
          <t>심연 상어</t>
        </is>
      </c>
      <c r="C30" s="8" t="inlineStr">
        <is>
          <t>전설</t>
        </is>
      </c>
      <c r="D30" s="8" t="inlineStr">
        <is>
          <t>심연의 해구</t>
        </is>
      </c>
      <c r="E30" s="8" t="inlineStr">
        <is>
          <t>자정</t>
        </is>
      </c>
      <c r="F30" s="8" t="inlineStr">
        <is>
          <t>폭풍</t>
        </is>
      </c>
      <c r="G30" s="8" t="n">
        <v>500</v>
      </c>
      <c r="H30" s="8" t="inlineStr">
        <is>
          <t>20,000G</t>
        </is>
      </c>
      <c r="I30" s="8" t="inlineStr">
        <is>
          <t>상어 지느러미 수프</t>
        </is>
      </c>
      <c r="J30" s="8" t="inlineStr">
        <is>
          <t>공격력 +15% (1시간)</t>
        </is>
      </c>
    </row>
    <row r="31">
      <c r="A31" s="9" t="n">
        <v>28</v>
      </c>
      <c r="B31" s="9" t="inlineStr">
        <is>
          <t>용의 비늘 물고기</t>
        </is>
      </c>
      <c r="C31" s="9" t="inlineStr">
        <is>
          <t>전설</t>
        </is>
      </c>
      <c r="D31" s="9" t="inlineStr">
        <is>
          <t>용의 호수</t>
        </is>
      </c>
      <c r="E31" s="9" t="inlineStr">
        <is>
          <t>특수 (용의 날)</t>
        </is>
      </c>
      <c r="F31" s="9" t="inlineStr">
        <is>
          <t>번개</t>
        </is>
      </c>
      <c r="G31" s="9" t="n">
        <v>150</v>
      </c>
      <c r="H31" s="9" t="inlineStr">
        <is>
          <t>25,000G</t>
        </is>
      </c>
      <c r="I31" s="9" t="inlineStr">
        <is>
          <t>용인 비늘 요리</t>
        </is>
      </c>
      <c r="J31" s="9" t="inlineStr">
        <is>
          <t>용족 피해 +20% (1시간)</t>
        </is>
      </c>
    </row>
    <row r="32">
      <c r="A32" s="8" t="n">
        <v>29</v>
      </c>
      <c r="B32" s="8" t="inlineStr">
        <is>
          <t>리바이어던의 조각</t>
        </is>
      </c>
      <c r="C32" s="8" t="inlineStr">
        <is>
          <t>신화</t>
        </is>
      </c>
      <c r="D32" s="8" t="inlineStr">
        <is>
          <t>세계의 끝 해역</t>
        </is>
      </c>
      <c r="E32" s="8" t="inlineStr">
        <is>
          <t>특수 (월식)</t>
        </is>
      </c>
      <c r="F32" s="8" t="inlineStr">
        <is>
          <t>대폭풍</t>
        </is>
      </c>
      <c r="G32" s="8" t="n">
        <v>1000</v>
      </c>
      <c r="H32" s="8" t="inlineStr">
        <is>
          <t>50,000G</t>
        </is>
      </c>
      <c r="I32" s="8" t="inlineStr">
        <is>
          <t>제작 재료 (요리 불가)</t>
        </is>
      </c>
      <c r="J32" s="8" t="inlineStr">
        <is>
          <t>신화 용병 진화 재료</t>
        </is>
      </c>
    </row>
    <row r="33">
      <c r="A33" s="9" t="n">
        <v>30</v>
      </c>
      <c r="B33" s="9" t="inlineStr">
        <is>
          <t>세계수의 눈물</t>
        </is>
      </c>
      <c r="C33" s="9" t="inlineStr">
        <is>
          <t>신화</t>
        </is>
      </c>
      <c r="D33" s="9" t="inlineStr">
        <is>
          <t>세계수 뿌리 호수</t>
        </is>
      </c>
      <c r="E33" s="9" t="inlineStr">
        <is>
          <t>특수 (세계수 개화)</t>
        </is>
      </c>
      <c r="F33" s="9" t="inlineStr">
        <is>
          <t>신성한 빛</t>
        </is>
      </c>
      <c r="G33" s="9" t="n">
        <v>5</v>
      </c>
      <c r="H33" s="9" t="inlineStr">
        <is>
          <t>50,000G</t>
        </is>
      </c>
      <c r="I33" s="9" t="inlineStr">
        <is>
          <t>제작 재료 (요리 불가)</t>
        </is>
      </c>
      <c r="J33" s="9" t="inlineStr">
        <is>
          <t>신화 장비 각성 재료</t>
        </is>
      </c>
    </row>
  </sheetData>
  <mergeCells count="1">
    <mergeCell ref="A1:J1"/>
  </mergeCell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2" customWidth="1" min="1" max="1"/>
    <col width="10" customWidth="1" min="2" max="2"/>
    <col width="8" customWidth="1" min="3" max="3"/>
    <col width="20" customWidth="1" min="4" max="4"/>
    <col width="32" customWidth="1" min="5" max="5"/>
    <col width="35" customWidth="1" min="6" max="6"/>
  </cols>
  <sheetData>
    <row r="1">
      <c r="A1" s="6" t="inlineStr">
        <is>
          <t>경매장 거래 가이드 20종</t>
        </is>
      </c>
    </row>
    <row r="3">
      <c r="A3" s="7" t="inlineStr">
        <is>
          <t>아이템 종류</t>
        </is>
      </c>
      <c r="B3" s="7" t="inlineStr">
        <is>
          <t>거래 가능</t>
        </is>
      </c>
      <c r="C3" s="7" t="inlineStr">
        <is>
          <t>수수료</t>
        </is>
      </c>
      <c r="D3" s="7" t="inlineStr">
        <is>
          <t>예상 시세</t>
        </is>
      </c>
      <c r="E3" s="7" t="inlineStr">
        <is>
          <t>시세 변동 요인</t>
        </is>
      </c>
      <c r="F3" s="7" t="inlineStr">
        <is>
          <t>투자 팁</t>
        </is>
      </c>
    </row>
    <row r="4">
      <c r="A4" s="8" t="inlineStr">
        <is>
          <t>용병 카드 (일반)</t>
        </is>
      </c>
      <c r="B4" s="8" t="inlineStr">
        <is>
          <t>O</t>
        </is>
      </c>
      <c r="C4" s="8" t="inlineStr">
        <is>
          <t>5%</t>
        </is>
      </c>
      <c r="D4" s="8" t="inlineStr">
        <is>
          <t>50G~200G</t>
        </is>
      </c>
      <c r="E4" s="8" t="inlineStr">
        <is>
          <t>공급 과잉 시 하락, 신규 유저 유입 시 상승</t>
        </is>
      </c>
      <c r="F4" s="8" t="inlineStr">
        <is>
          <t>초반에만 거래 가치 있음, 장기 보유 비추</t>
        </is>
      </c>
    </row>
    <row r="5">
      <c r="A5" s="9" t="inlineStr">
        <is>
          <t>용병 카드 (고급)</t>
        </is>
      </c>
      <c r="B5" s="9" t="inlineStr">
        <is>
          <t>O</t>
        </is>
      </c>
      <c r="C5" s="9" t="inlineStr">
        <is>
          <t>5%</t>
        </is>
      </c>
      <c r="D5" s="9" t="inlineStr">
        <is>
          <t>500G~2,000G</t>
        </is>
      </c>
      <c r="E5" s="9" t="inlineStr">
        <is>
          <t>가챠 이벤트 시 하락, 밸런스 패치 시 급등</t>
        </is>
      </c>
      <c r="F5" s="9" t="inlineStr">
        <is>
          <t>상향 패치 예고된 용병 미리 매수</t>
        </is>
      </c>
    </row>
    <row r="6">
      <c r="A6" s="8" t="inlineStr">
        <is>
          <t>용병 카드 (희귀)</t>
        </is>
      </c>
      <c r="B6" s="8" t="inlineStr">
        <is>
          <t>O</t>
        </is>
      </c>
      <c r="C6" s="8" t="inlineStr">
        <is>
          <t>8%</t>
        </is>
      </c>
      <c r="D6" s="8" t="inlineStr">
        <is>
          <t>3,000G~10,000G</t>
        </is>
      </c>
      <c r="E6" s="8" t="inlineStr">
        <is>
          <t>픽업 가챠 종료 후 상승, 메타 변경 시 급변</t>
        </is>
      </c>
      <c r="F6" s="8" t="inlineStr">
        <is>
          <t>메타 용병은 시즌 초 매수 → 중반 매도</t>
        </is>
      </c>
    </row>
    <row r="7">
      <c r="A7" s="9" t="inlineStr">
        <is>
          <t>용병 카드 (전설)</t>
        </is>
      </c>
      <c r="B7" s="9" t="inlineStr">
        <is>
          <t>O</t>
        </is>
      </c>
      <c r="C7" s="9" t="inlineStr">
        <is>
          <t>10%</t>
        </is>
      </c>
      <c r="D7" s="9" t="inlineStr">
        <is>
          <t>30,000G~80,000G</t>
        </is>
      </c>
      <c r="E7" s="9" t="inlineStr">
        <is>
          <t>한정 가챠 종료 시 급등, 상위 호환 출시 시 폭락</t>
        </is>
      </c>
      <c r="F7" s="9" t="inlineStr">
        <is>
          <t>출시 직후보다 2주 후 매수가 안정적</t>
        </is>
      </c>
    </row>
    <row r="8">
      <c r="A8" s="8" t="inlineStr">
        <is>
          <t>용병 카드 (신화)</t>
        </is>
      </c>
      <c r="B8" s="8" t="inlineStr">
        <is>
          <t>O</t>
        </is>
      </c>
      <c r="C8" s="8" t="inlineStr">
        <is>
          <t>15%</t>
        </is>
      </c>
      <c r="D8" s="8" t="inlineStr">
        <is>
          <t>200,000G~500,000G</t>
        </is>
      </c>
      <c r="E8" s="8" t="inlineStr">
        <is>
          <t>시즌 한정 공급, 극소량 유통</t>
        </is>
      </c>
      <c r="F8" s="8" t="inlineStr">
        <is>
          <t>보유 자체가 투자, 절대 손절하지 말 것</t>
        </is>
      </c>
    </row>
    <row r="9">
      <c r="A9" s="9" t="inlineStr">
        <is>
          <t>용병 카드 (각성)</t>
        </is>
      </c>
      <c r="B9" s="9" t="inlineStr">
        <is>
          <t>O</t>
        </is>
      </c>
      <c r="C9" s="9" t="inlineStr">
        <is>
          <t>15%</t>
        </is>
      </c>
      <c r="D9" s="9" t="inlineStr">
        <is>
          <t>100,000G~300,000G</t>
        </is>
      </c>
      <c r="E9" s="9" t="inlineStr">
        <is>
          <t>각성석 가격 연동, 각성 시스템 패치 시 변동</t>
        </is>
      </c>
      <c r="F9" s="9" t="inlineStr">
        <is>
          <t>각성석 가격 하락기에 완성품 매수</t>
        </is>
      </c>
    </row>
    <row r="10">
      <c r="A10" s="8" t="inlineStr">
        <is>
          <t>장비 (일반)</t>
        </is>
      </c>
      <c r="B10" s="8" t="inlineStr">
        <is>
          <t>O</t>
        </is>
      </c>
      <c r="C10" s="8" t="inlineStr">
        <is>
          <t>3%</t>
        </is>
      </c>
      <c r="D10" s="8" t="inlineStr">
        <is>
          <t>100G~500G</t>
        </is>
      </c>
      <c r="E10" s="8" t="inlineStr">
        <is>
          <t>수요 거의 없음, NPC 판매가와 유사</t>
        </is>
      </c>
      <c r="F10" s="8" t="inlineStr">
        <is>
          <t>거래 비추, NPC 판매 권장</t>
        </is>
      </c>
    </row>
    <row r="11">
      <c r="A11" s="9" t="inlineStr">
        <is>
          <t>장비 (고급)</t>
        </is>
      </c>
      <c r="B11" s="9" t="inlineStr">
        <is>
          <t>O</t>
        </is>
      </c>
      <c r="C11" s="9" t="inlineStr">
        <is>
          <t>5%</t>
        </is>
      </c>
      <c r="D11" s="9" t="inlineStr">
        <is>
          <t>1,000G~5,000G</t>
        </is>
      </c>
      <c r="E11" s="9" t="inlineStr">
        <is>
          <t>옵션에 따라 10배 차이, 특정 세트 수요</t>
        </is>
      </c>
      <c r="F11" s="9" t="inlineStr">
        <is>
          <t>좋은 옵션 장비만 선별 매수</t>
        </is>
      </c>
    </row>
    <row r="12">
      <c r="A12" s="8" t="inlineStr">
        <is>
          <t>장비 (희귀)</t>
        </is>
      </c>
      <c r="B12" s="8" t="inlineStr">
        <is>
          <t>O</t>
        </is>
      </c>
      <c r="C12" s="8" t="inlineStr">
        <is>
          <t>8%</t>
        </is>
      </c>
      <c r="D12" s="8" t="inlineStr">
        <is>
          <t>5,000G~20,000G</t>
        </is>
      </c>
      <c r="E12" s="8" t="inlineStr">
        <is>
          <t>강화 단계별 가격 급변, 세트 효과 프리미엄</t>
        </is>
      </c>
      <c r="F12" s="8" t="inlineStr">
        <is>
          <t>강화 +7 이상은 별도 프리미엄 50%+</t>
        </is>
      </c>
    </row>
    <row r="13">
      <c r="A13" s="9" t="inlineStr">
        <is>
          <t>장비 (전설)</t>
        </is>
      </c>
      <c r="B13" s="9" t="inlineStr">
        <is>
          <t>O</t>
        </is>
      </c>
      <c r="C13" s="9" t="inlineStr">
        <is>
          <t>10%</t>
        </is>
      </c>
      <c r="D13" s="9" t="inlineStr">
        <is>
          <t>30,000G~100,000G</t>
        </is>
      </c>
      <c r="E13" s="9" t="inlineStr">
        <is>
          <t>최상위 콘텐츠 수요, 공성전 시즌 시 급등</t>
        </is>
      </c>
      <c r="F13" s="9" t="inlineStr">
        <is>
          <t>공성전 시즌 2주 전 매수 → 시즌 중 매도</t>
        </is>
      </c>
    </row>
    <row r="14">
      <c r="A14" s="8" t="inlineStr">
        <is>
          <t>장비 (신화)</t>
        </is>
      </c>
      <c r="B14" s="8" t="inlineStr">
        <is>
          <t>거래 불가</t>
        </is>
      </c>
      <c r="C14" s="8" t="inlineStr">
        <is>
          <t>—</t>
        </is>
      </c>
      <c r="D14" s="8" t="inlineStr">
        <is>
          <t>—</t>
        </is>
      </c>
      <c r="E14" s="8" t="inlineStr">
        <is>
          <t>—</t>
        </is>
      </c>
      <c r="F14" s="8" t="inlineStr">
        <is>
          <t>귀속 아이템, 직접 제작만 가능</t>
        </is>
      </c>
    </row>
    <row r="15">
      <c r="A15" s="9" t="inlineStr">
        <is>
          <t>각성석</t>
        </is>
      </c>
      <c r="B15" s="9" t="inlineStr">
        <is>
          <t>O</t>
        </is>
      </c>
      <c r="C15" s="9" t="inlineStr">
        <is>
          <t>5%</t>
        </is>
      </c>
      <c r="D15" s="9" t="inlineStr">
        <is>
          <t>5,000G</t>
        </is>
      </c>
      <c r="E15" s="9" t="inlineStr">
        <is>
          <t>각성 이벤트 시 수요 폭증, 심연의 탑 시즌 시 공급 증가</t>
        </is>
      </c>
      <c r="F15" s="9" t="inlineStr">
        <is>
          <t>이벤트 예고 직후 매수 → 이벤트 중반 매도</t>
        </is>
      </c>
    </row>
    <row r="16">
      <c r="A16" s="8" t="inlineStr">
        <is>
          <t>신화 재료 (용의 심장 등)</t>
        </is>
      </c>
      <c r="B16" s="8" t="inlineStr">
        <is>
          <t>O</t>
        </is>
      </c>
      <c r="C16" s="8" t="inlineStr">
        <is>
          <t>15%</t>
        </is>
      </c>
      <c r="D16" s="8" t="inlineStr">
        <is>
          <t>50,000G</t>
        </is>
      </c>
      <c r="E16" s="8" t="inlineStr">
        <is>
          <t>월드 보스 주기에 따라 공급 변동, 신화 업데이트 시 급등</t>
        </is>
      </c>
      <c r="F16" s="8" t="inlineStr">
        <is>
          <t>월드 보스 처치 직후가 최저가 매수 타이밍</t>
        </is>
      </c>
    </row>
    <row r="17">
      <c r="A17" s="9" t="inlineStr">
        <is>
          <t>강화석</t>
        </is>
      </c>
      <c r="B17" s="9" t="inlineStr">
        <is>
          <t>O</t>
        </is>
      </c>
      <c r="C17" s="9" t="inlineStr">
        <is>
          <t>3%</t>
        </is>
      </c>
      <c r="D17" s="9" t="inlineStr">
        <is>
          <t>200G~1,000G</t>
        </is>
      </c>
      <c r="E17" s="9" t="inlineStr">
        <is>
          <t>강화 이벤트 시 수요 급증, 평시 안정</t>
        </is>
      </c>
      <c r="F17" s="9" t="inlineStr">
        <is>
          <t>대량 매집 후 강화 이벤트 때 매도</t>
        </is>
      </c>
    </row>
    <row r="18">
      <c r="A18" s="8" t="inlineStr">
        <is>
          <t>제작 재료 (철광석/목재 등)</t>
        </is>
      </c>
      <c r="B18" s="8" t="inlineStr">
        <is>
          <t>O</t>
        </is>
      </c>
      <c r="C18" s="8" t="inlineStr">
        <is>
          <t>3%</t>
        </is>
      </c>
      <c r="D18" s="8" t="inlineStr">
        <is>
          <t>50G~500G</t>
        </is>
      </c>
      <c r="E18" s="8" t="inlineStr">
        <is>
          <t>시즌 초 수요 높음, 중반 이후 하락</t>
        </is>
      </c>
      <c r="F18" s="8" t="inlineStr">
        <is>
          <t>시즌 시작 1주일 전 매집</t>
        </is>
      </c>
    </row>
    <row r="19">
      <c r="A19" s="9" t="inlineStr">
        <is>
          <t>스킬 재추첨석</t>
        </is>
      </c>
      <c r="B19" s="9" t="inlineStr">
        <is>
          <t>O</t>
        </is>
      </c>
      <c r="C19" s="9" t="inlineStr">
        <is>
          <t>5%</t>
        </is>
      </c>
      <c r="D19" s="9" t="inlineStr">
        <is>
          <t>800G~1,500G</t>
        </is>
      </c>
      <c r="E19" s="9" t="inlineStr">
        <is>
          <t>밸런스 패치 직후 수요 폭증</t>
        </is>
      </c>
      <c r="F19" s="9" t="inlineStr">
        <is>
          <t>패치 노트 공개 즉시 매수</t>
        </is>
      </c>
    </row>
    <row r="20">
      <c r="A20" s="8" t="inlineStr">
        <is>
          <t>포획 몬스터 (일반)</t>
        </is>
      </c>
      <c r="B20" s="8" t="inlineStr">
        <is>
          <t>O</t>
        </is>
      </c>
      <c r="C20" s="8" t="inlineStr">
        <is>
          <t>5%</t>
        </is>
      </c>
      <c r="D20" s="8" t="inlineStr">
        <is>
          <t>300G~1,000G</t>
        </is>
      </c>
      <c r="E20" s="8" t="inlineStr">
        <is>
          <t>도감 수집 수요, 신규 몬스터 추가 시 변동</t>
        </is>
      </c>
      <c r="F20" s="8" t="inlineStr">
        <is>
          <t>도감 완성 이벤트 시 희귀종 가격 급등</t>
        </is>
      </c>
    </row>
    <row r="21">
      <c r="A21" s="9" t="inlineStr">
        <is>
          <t>포획 몬스터 (희귀)</t>
        </is>
      </c>
      <c r="B21" s="9" t="inlineStr">
        <is>
          <t>O</t>
        </is>
      </c>
      <c r="C21" s="9" t="inlineStr">
        <is>
          <t>10%</t>
        </is>
      </c>
      <c r="D21" s="9" t="inlineStr">
        <is>
          <t>5,000G~15,000G</t>
        </is>
      </c>
      <c r="E21" s="9" t="inlineStr">
        <is>
          <t>특수 스킬 보유 개체 프리미엄, 전투용 수요</t>
        </is>
      </c>
      <c r="F21" s="9" t="inlineStr">
        <is>
          <t>전투 성능 좋은 개체는 장기 보유 추천</t>
        </is>
      </c>
    </row>
    <row r="22">
      <c r="A22" s="8" t="inlineStr">
        <is>
          <t>포획 몬스터 (전설)</t>
        </is>
      </c>
      <c r="B22" s="8" t="inlineStr">
        <is>
          <t>O</t>
        </is>
      </c>
      <c r="C22" s="8" t="inlineStr">
        <is>
          <t>15%</t>
        </is>
      </c>
      <c r="D22" s="8" t="inlineStr">
        <is>
          <t>50,000G~150,000G</t>
        </is>
      </c>
      <c r="E22" s="8" t="inlineStr">
        <is>
          <t>극소량 유통, 수집가 수요</t>
        </is>
      </c>
      <c r="F22" s="8" t="inlineStr">
        <is>
          <t>공급 자체가 희소하여 가격 우상향</t>
        </is>
      </c>
    </row>
    <row r="23">
      <c r="A23" s="9" t="inlineStr">
        <is>
          <t>소비 아이템 (물약/보호석)</t>
        </is>
      </c>
      <c r="B23" s="9" t="inlineStr">
        <is>
          <t>O</t>
        </is>
      </c>
      <c r="C23" s="9" t="inlineStr">
        <is>
          <t>3%</t>
        </is>
      </c>
      <c r="D23" s="9" t="inlineStr">
        <is>
          <t>10G~2,000G</t>
        </is>
      </c>
      <c r="E23" s="9" t="inlineStr">
        <is>
          <t>공성전/레이드 시즌에 수요 급증, 평시 안정적</t>
        </is>
      </c>
      <c r="F23" s="9" t="inlineStr">
        <is>
          <t>대형 콘텐츠 시즌 전 대량 매집이 정석</t>
        </is>
      </c>
    </row>
  </sheetData>
  <mergeCells count="1">
    <mergeCell ref="A1:F1"/>
  </mergeCell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4" customWidth="1" min="1" max="1"/>
    <col width="14" customWidth="1" min="2" max="2"/>
    <col width="18" customWidth="1" min="3" max="3"/>
    <col width="35" customWidth="1" min="4" max="4"/>
    <col width="30" customWidth="1" min="5" max="5"/>
    <col width="30" customWidth="1" min="6" max="6"/>
    <col width="30" customWidth="1" min="7" max="7"/>
  </cols>
  <sheetData>
    <row r="1">
      <c r="A1" s="6" t="inlineStr">
        <is>
          <t>외교 시나리오 &amp; 정치 전략 15종</t>
        </is>
      </c>
    </row>
    <row r="3">
      <c r="A3" s="7" t="inlineStr">
        <is>
          <t>시나리오</t>
        </is>
      </c>
      <c r="B3" s="7" t="inlineStr">
        <is>
          <t>관련 시스템</t>
        </is>
      </c>
      <c r="C3" s="7" t="inlineStr">
        <is>
          <t>참가자</t>
        </is>
      </c>
      <c r="D3" s="7" t="inlineStr">
        <is>
          <t>전개 과정</t>
        </is>
      </c>
      <c r="E3" s="7" t="inlineStr">
        <is>
          <t>결과 A</t>
        </is>
      </c>
      <c r="F3" s="7" t="inlineStr">
        <is>
          <t>결과 B</t>
        </is>
      </c>
      <c r="G3" s="7" t="inlineStr">
        <is>
          <t>전략 팁</t>
        </is>
      </c>
    </row>
    <row r="4">
      <c r="A4" s="8" t="inlineStr">
        <is>
          <t>평화 동맹</t>
        </is>
      </c>
      <c r="B4" s="8" t="inlineStr">
        <is>
          <t>혈맹 외교</t>
        </is>
      </c>
      <c r="C4" s="8" t="inlineStr">
        <is>
          <t>혈맹 대표 2인</t>
        </is>
      </c>
      <c r="D4" s="8" t="inlineStr">
        <is>
          <t>양측 혈맹장이 외교 채널에서 평화 조약 체결 → 72시간 유예기간 → 정식 발효</t>
        </is>
      </c>
      <c r="E4" s="8" t="inlineStr">
        <is>
          <t>상호 불가침 성립, 영지 접경 지역 안전 확보, 무역로 개방</t>
        </is>
      </c>
      <c r="F4" s="8" t="inlineStr">
        <is>
          <t>한쪽이 조약 파기 시 배신자 디버프 24시간, 외교 신뢰도 -50</t>
        </is>
      </c>
      <c r="G4" s="8" t="inlineStr">
        <is>
          <t>약한 혈맹이 먼저 제안하면 약점 노출, 강한 쪽이 제안해야 유리</t>
        </is>
      </c>
    </row>
    <row r="5">
      <c r="A5" s="9" t="inlineStr">
        <is>
          <t>무역 동맹</t>
        </is>
      </c>
      <c r="B5" s="9" t="inlineStr">
        <is>
          <t>무역 시스템</t>
        </is>
      </c>
      <c r="C5" s="9" t="inlineStr">
        <is>
          <t>혈맹 대표 + 상인 NPC</t>
        </is>
      </c>
      <c r="D5" s="9" t="inlineStr">
        <is>
          <t>무역 동맹 협정서 작성 → 교역품 관세 인하 → 공동 무역로 개설</t>
        </is>
      </c>
      <c r="E5" s="9" t="inlineStr">
        <is>
          <t>양측 무역 수익 +20%, 희귀 재료 교환 가능</t>
        </is>
      </c>
      <c r="F5" s="9" t="inlineStr">
        <is>
          <t>동맹 파기 시 무역로 차단, 관세 200% 부과 (7일)</t>
        </is>
      </c>
      <c r="G5" s="9" t="inlineStr">
        <is>
          <t>경제력 비슷한 혈맹끼리 체결해야 착취 방지</t>
        </is>
      </c>
    </row>
    <row r="6">
      <c r="A6" s="8" t="inlineStr">
        <is>
          <t>군사 동맹</t>
        </is>
      </c>
      <c r="B6" s="8" t="inlineStr">
        <is>
          <t>공성전/혈맹전</t>
        </is>
      </c>
      <c r="C6" s="8" t="inlineStr">
        <is>
          <t>혈맹 대표 + 군사 참모</t>
        </is>
      </c>
      <c r="D6" s="8" t="inlineStr">
        <is>
          <t>군사 동맹 협정 → 공동 적 지정 → 합동 작전 수립 → 전쟁 참전</t>
        </is>
      </c>
      <c r="E6" s="8" t="inlineStr">
        <is>
          <t>합동 공성전 참여 가능, 전투력 합산, 승전 보상 분배</t>
        </is>
      </c>
      <c r="F6" s="8" t="inlineStr">
        <is>
          <t>동맹 배신 시 양측 모두 혈맹 명성 -100, 전쟁 배상금 발생</t>
        </is>
      </c>
      <c r="G6" s="8" t="inlineStr">
        <is>
          <t>3자 동맹까지 가능하나, 보상 분배 분쟁 주의</t>
        </is>
      </c>
    </row>
    <row r="7">
      <c r="A7" s="9" t="inlineStr">
        <is>
          <t>동맹 파기</t>
        </is>
      </c>
      <c r="B7" s="9" t="inlineStr">
        <is>
          <t>혈맹 외교</t>
        </is>
      </c>
      <c r="C7" s="9" t="inlineStr">
        <is>
          <t>배신 혈맹 + 피해 혈맹</t>
        </is>
      </c>
      <c r="D7" s="9" t="inlineStr">
        <is>
          <t>비밀리에 적 혈맹과 접촉 → 기습 공격 시점 합의 → 동맹 파기 선언 → 즉시 공격</t>
        </is>
      </c>
      <c r="E7" s="9" t="inlineStr">
        <is>
          <t>기습 성공 시 적 영지 2개 동시 확보, 막대한 전리품</t>
        </is>
      </c>
      <c r="F7" s="9" t="inlineStr">
        <is>
          <t>기습 실패 시 서버 전체 배신자 낙인, 모든 혈맹 적대화 위험</t>
        </is>
      </c>
      <c r="G7" s="9" t="inlineStr">
        <is>
          <t>배신 타이밍은 공성전 직전이 최적, 퇴로 확보 필수</t>
        </is>
      </c>
    </row>
    <row r="8">
      <c r="A8" s="8" t="inlineStr">
        <is>
          <t>이중 스파이</t>
        </is>
      </c>
      <c r="B8" s="8" t="inlineStr">
        <is>
          <t>혈맹 첩보</t>
        </is>
      </c>
      <c r="C8" s="8" t="inlineStr">
        <is>
          <t>스파이 요원 + 양쪽 혈맹</t>
        </is>
      </c>
      <c r="D8" s="8" t="inlineStr">
        <is>
          <t>적 혈맹에 첩자 가입 → 내부 정보 수집 → 아군에 전달 → 결정적 순간 배신</t>
        </is>
      </c>
      <c r="E8" s="8" t="inlineStr">
        <is>
          <t>적 혈맹 공성전 배치도 입수, 약점 파악 → 완벽 승리</t>
        </is>
      </c>
      <c r="F8" s="8" t="inlineStr">
        <is>
          <t>스파이 발각 시 즉시 추방 + 현상금 부착, 혈맹 간 전면전</t>
        </is>
      </c>
      <c r="G8" s="8" t="inlineStr">
        <is>
          <t>스파이는 2주 이상 잠복해야 신뢰 확보, 성급하면 실패</t>
        </is>
      </c>
    </row>
    <row r="9">
      <c r="A9" s="9" t="inlineStr">
        <is>
          <t>협공 밀약</t>
        </is>
      </c>
      <c r="B9" s="9" t="inlineStr">
        <is>
          <t>비밀 외교</t>
        </is>
      </c>
      <c r="C9" s="9" t="inlineStr">
        <is>
          <t>3개 혈맹 대표</t>
        </is>
      </c>
      <c r="D9" s="9" t="inlineStr">
        <is>
          <t>비밀 채널에서 표적 혈맹 지정 → 동시 공격 시간 합의 → 3면 협공 개시</t>
        </is>
      </c>
      <c r="E9" s="9" t="inlineStr">
        <is>
          <t>표적 혈맹 궤멸, 영지 3분할 점령, 서버 판도 변경</t>
        </is>
      </c>
      <c r="F9" s="9" t="inlineStr">
        <is>
          <t>밀약 누설 시 표적 혈맹이 선제 방어, 협공측 피해 극대화</t>
        </is>
      </c>
      <c r="G9" s="9" t="inlineStr">
        <is>
          <t>밀약 인원은 최소화, 채팅은 게임 외부 메신저 사용</t>
        </is>
      </c>
    </row>
    <row r="10">
      <c r="A10" s="8" t="inlineStr">
        <is>
          <t>세율 조정</t>
        </is>
      </c>
      <c r="B10" s="8" t="inlineStr">
        <is>
          <t>영지 관리</t>
        </is>
      </c>
      <c r="C10" s="8" t="inlineStr">
        <is>
          <t>영주 + 영지 주민</t>
        </is>
      </c>
      <c r="D10" s="8" t="inlineStr">
        <is>
          <t>영주가 세율 변경 공지 → 7일 후 적용 → 주민 반응 확인</t>
        </is>
      </c>
      <c r="E10" s="8" t="inlineStr">
        <is>
          <t>적정 세율(10~15%): 주민 만족, 안정적 수입, 인구 유지</t>
        </is>
      </c>
      <c r="F10" s="8" t="inlineStr">
        <is>
          <t>과도한 세율(30%+): 주민 이탈, 반란 게이지 상승, 영지 쇠퇴</t>
        </is>
      </c>
      <c r="G10" s="8" t="inlineStr">
        <is>
          <t>세율은 15%가 황금비율, 전쟁 시만 일시적 20% 허용</t>
        </is>
      </c>
    </row>
    <row r="11">
      <c r="A11" s="9" t="inlineStr">
        <is>
          <t>법령 발표</t>
        </is>
      </c>
      <c r="B11" s="9" t="inlineStr">
        <is>
          <t>영지 관리</t>
        </is>
      </c>
      <c r="C11" s="9" t="inlineStr">
        <is>
          <t>영주 + 의회</t>
        </is>
      </c>
      <c r="D11" s="9" t="inlineStr">
        <is>
          <t>영주가 법령 초안 작성 → 의회 투표 (과반수) → 법령 시행</t>
        </is>
      </c>
      <c r="E11" s="9" t="inlineStr">
        <is>
          <t>유익한 법령: 생산성 +10%, 치안 +20, 영주 지지율 상승</t>
        </is>
      </c>
      <c r="F11" s="9" t="inlineStr">
        <is>
          <t>악법 시행: 주민 불만 폭증, 반란 게이지 +30, 혈맹원 이탈</t>
        </is>
      </c>
      <c r="G11" s="9" t="inlineStr">
        <is>
          <t>의회 과반수 확보가 핵심, 반대파 회유에 골드 투자 필요</t>
        </is>
      </c>
    </row>
    <row r="12">
      <c r="A12" s="8" t="inlineStr">
        <is>
          <t>폭군 반란</t>
        </is>
      </c>
      <c r="B12" s="8" t="inlineStr">
        <is>
          <t>영지 관리</t>
        </is>
      </c>
      <c r="C12" s="8" t="inlineStr">
        <is>
          <t>반란군 + 폭군 영주</t>
        </is>
      </c>
      <c r="D12" s="8" t="inlineStr">
        <is>
          <t>폭군의 학정 → 주민 반란 게이지 100% → 반란군 봉기 → 영주성 공격</t>
        </is>
      </c>
      <c r="E12" s="8" t="inlineStr">
        <is>
          <t>반란 성공: 새 영주 선출, 영지 재건 이벤트, 보상 지급</t>
        </is>
      </c>
      <c r="F12" s="8" t="inlineStr">
        <is>
          <t>반란 실패: 반란군 전원 투옥 7일, 재산 50% 몰수</t>
        </is>
      </c>
      <c r="G12" s="8" t="inlineStr">
        <is>
          <t>반란은 외부 혈맹 지원 확보 후 시도, 단독은 자살행위</t>
        </is>
      </c>
    </row>
    <row r="13">
      <c r="A13" s="9" t="inlineStr">
        <is>
          <t>진영 전쟁 동맹</t>
        </is>
      </c>
      <c r="B13" s="9" t="inlineStr">
        <is>
          <t>진영 시스템</t>
        </is>
      </c>
      <c r="C13" s="9" t="inlineStr">
        <is>
          <t>진영 대표 + 동맹 진영</t>
        </is>
      </c>
      <c r="D13" s="9" t="inlineStr">
        <is>
          <t>적대 진영 위협 증가 → 동맹 진영과 협상 → 전쟁 동맹 체결</t>
        </is>
      </c>
      <c r="E13" s="9" t="inlineStr">
        <is>
          <t>연합군 구성, 적 진영 거점 공략 가능, 전쟁 보상 1.5배</t>
        </is>
      </c>
      <c r="F13" s="9" t="inlineStr">
        <is>
          <t>동맹 진영이 무임승차 시 내부 갈등, 보상 분배 분쟁</t>
        </is>
      </c>
      <c r="G13" s="9" t="inlineStr">
        <is>
          <t>동맹 전 전공 분배 비율 확정 필수, 서면 합의 권장</t>
        </is>
      </c>
    </row>
    <row r="14">
      <c r="A14" s="8" t="inlineStr">
        <is>
          <t>중립 선언</t>
        </is>
      </c>
      <c r="B14" s="8" t="inlineStr">
        <is>
          <t>진영 시스템</t>
        </is>
      </c>
      <c r="C14" s="8" t="inlineStr">
        <is>
          <t>탈퇴 혈맹 대표</t>
        </is>
      </c>
      <c r="D14" s="8" t="inlineStr">
        <is>
          <t>진영 탈퇴 선언 → 14일 중립 전환 기간 → 어느 진영에도 불속</t>
        </is>
      </c>
      <c r="E14" s="8" t="inlineStr">
        <is>
          <t>중립 세력으로서 양쪽과 무역 가능, 전쟁 불참, 자유로운 활동</t>
        </is>
      </c>
      <c r="F14" s="8" t="inlineStr">
        <is>
          <t>진영 버프 상실, 진영 콘텐츠 접근 불가, 외교적 고립 위험</t>
        </is>
      </c>
      <c r="G14" s="8" t="inlineStr">
        <is>
          <t>경제 특화 혈맹에게 최적, 전투 혈맹은 중립 비추천</t>
        </is>
      </c>
    </row>
    <row r="15">
      <c r="A15" s="9" t="inlineStr">
        <is>
          <t>진영 전환</t>
        </is>
      </c>
      <c r="B15" s="9" t="inlineStr">
        <is>
          <t>진영 시스템</t>
        </is>
      </c>
      <c r="C15" s="9" t="inlineStr">
        <is>
          <t>전환 희망 혈맹</t>
        </is>
      </c>
      <c r="D15" s="9" t="inlineStr">
        <is>
          <t>현 진영 탈퇴 → 30일 쿨다운 → 새 진영 가입 신청 → 심사</t>
        </is>
      </c>
      <c r="E15" s="9" t="inlineStr">
        <is>
          <t>새 진영 합류 성공, 새로운 동맹 관계, 전략적 위치 변경</t>
        </is>
      </c>
      <c r="F15" s="9" t="inlineStr">
        <is>
          <t>기존 진영에서 배신자 취급, 현상금 부착, 30일간 양쪽 적대</t>
        </is>
      </c>
      <c r="G15" s="9" t="inlineStr">
        <is>
          <t>진영 전환은 서버 판도를 뒤집는 초대형 이벤트, 신중히 결정</t>
        </is>
      </c>
    </row>
    <row r="16">
      <c r="A16" s="8" t="inlineStr">
        <is>
          <t>매점매석</t>
        </is>
      </c>
      <c r="B16" s="8" t="inlineStr">
        <is>
          <t>경매장/무역</t>
        </is>
      </c>
      <c r="C16" s="8" t="inlineStr">
        <is>
          <t>경제 혈맹 + 자본가</t>
        </is>
      </c>
      <c r="D16" s="8" t="inlineStr">
        <is>
          <t>핵심 재료 대량 매수 → 시장 품귀 유도 → 가격 폭등 시 매도</t>
        </is>
      </c>
      <c r="E16" s="8" t="inlineStr">
        <is>
          <t>매점 성공: 투자금 300~500% 수익, 적 혈맹 전비 압박</t>
        </is>
      </c>
      <c r="F16" s="8" t="inlineStr">
        <is>
          <t>시장 개입(운영진 물량 방출) 또는 대체재 등장 시 대폭 손실</t>
        </is>
      </c>
      <c r="G16" s="8" t="inlineStr">
        <is>
          <t>단일 재료보다 관련 재료 동시 매점이 효과적, 자본 50만G+</t>
        </is>
      </c>
    </row>
    <row r="17">
      <c r="A17" s="9" t="inlineStr">
        <is>
          <t>가격 담합</t>
        </is>
      </c>
      <c r="B17" s="9" t="inlineStr">
        <is>
          <t>경매장</t>
        </is>
      </c>
      <c r="C17" s="9" t="inlineStr">
        <is>
          <t>3개 이상 대형 혈맹</t>
        </is>
      </c>
      <c r="D17" s="9" t="inlineStr">
        <is>
          <t>주요 아이템 최저가 합의 → 담합가 이하 매물 즉시 매수 → 가격 유지</t>
        </is>
      </c>
      <c r="E17" s="9" t="inlineStr">
        <is>
          <t>담합 성공: 참여 혈맹 모두 안정적 고수익, 시장 지배</t>
        </is>
      </c>
      <c r="F17" s="9" t="inlineStr">
        <is>
          <t>담합 깨짐: 이탈 혈맹 혼자 저가 판매로 이익 독점, 나머지 손해</t>
        </is>
      </c>
      <c r="G17" s="9" t="inlineStr">
        <is>
          <t>담합 인원 4개 이하, 신뢰할 수 있는 혈맹만 참여시킬 것</t>
        </is>
      </c>
    </row>
    <row r="18">
      <c r="A18" s="8" t="inlineStr">
        <is>
          <t>무역 봉쇄</t>
        </is>
      </c>
      <c r="B18" s="8" t="inlineStr">
        <is>
          <t>무역/외교</t>
        </is>
      </c>
      <c r="C18" s="8" t="inlineStr">
        <is>
          <t>해상 혈맹 + 해적 동맹</t>
        </is>
      </c>
      <c r="D18" s="8" t="inlineStr">
        <is>
          <t>적 혈맹 무역로 해상 거점 장악 → 무역선 약탈 → 교역 차단</t>
        </is>
      </c>
      <c r="E18" s="8" t="inlineStr">
        <is>
          <t>봉쇄 성공: 적 혈맹 무역 수입 80% 감소, 경제 마비</t>
        </is>
      </c>
      <c r="F18" s="8" t="inlineStr">
        <is>
          <t>적 혈맹 해군 반격 시 해상 거점 상실, 봉쇄 와해</t>
        </is>
      </c>
      <c r="G18" s="8" t="inlineStr">
        <is>
          <t>해상 전력 우위 확보 필수, 봉쇄 유지비 주당 10,000G</t>
        </is>
      </c>
    </row>
  </sheetData>
  <mergeCells count="1">
    <mergeCell ref="A1:G1"/>
  </mergeCell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6" customWidth="1" min="1" max="1"/>
    <col width="22" customWidth="1" min="2" max="2"/>
    <col width="22" customWidth="1" min="3" max="3"/>
    <col width="14" customWidth="1" min="4" max="4"/>
    <col width="26" customWidth="1" min="5" max="5"/>
    <col width="18" customWidth="1" min="6" max="6"/>
    <col width="30" customWidth="1" min="7" max="7"/>
    <col width="30" customWidth="1" min="8" max="8"/>
  </cols>
  <sheetData>
    <row r="1">
      <c r="A1" s="6" t="inlineStr">
        <is>
          <t>펫 시스템 상세 10종</t>
        </is>
      </c>
    </row>
    <row r="3">
      <c r="A3" s="7" t="inlineStr">
        <is>
          <t>펫</t>
        </is>
      </c>
      <c r="B3" s="7" t="inlineStr">
        <is>
          <t>획득 방법</t>
        </is>
      </c>
      <c r="C3" s="7" t="inlineStr">
        <is>
          <t>기본 능력</t>
        </is>
      </c>
      <c r="D3" s="7" t="inlineStr">
        <is>
          <t>Lv10 진화</t>
        </is>
      </c>
      <c r="E3" s="7" t="inlineStr">
        <is>
          <t>진화 능력</t>
        </is>
      </c>
      <c r="F3" s="7" t="inlineStr">
        <is>
          <t>먹이</t>
        </is>
      </c>
      <c r="G3" s="7" t="inlineStr">
        <is>
          <t>호감도 MAX 보너스</t>
        </is>
      </c>
      <c r="H3" s="7" t="inlineStr">
        <is>
          <t>IO 동반 효과</t>
        </is>
      </c>
    </row>
    <row r="4">
      <c r="A4" s="8" t="inlineStr">
        <is>
          <t>강아지 🐕</t>
        </is>
      </c>
      <c r="B4" s="8" t="inlineStr">
        <is>
          <t>초보 퀘스트 완료 보상</t>
        </is>
      </c>
      <c r="C4" s="8" t="inlineStr">
        <is>
          <t>아이템 자동 수집 (반경 3m)</t>
        </is>
      </c>
      <c r="D4" s="8" t="inlineStr">
        <is>
          <t>충견</t>
        </is>
      </c>
      <c r="E4" s="8" t="inlineStr">
        <is>
          <t>수집 반경 6m + 희귀 아이템 감지</t>
        </is>
      </c>
      <c r="F4" s="8" t="inlineStr">
        <is>
          <t>고기, 뼈다귀</t>
        </is>
      </c>
      <c r="G4" s="8" t="inlineStr">
        <is>
          <t>주인 피격 시 30% 확률 대신 맞기 (데미지 50% 감소)</t>
        </is>
      </c>
      <c r="H4" s="8" t="inlineStr">
        <is>
          <t>처치 시 드롭 아이템 자동 흡수 + 골드 +3%</t>
        </is>
      </c>
    </row>
    <row r="5">
      <c r="A5" s="9" t="inlineStr">
        <is>
          <t>고양이 🐈</t>
        </is>
      </c>
      <c r="B5" s="9" t="inlineStr">
        <is>
          <t>마을 NPC 호감도 3단계 달성</t>
        </is>
      </c>
      <c r="C5" s="9" t="inlineStr">
        <is>
          <t>골드 획득 +5%</t>
        </is>
      </c>
      <c r="D5" s="9" t="inlineStr">
        <is>
          <t>요정 고양이</t>
        </is>
      </c>
      <c r="E5" s="9" t="inlineStr">
        <is>
          <t>골드 +12% + 상점 할인 5%</t>
        </is>
      </c>
      <c r="F5" s="9" t="inlineStr">
        <is>
          <t>생선, 우유</t>
        </is>
      </c>
      <c r="G5" s="9" t="inlineStr">
        <is>
          <t>행운 +10, 가챠 확률 미세 상승</t>
        </is>
      </c>
      <c r="H5" s="9" t="inlineStr">
        <is>
          <t>처치 시 골드 드롭 2배 확률 +15%</t>
        </is>
      </c>
    </row>
    <row r="6">
      <c r="A6" s="8" t="inlineStr">
        <is>
          <t>아기 드래곤 🐲</t>
        </is>
      </c>
      <c r="B6" s="8" t="inlineStr">
        <is>
          <t>심연의 탑 30층 클리어</t>
        </is>
      </c>
      <c r="C6" s="8" t="inlineStr">
        <is>
          <t>화염 공격 보조 (ATK의 10%)</t>
        </is>
      </c>
      <c r="D6" s="8" t="inlineStr">
        <is>
          <t>화염룡</t>
        </is>
      </c>
      <c r="E6" s="8" t="inlineStr">
        <is>
          <t>화염 공격 ATK의 25% + 범위 공격</t>
        </is>
      </c>
      <c r="F6" s="8" t="inlineStr">
        <is>
          <t>용의 보석, 화염 광석</t>
        </is>
      </c>
      <c r="G6" s="8" t="inlineStr">
        <is>
          <t>드래곤 브레스 스킬 해금 (쿨 60초)</t>
        </is>
      </c>
      <c r="H6" s="8" t="inlineStr">
        <is>
          <t>주변 적에게 지속 화상 데미지 (초당 2%)</t>
        </is>
      </c>
    </row>
    <row r="7">
      <c r="A7" s="9" t="inlineStr">
        <is>
          <t>슬라임 🟢</t>
        </is>
      </c>
      <c r="B7" s="9" t="inlineStr">
        <is>
          <t>필드 포획 (출현율 15%)</t>
        </is>
      </c>
      <c r="C7" s="9" t="inlineStr">
        <is>
          <t>HP 재생 +3/초</t>
        </is>
      </c>
      <c r="D7" s="9" t="inlineStr">
        <is>
          <t>킹 슬라임</t>
        </is>
      </c>
      <c r="E7" s="9" t="inlineStr">
        <is>
          <t>HP 재생 +8/초 + 받는 데미지 5% 감소</t>
        </is>
      </c>
      <c r="F7" s="9" t="inlineStr">
        <is>
          <t>마나 결정, 젤리</t>
        </is>
      </c>
      <c r="G7" s="9" t="inlineStr">
        <is>
          <t>최대 HP +15%</t>
        </is>
      </c>
      <c r="H7" s="9" t="inlineStr">
        <is>
          <t>피격 시 슬라임 분열 (미니 슬라임 3마리 소환, 10초)</t>
        </is>
      </c>
    </row>
    <row r="8">
      <c r="A8" s="8" t="inlineStr">
        <is>
          <t>정령 ✨</t>
        </is>
      </c>
      <c r="B8" s="8" t="inlineStr">
        <is>
          <t>마법 연구소 Lv3 건설 시 획득</t>
        </is>
      </c>
      <c r="C8" s="8" t="inlineStr">
        <is>
          <t>경험치 +10%</t>
        </is>
      </c>
      <c r="D8" s="8" t="inlineStr">
        <is>
          <t>대정령</t>
        </is>
      </c>
      <c r="E8" s="8" t="inlineStr">
        <is>
          <t>경험치 +20% + 스킬 쿨타임 -5%</t>
        </is>
      </c>
      <c r="F8" s="8" t="inlineStr">
        <is>
          <t>마나 에센스, 별의 조각</t>
        </is>
      </c>
      <c r="G8" s="8" t="inlineStr">
        <is>
          <t>모든 스킬 레벨 +1</t>
        </is>
      </c>
      <c r="H8" s="8" t="inlineStr">
        <is>
          <t>처치 시 경험치 +25% + 스킬 쿨타임 즉시 1초 감소</t>
        </is>
      </c>
    </row>
    <row r="9">
      <c r="A9" s="9" t="inlineStr">
        <is>
          <t>부엉이 🦉</t>
        </is>
      </c>
      <c r="B9" s="9" t="inlineStr">
        <is>
          <t>야간 이벤트 "달빛 사냥" 클리어</t>
        </is>
      </c>
      <c r="C9" s="9" t="inlineStr">
        <is>
          <t>시야 범위 +30%</t>
        </is>
      </c>
      <c r="D9" s="9" t="inlineStr">
        <is>
          <t>현자 부엉이</t>
        </is>
      </c>
      <c r="E9" s="9" t="inlineStr">
        <is>
          <t>시야 +50% + 은신 유닛 감지</t>
        </is>
      </c>
      <c r="F9" s="9" t="inlineStr">
        <is>
          <t>쥐, 벌레</t>
        </is>
      </c>
      <c r="G9" s="9" t="inlineStr">
        <is>
          <t>미니맵에 희귀 몬스터 위치 표시</t>
        </is>
      </c>
      <c r="H9" s="9" t="inlineStr">
        <is>
          <t>은신 적 자동 탐지 + 시야 밖 적 접근 시 경고</t>
        </is>
      </c>
    </row>
    <row r="10">
      <c r="A10" s="8" t="inlineStr">
        <is>
          <t>늑대 🐺</t>
        </is>
      </c>
      <c r="B10" s="8" t="inlineStr">
        <is>
          <t>PvP 아레나 실버 등급 달성</t>
        </is>
      </c>
      <c r="C10" s="8" t="inlineStr">
        <is>
          <t>ATK +5%</t>
        </is>
      </c>
      <c r="D10" s="8" t="inlineStr">
        <is>
          <t>알파 늑대</t>
        </is>
      </c>
      <c r="E10" s="8" t="inlineStr">
        <is>
          <t>ATK +12% + 치명타 확률 +5%</t>
        </is>
      </c>
      <c r="F10" s="8" t="inlineStr">
        <is>
          <t>날고기, 가죽</t>
        </is>
      </c>
      <c r="G10" s="8" t="inlineStr">
        <is>
          <t>늑대 울음 (주변 아군 ATK +5%, 10초, 쿨 90초)</t>
        </is>
      </c>
      <c r="H10" s="8" t="inlineStr">
        <is>
          <t>처치 연속 콤보 시 ATK 누적 +2% (최대 10%)</t>
        </is>
      </c>
    </row>
    <row r="11">
      <c r="A11" s="9" t="inlineStr">
        <is>
          <t>토끼 🐰</t>
        </is>
      </c>
      <c r="B11" s="9" t="inlineStr">
        <is>
          <t>봄 시즌 이벤트 한정 획득</t>
        </is>
      </c>
      <c r="C11" s="9" t="inlineStr">
        <is>
          <t>이동속도 +8%</t>
        </is>
      </c>
      <c r="D11" s="9" t="inlineStr">
        <is>
          <t>달빛 토끼</t>
        </is>
      </c>
      <c r="E11" s="9" t="inlineStr">
        <is>
          <t>이동속도 +15% + 회피율 +5%</t>
        </is>
      </c>
      <c r="F11" s="9" t="inlineStr">
        <is>
          <t>당근, 풀</t>
        </is>
      </c>
      <c r="G11" s="9" t="inlineStr">
        <is>
          <t>긴급 회피 스킬 해금 (쿨 30초, 무적 1초)</t>
        </is>
      </c>
      <c r="H11" s="9" t="inlineStr">
        <is>
          <t>이동속도 +12% + 대시 시 잔상 생성 (적 혼란)</t>
        </is>
      </c>
    </row>
    <row r="12">
      <c r="A12" s="8" t="inlineStr">
        <is>
          <t>해골 💀</t>
        </is>
      </c>
      <c r="B12" s="8" t="inlineStr">
        <is>
          <t>심연의 탑 60층 클리어</t>
        </is>
      </c>
      <c r="C12" s="8" t="inlineStr">
        <is>
          <t>소환수 +1체</t>
        </is>
      </c>
      <c r="D12" s="8" t="inlineStr">
        <is>
          <t>해골왕</t>
        </is>
      </c>
      <c r="E12" s="8" t="inlineStr">
        <is>
          <t>소환수 +2체 + 소환수 ATK +20%</t>
        </is>
      </c>
      <c r="F12" s="8" t="inlineStr">
        <is>
          <t>뼈 조각, 저주의 가루</t>
        </is>
      </c>
      <c r="G12" s="8" t="inlineStr">
        <is>
          <t>사망한 적을 해골 병사로 부활 (30초간, 쿨 120초)</t>
        </is>
      </c>
      <c r="H12" s="8" t="inlineStr">
        <is>
          <t>처치한 적이 5초간 아군 해골로 부활하여 전투</t>
        </is>
      </c>
    </row>
    <row r="13">
      <c r="A13" s="9" t="inlineStr">
        <is>
          <t>피닉스 새끼 🔥</t>
        </is>
      </c>
      <c r="B13" s="9" t="inlineStr">
        <is>
          <t>월드 보스 "화염 피닉스" 처치 시 0.5% 확률</t>
        </is>
      </c>
      <c r="C13" s="9" t="inlineStr">
        <is>
          <t>사망 시 HP 10%로 부활 (1회/10분)</t>
        </is>
      </c>
      <c r="D13" s="9" t="inlineStr">
        <is>
          <t>불사조</t>
        </is>
      </c>
      <c r="E13" s="9" t="inlineStr">
        <is>
          <t>부활 시 HP 30% + 부활 후 5초 무적</t>
        </is>
      </c>
      <c r="F13" s="9" t="inlineStr">
        <is>
          <t>불꽃 깃털, 화염 열매</t>
        </is>
      </c>
      <c r="G13" s="9" t="inlineStr">
        <is>
          <t>부활 횟수 2회로 증가 + 부활 시 주변 적 화상</t>
        </is>
      </c>
      <c r="H13" s="9" t="inlineStr">
        <is>
          <t>사망 시 HP 25% 부활 + 폭발 (주변 적 HP 15% 데미지)</t>
        </is>
      </c>
    </row>
  </sheetData>
  <mergeCells count="1">
    <mergeCell ref="A1:H1"/>
  </mergeCell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4" customWidth="1" min="1" max="1"/>
    <col width="32" customWidth="1" min="2" max="2"/>
    <col width="22" customWidth="1" min="3" max="3"/>
    <col width="28" customWidth="1" min="4" max="4"/>
    <col width="26" customWidth="1" min="5" max="5"/>
    <col width="32" customWidth="1" min="6" max="6"/>
    <col width="20" customWidth="1" min="7" max="7"/>
  </cols>
  <sheetData>
    <row r="1">
      <c r="A1" s="6" t="inlineStr">
        <is>
          <t>환생 &amp; 전생 시스템 10단계</t>
        </is>
      </c>
    </row>
    <row r="3">
      <c r="A3" s="7" t="inlineStr">
        <is>
          <t>환생 횟수</t>
        </is>
      </c>
      <c r="B3" s="7" t="inlineStr">
        <is>
          <t>필요 조건</t>
        </is>
      </c>
      <c r="C3" s="7" t="inlineStr">
        <is>
          <t>리셋 내용</t>
        </is>
      </c>
      <c r="D3" s="7" t="inlineStr">
        <is>
          <t>유지 내용</t>
        </is>
      </c>
      <c r="E3" s="7" t="inlineStr">
        <is>
          <t>영구 보너스</t>
        </is>
      </c>
      <c r="F3" s="7" t="inlineStr">
        <is>
          <t>특수 해금</t>
        </is>
      </c>
      <c r="G3" s="7" t="inlineStr">
        <is>
          <t>총 보너스 누적</t>
        </is>
      </c>
    </row>
    <row r="4">
      <c r="A4" s="8" t="inlineStr">
        <is>
          <t>1회</t>
        </is>
      </c>
      <c r="B4" s="8" t="inlineStr">
        <is>
          <t>Lv50 달성</t>
        </is>
      </c>
      <c r="C4" s="8" t="inlineStr">
        <is>
          <t>레벨, 장비, 일반 재화</t>
        </is>
      </c>
      <c r="D4" s="8" t="inlineStr">
        <is>
          <t>용병, 성, 업적, 칭호, 펫</t>
        </is>
      </c>
      <c r="E4" s="8" t="inlineStr">
        <is>
          <t>전 스탯 +2%</t>
        </is>
      </c>
      <c r="F4" s="8" t="inlineStr">
        <is>
          <t>칭호 "환생자", 환생 전용 상점 오픈</t>
        </is>
      </c>
      <c r="G4" s="8" t="inlineStr">
        <is>
          <t>+2%</t>
        </is>
      </c>
    </row>
    <row r="5">
      <c r="A5" s="9" t="inlineStr">
        <is>
          <t>2회</t>
        </is>
      </c>
      <c r="B5" s="9" t="inlineStr">
        <is>
          <t>Lv50 + 전투력 5,000</t>
        </is>
      </c>
      <c r="C5" s="9" t="inlineStr">
        <is>
          <t>레벨, 장비, 일반 재화</t>
        </is>
      </c>
      <c r="D5" s="9" t="inlineStr">
        <is>
          <t>용병, 성, 업적, 칭호, 펫, 1회 해금</t>
        </is>
      </c>
      <c r="E5" s="9" t="inlineStr">
        <is>
          <t>전 스탯 +2%</t>
        </is>
      </c>
      <c r="F5" s="9" t="inlineStr">
        <is>
          <t>환생 전용 무기 1종 선택</t>
        </is>
      </c>
      <c r="G5" s="9" t="inlineStr">
        <is>
          <t>+4%</t>
        </is>
      </c>
    </row>
    <row r="6">
      <c r="A6" s="8" t="inlineStr">
        <is>
          <t>3회</t>
        </is>
      </c>
      <c r="B6" s="8" t="inlineStr">
        <is>
          <t>Lv50 + 전투력 8,000 + 심연의 탑 20층</t>
        </is>
      </c>
      <c r="C6" s="8" t="inlineStr">
        <is>
          <t>레벨, 장비, 일반 재화</t>
        </is>
      </c>
      <c r="D6" s="8" t="inlineStr">
        <is>
          <t>용병, 성, 업적, 칭호, 펫, 이전 해금</t>
        </is>
      </c>
      <c r="E6" s="8" t="inlineStr">
        <is>
          <t>전 스탯 +2% + 경험치 획득 +5%</t>
        </is>
      </c>
      <c r="F6" s="8" t="inlineStr">
        <is>
          <t>2번째 특성 슬롯 해금</t>
        </is>
      </c>
      <c r="G6" s="8" t="inlineStr">
        <is>
          <t>+6% (경험치+5%)</t>
        </is>
      </c>
    </row>
    <row r="7">
      <c r="A7" s="9" t="inlineStr">
        <is>
          <t>4회</t>
        </is>
      </c>
      <c r="B7" s="9" t="inlineStr">
        <is>
          <t>Lv50 + 전투력 12,000 + PvP 골드 등급</t>
        </is>
      </c>
      <c r="C7" s="9" t="inlineStr">
        <is>
          <t>레벨, 장비, 일반 재화</t>
        </is>
      </c>
      <c r="D7" s="9" t="inlineStr">
        <is>
          <t>용병, 성, 업적, 칭호, 펫, 이전 해금</t>
        </is>
      </c>
      <c r="E7" s="9" t="inlineStr">
        <is>
          <t>전 스탯 +2% + 골드 획득 +5%</t>
        </is>
      </c>
      <c r="F7" s="9" t="inlineStr">
        <is>
          <t>환생 전용 펫 "혼령" 획득</t>
        </is>
      </c>
      <c r="G7" s="9" t="inlineStr">
        <is>
          <t>+8% (경험치+5%, 골드+5%)</t>
        </is>
      </c>
    </row>
    <row r="8">
      <c r="A8" s="8" t="inlineStr">
        <is>
          <t>5회</t>
        </is>
      </c>
      <c r="B8" s="8" t="inlineStr">
        <is>
          <t>Lv50 + 전투력 18,000 + 심연의 탑 40층</t>
        </is>
      </c>
      <c r="C8" s="8" t="inlineStr">
        <is>
          <t>레벨, 장비, 일반 재화</t>
        </is>
      </c>
      <c r="D8" s="8" t="inlineStr">
        <is>
          <t>용병, 성, 업적, 칭호, 펫, 이전 해금</t>
        </is>
      </c>
      <c r="E8" s="8" t="inlineStr">
        <is>
          <t>전 스탯 +3% + 치명타 +3%</t>
        </is>
      </c>
      <c r="F8" s="8" t="inlineStr">
        <is>
          <t>3번째 특성 슬롯 해금 + 전생 기억 스킬 1개</t>
        </is>
      </c>
      <c r="G8" s="8" t="inlineStr">
        <is>
          <t>+11% (치명타+3%)</t>
        </is>
      </c>
    </row>
    <row r="9">
      <c r="A9" s="9" t="inlineStr">
        <is>
          <t>6회</t>
        </is>
      </c>
      <c r="B9" s="9" t="inlineStr">
        <is>
          <t>Lv50 + 전투력 25,000 + 공성전 1회 승리</t>
        </is>
      </c>
      <c r="C9" s="9" t="inlineStr">
        <is>
          <t>레벨, 장비, 일반 재화</t>
        </is>
      </c>
      <c r="D9" s="9" t="inlineStr">
        <is>
          <t>용병, 성, 업적, 칭호, 펫, 이전 해금</t>
        </is>
      </c>
      <c r="E9" s="9" t="inlineStr">
        <is>
          <t>전 스탯 +3% + HP +5%</t>
        </is>
      </c>
      <c r="F9" s="9" t="inlineStr">
        <is>
          <t>환생 전용 방어구 세트 선택</t>
        </is>
      </c>
      <c r="G9" s="9" t="inlineStr">
        <is>
          <t>+14% (HP+5%)</t>
        </is>
      </c>
    </row>
    <row r="10">
      <c r="A10" s="8" t="inlineStr">
        <is>
          <t>7회</t>
        </is>
      </c>
      <c r="B10" s="8" t="inlineStr">
        <is>
          <t>Lv50 + 전투력 35,000 + 월드 보스 처치</t>
        </is>
      </c>
      <c r="C10" s="8" t="inlineStr">
        <is>
          <t>레벨, 장비, 일반 재화</t>
        </is>
      </c>
      <c r="D10" s="8" t="inlineStr">
        <is>
          <t>용병, 성, 업적, 칭호, 펫, 이전 해금</t>
        </is>
      </c>
      <c r="E10" s="8" t="inlineStr">
        <is>
          <t>전 스탯 +3% + 스킬 쿨타임 -5%</t>
        </is>
      </c>
      <c r="F10" s="8" t="inlineStr">
        <is>
          <t>4번째 특성 슬롯 해금 + 외형 변환 "전생의 기운"</t>
        </is>
      </c>
      <c r="G10" s="8" t="inlineStr">
        <is>
          <t>+17% (쿨타임-5%)</t>
        </is>
      </c>
    </row>
    <row r="11">
      <c r="A11" s="9" t="inlineStr">
        <is>
          <t>8회</t>
        </is>
      </c>
      <c r="B11" s="9" t="inlineStr">
        <is>
          <t>Lv50 + 전투력 50,000 + 심연의 탑 70층</t>
        </is>
      </c>
      <c r="C11" s="9" t="inlineStr">
        <is>
          <t>레벨, 장비, 일반 재화</t>
        </is>
      </c>
      <c r="D11" s="9" t="inlineStr">
        <is>
          <t>용병, 성, 업적, 칭호, 펫, 이전 해금</t>
        </is>
      </c>
      <c r="E11" s="9" t="inlineStr">
        <is>
          <t>전 스탯 +3% + 모든 저항 +5%</t>
        </is>
      </c>
      <c r="F11" s="9" t="inlineStr">
        <is>
          <t>전생 궁극기 1개 선택 (고유 스킬)</t>
        </is>
      </c>
      <c r="G11" s="9" t="inlineStr">
        <is>
          <t>+20% (저항+5%)</t>
        </is>
      </c>
    </row>
    <row r="12">
      <c r="A12" s="8" t="inlineStr">
        <is>
          <t>9회</t>
        </is>
      </c>
      <c r="B12" s="8" t="inlineStr">
        <is>
          <t>Lv50 + 전투력 70,000 + PvP 다이아 등급</t>
        </is>
      </c>
      <c r="C12" s="8" t="inlineStr">
        <is>
          <t>레벨, 장비, 일반 재화</t>
        </is>
      </c>
      <c r="D12" s="8" t="inlineStr">
        <is>
          <t>용병, 성, 업적, 칭호, 펫, 이전 해금</t>
        </is>
      </c>
      <c r="E12" s="8" t="inlineStr">
        <is>
          <t>전 스탯 +3% + 드롭률 +10%</t>
        </is>
      </c>
      <c r="F12" s="8" t="inlineStr">
        <is>
          <t>칭호 "전생의 현자" + 전생 오라 이펙트</t>
        </is>
      </c>
      <c r="G12" s="8" t="inlineStr">
        <is>
          <t>+23% (드롭률+10%)</t>
        </is>
      </c>
    </row>
    <row r="13">
      <c r="A13" s="9" t="inlineStr">
        <is>
          <t>10회 (최종)</t>
        </is>
      </c>
      <c r="B13" s="9" t="inlineStr">
        <is>
          <t>Lv50 + 전투력 100,000 + 심연의 탑 100층 + 모든 월드 보스 처치</t>
        </is>
      </c>
      <c r="C13" s="9" t="inlineStr">
        <is>
          <t>레벨, 장비, 일반 재화</t>
        </is>
      </c>
      <c r="D13" s="9" t="inlineStr">
        <is>
          <t>용병, 성, 업적, 칭호, 펫, 이전 해금 전부</t>
        </is>
      </c>
      <c r="E13" s="9" t="inlineStr">
        <is>
          <t>전 스탯 +2% (총 +25%)</t>
        </is>
      </c>
      <c r="F13" s="9" t="inlineStr">
        <is>
          <t>전설 칭호 "전생의 지배자" + 고유 날개 + 전생 최종 스킬 + 서버 공지</t>
        </is>
      </c>
      <c r="G13" s="9" t="inlineStr">
        <is>
          <t>+25% (최종 누적)</t>
        </is>
      </c>
    </row>
  </sheetData>
  <mergeCells count="1">
    <mergeCell ref="A1:G1"/>
  </mergeCell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8" customWidth="1" min="1" max="1"/>
    <col width="26" customWidth="1" min="2" max="2"/>
    <col width="20" customWidth="1" min="3" max="3"/>
    <col width="16" customWidth="1" min="4" max="4"/>
    <col width="32" customWidth="1" min="5" max="5"/>
    <col width="22" customWidth="1" min="6" max="6"/>
  </cols>
  <sheetData>
    <row r="1">
      <c r="A1" s="6" t="inlineStr">
        <is>
          <t>음악 &amp; 사운드 기획 20장면</t>
        </is>
      </c>
    </row>
    <row r="3">
      <c r="A3" s="7" t="inlineStr">
        <is>
          <t>장면</t>
        </is>
      </c>
      <c r="B3" s="7" t="inlineStr">
        <is>
          <t>BGM 스타일</t>
        </is>
      </c>
      <c r="C3" s="7" t="inlineStr">
        <is>
          <t>분위기</t>
        </is>
      </c>
      <c r="D3" s="7" t="inlineStr">
        <is>
          <t>루프</t>
        </is>
      </c>
      <c r="E3" s="7" t="inlineStr">
        <is>
          <t>SFX 목록</t>
        </is>
      </c>
      <c r="F3" s="7" t="inlineStr">
        <is>
          <t>참고곡 스타일</t>
        </is>
      </c>
    </row>
    <row r="4">
      <c r="A4" s="8" t="inlineStr">
        <is>
          <t>SLG 메인화면</t>
        </is>
      </c>
      <c r="B4" s="8" t="inlineStr">
        <is>
          <t>판타지 오케스트라</t>
        </is>
      </c>
      <c r="C4" s="8" t="inlineStr">
        <is>
          <t>평화롭고 웅장한</t>
        </is>
      </c>
      <c r="D4" s="8" t="inlineStr">
        <is>
          <t>O (무한루프)</t>
        </is>
      </c>
      <c r="E4" s="8" t="inlineStr">
        <is>
          <t>버튼 클릭, 건물 배치, UI 전환</t>
        </is>
      </c>
      <c r="F4" s="8" t="inlineStr">
        <is>
          <t>투 월드 메인 테마풍</t>
        </is>
      </c>
    </row>
    <row r="5">
      <c r="A5" s="9" t="inlineStr">
        <is>
          <t>IO 전투</t>
        </is>
      </c>
      <c r="B5" s="9" t="inlineStr">
        <is>
          <t>일렉트로닉 + 오케스트라</t>
        </is>
      </c>
      <c r="C5" s="9" t="inlineStr">
        <is>
          <t>긴박하고 역동적</t>
        </is>
      </c>
      <c r="D5" s="9" t="inlineStr">
        <is>
          <t>O (루프)</t>
        </is>
      </c>
      <c r="E5" s="9" t="inlineStr">
        <is>
          <t>타격음, 회피, 스킬 시전, 체력바 감소</t>
        </is>
      </c>
      <c r="F5" s="9" t="inlineStr">
        <is>
          <t>브롤스타즈 전투 BGM풍</t>
        </is>
      </c>
    </row>
    <row r="6">
      <c r="A6" s="8" t="inlineStr">
        <is>
          <t>보스전</t>
        </is>
      </c>
      <c r="B6" s="8" t="inlineStr">
        <is>
          <t>에픽 합창 + 타악기</t>
        </is>
      </c>
      <c r="C6" s="8" t="inlineStr">
        <is>
          <t>장엄하고 압도적</t>
        </is>
      </c>
      <c r="D6" s="8" t="inlineStr">
        <is>
          <t>O (페이즈별 변주)</t>
        </is>
      </c>
      <c r="E6" s="8" t="inlineStr">
        <is>
          <t>보스 포효, 패턴 전환, 광역기 경고</t>
        </is>
      </c>
      <c r="F6" s="8" t="inlineStr">
        <is>
          <t>다크소울 보스전풍</t>
        </is>
      </c>
    </row>
    <row r="7">
      <c r="A7" s="9" t="inlineStr">
        <is>
          <t>공성전</t>
        </is>
      </c>
      <c r="B7" s="9" t="inlineStr">
        <is>
          <t>전쟁 드럼 + 금관악기</t>
        </is>
      </c>
      <c r="C7" s="9" t="inlineStr">
        <is>
          <t>웅장하고 격렬한</t>
        </is>
      </c>
      <c r="D7" s="9" t="inlineStr">
        <is>
          <t>O (공격/방어 파트)</t>
        </is>
      </c>
      <c r="E7" s="9" t="inlineStr">
        <is>
          <t>성문 파괴, 투석기 발사, 함성, 화살비</t>
        </is>
      </c>
      <c r="F7" s="9" t="inlineStr">
        <is>
          <t>토탈워 전투풍</t>
        </is>
      </c>
    </row>
    <row r="8">
      <c r="A8" s="8" t="inlineStr">
        <is>
          <t>무역 &amp; 교역</t>
        </is>
      </c>
      <c r="B8" s="8" t="inlineStr">
        <is>
          <t>중동풍 현악기 + 타블라</t>
        </is>
      </c>
      <c r="C8" s="8" t="inlineStr">
        <is>
          <t>이국적이고 활기찬</t>
        </is>
      </c>
      <c r="D8" s="8" t="inlineStr">
        <is>
          <t>O (루프)</t>
        </is>
      </c>
      <c r="E8" s="8" t="inlineStr">
        <is>
          <t>코인 소리, 물건 거래, 카라반 이동</t>
        </is>
      </c>
      <c r="F8" s="8" t="inlineStr">
        <is>
          <t>문명 중동 문명 테마풍</t>
        </is>
      </c>
    </row>
    <row r="9">
      <c r="A9" s="9" t="inlineStr">
        <is>
          <t>가챠 연출</t>
        </is>
      </c>
      <c r="B9" s="9" t="inlineStr">
        <is>
          <t>신비로운 하프 → 팡파르</t>
        </is>
      </c>
      <c r="C9" s="9" t="inlineStr">
        <is>
          <t>기대감 → 폭발적 환희</t>
        </is>
      </c>
      <c r="D9" s="9" t="inlineStr">
        <is>
          <t>X (1회 재생)</t>
        </is>
      </c>
      <c r="E9" s="9" t="inlineStr">
        <is>
          <t>카드 뒤집기, 등급별 이펙트, 전설 연출</t>
        </is>
      </c>
      <c r="F9" s="9" t="inlineStr">
        <is>
          <t>원신 가챠풍</t>
        </is>
      </c>
    </row>
    <row r="10">
      <c r="A10" s="8" t="inlineStr">
        <is>
          <t>심연의 탑</t>
        </is>
      </c>
      <c r="B10" s="8" t="inlineStr">
        <is>
          <t>어둡고 불안한 현악기</t>
        </is>
      </c>
      <c r="C10" s="8" t="inlineStr">
        <is>
          <t>공포스럽고 긴장감</t>
        </is>
      </c>
      <c r="D10" s="8" t="inlineStr">
        <is>
          <t>O (층별 변주)</t>
        </is>
      </c>
      <c r="E10" s="8" t="inlineStr">
        <is>
          <t>함정 작동, 몬스터 등장, 문 열림</t>
        </is>
      </c>
      <c r="F10" s="8" t="inlineStr">
        <is>
          <t>디아블로 던전풍</t>
        </is>
      </c>
    </row>
    <row r="11">
      <c r="A11" s="9" t="inlineStr">
        <is>
          <t>용병 스토리</t>
        </is>
      </c>
      <c r="B11" s="9" t="inlineStr">
        <is>
          <t>서정적 피아노 + 현악</t>
        </is>
      </c>
      <c r="C11" s="9" t="inlineStr">
        <is>
          <t>감성적이고 서사적</t>
        </is>
      </c>
      <c r="D11" s="9" t="inlineStr">
        <is>
          <t>X (장면 길이)</t>
        </is>
      </c>
      <c r="E11" s="9" t="inlineStr">
        <is>
          <t>대화 넘김, 감정 표현, 회상 효과</t>
        </is>
      </c>
      <c r="F11" s="9" t="inlineStr">
        <is>
          <t>파이널판타지 스토리풍</t>
        </is>
      </c>
    </row>
    <row r="12">
      <c r="A12" s="8" t="inlineStr">
        <is>
          <t>혈맹 레이드</t>
        </is>
      </c>
      <c r="B12" s="8" t="inlineStr">
        <is>
          <t>장엄한 합창 + 풀 오케스트라</t>
        </is>
      </c>
      <c r="C12" s="8" t="inlineStr">
        <is>
          <t>열정적이고 단결된</t>
        </is>
      </c>
      <c r="D12" s="8" t="inlineStr">
        <is>
          <t>O (루프)</t>
        </is>
      </c>
      <c r="E12" s="8" t="inlineStr">
        <is>
          <t>동시 공격, 버프 시전, 레이드 클리어</t>
        </is>
      </c>
      <c r="F12" s="8" t="inlineStr">
        <is>
          <t>WoW 레이드풍</t>
        </is>
      </c>
    </row>
    <row r="13">
      <c r="A13" s="9" t="inlineStr">
        <is>
          <t>NPC 대화</t>
        </is>
      </c>
      <c r="B13" s="9" t="inlineStr">
        <is>
          <t>부드러운 류트 + 기타</t>
        </is>
      </c>
      <c r="C13" s="9" t="inlineStr">
        <is>
          <t>편안하고 친근한</t>
        </is>
      </c>
      <c r="D13" s="9" t="inlineStr">
        <is>
          <t>O (대화 중)</t>
        </is>
      </c>
      <c r="E13" s="9" t="inlineStr">
        <is>
          <t>대화 시작, 텍스트 출력, 선택지 선택</t>
        </is>
      </c>
      <c r="F13" s="9" t="inlineStr">
        <is>
          <t>스타듀밸리 NPC풍</t>
        </is>
      </c>
    </row>
    <row r="14">
      <c r="A14" s="8" t="inlineStr">
        <is>
          <t>마을 낮</t>
        </is>
      </c>
      <c r="B14" s="8" t="inlineStr">
        <is>
          <t>경쾌한 플루트 + 어쿠스틱 기타</t>
        </is>
      </c>
      <c r="C14" s="8" t="inlineStr">
        <is>
          <t>밝고 활기찬</t>
        </is>
      </c>
      <c r="D14" s="8" t="inlineStr">
        <is>
          <t>O (루프)</t>
        </is>
      </c>
      <c r="E14" s="8" t="inlineStr">
        <is>
          <t>발걸음, 문 여닫기, NPC 인사</t>
        </is>
      </c>
      <c r="F14" s="8" t="inlineStr">
        <is>
          <t>동물의 숲 낮 테마풍</t>
        </is>
      </c>
    </row>
    <row r="15">
      <c r="A15" s="9" t="inlineStr">
        <is>
          <t>마을 밤</t>
        </is>
      </c>
      <c r="B15" s="9" t="inlineStr">
        <is>
          <t>재즈 피아노 + 더블베이스</t>
        </is>
      </c>
      <c r="C15" s="9" t="inlineStr">
        <is>
          <t>고요하고 아늑한</t>
        </is>
      </c>
      <c r="D15" s="9" t="inlineStr">
        <is>
          <t>O (루프)</t>
        </is>
      </c>
      <c r="E15" s="9" t="inlineStr">
        <is>
          <t>귀뚜라미, 모닥불, 별똥별</t>
        </is>
      </c>
      <c r="F15" s="9" t="inlineStr">
        <is>
          <t>동물의 숲 밤 테마풍</t>
        </is>
      </c>
    </row>
    <row r="16">
      <c r="A16" s="8" t="inlineStr">
        <is>
          <t>아레나 PvP</t>
        </is>
      </c>
      <c r="B16" s="8" t="inlineStr">
        <is>
          <t>헤비 일렉트로닉 + 기타 리프</t>
        </is>
      </c>
      <c r="C16" s="8" t="inlineStr">
        <is>
          <t>공격적이고 경쟁적</t>
        </is>
      </c>
      <c r="D16" s="8" t="inlineStr">
        <is>
          <t>O (루프)</t>
        </is>
      </c>
      <c r="E16" s="8" t="inlineStr">
        <is>
          <t>카운트다운, 라운드 시작, KO</t>
        </is>
      </c>
      <c r="F16" s="8" t="inlineStr">
        <is>
          <t>철권 스테이지풍</t>
        </is>
      </c>
    </row>
    <row r="17">
      <c r="A17" s="9" t="inlineStr">
        <is>
          <t>월드맵 탐험</t>
        </is>
      </c>
      <c r="B17" s="9" t="inlineStr">
        <is>
          <t>앰비언트 + 민속 악기</t>
        </is>
      </c>
      <c r="C17" s="9" t="inlineStr">
        <is>
          <t>신비롭고 탐험적</t>
        </is>
      </c>
      <c r="D17" s="9" t="inlineStr">
        <is>
          <t>O (지역별 변주)</t>
        </is>
      </c>
      <c r="E17" s="9" t="inlineStr">
        <is>
          <t>발걸음 (지형별), 날씨, 동물 울음</t>
        </is>
      </c>
      <c r="F17" s="9" t="inlineStr">
        <is>
          <t>젤다 필드풍</t>
        </is>
      </c>
    </row>
    <row r="18">
      <c r="A18" s="8" t="inlineStr">
        <is>
          <t>낚시</t>
        </is>
      </c>
      <c r="B18" s="8" t="inlineStr">
        <is>
          <t>잔잔한 어쿠스틱 기타</t>
        </is>
      </c>
      <c r="C18" s="8" t="inlineStr">
        <is>
          <t>여유롭고 평화로운</t>
        </is>
      </c>
      <c r="D18" s="8" t="inlineStr">
        <is>
          <t>O (루프)</t>
        </is>
      </c>
      <c r="E18" s="8" t="inlineStr">
        <is>
          <t>낚싯줄 던지기, 찌 움직임, 물고기 낚기</t>
        </is>
      </c>
      <c r="F18" s="8" t="inlineStr">
        <is>
          <t>스타듀밸리 낚시풍</t>
        </is>
      </c>
    </row>
    <row r="19">
      <c r="A19" s="9" t="inlineStr">
        <is>
          <t>요리 미니게임</t>
        </is>
      </c>
      <c r="B19" s="9" t="inlineStr">
        <is>
          <t>경쾌한 마림바 + 타악기</t>
        </is>
      </c>
      <c r="C19" s="9" t="inlineStr">
        <is>
          <t>재미있고 리듬감</t>
        </is>
      </c>
      <c r="D19" s="9" t="inlineStr">
        <is>
          <t>O (제한시간 중)</t>
        </is>
      </c>
      <c r="E19" s="9" t="inlineStr">
        <is>
          <t>재료 썰기, 냄비 끓기, 완성 팡파르</t>
        </is>
      </c>
      <c r="F19" s="9" t="inlineStr">
        <is>
          <t>오버쿡 조리풍</t>
        </is>
      </c>
    </row>
    <row r="20">
      <c r="A20" s="8" t="inlineStr">
        <is>
          <t>로딩 화면</t>
        </is>
      </c>
      <c r="B20" s="8" t="inlineStr">
        <is>
          <t>미니멀 앰비언트 + 피아노</t>
        </is>
      </c>
      <c r="C20" s="8" t="inlineStr">
        <is>
          <t>차분하고 기대감</t>
        </is>
      </c>
      <c r="D20" s="8" t="inlineStr">
        <is>
          <t>O (로딩 중)</t>
        </is>
      </c>
      <c r="E20" s="8" t="inlineStr">
        <is>
          <t>로딩 바 진행, 팁 전환</t>
        </is>
      </c>
      <c r="F20" s="8" t="inlineStr">
        <is>
          <t>로스트아크 로딩풍</t>
        </is>
      </c>
    </row>
    <row r="21">
      <c r="A21" s="9" t="inlineStr">
        <is>
          <t>승리 / 결과</t>
        </is>
      </c>
      <c r="B21" s="9" t="inlineStr">
        <is>
          <t>팡파르 + 오케스트라 피날레</t>
        </is>
      </c>
      <c r="C21" s="9" t="inlineStr">
        <is>
          <t>환희와 성취감</t>
        </is>
      </c>
      <c r="D21" s="9" t="inlineStr">
        <is>
          <t>X (1회 재생)</t>
        </is>
      </c>
      <c r="E21" s="9" t="inlineStr">
        <is>
          <t>경험치 카운트, 등급 표시, 보상 획득</t>
        </is>
      </c>
      <c r="F21" s="9" t="inlineStr">
        <is>
          <t>몬헌 클리어풍</t>
        </is>
      </c>
    </row>
    <row r="22">
      <c r="A22" s="8" t="inlineStr">
        <is>
          <t>패배 / 전멸</t>
        </is>
      </c>
      <c r="B22" s="8" t="inlineStr">
        <is>
          <t>저음 현악 + 피아노 단조</t>
        </is>
      </c>
      <c r="C22" s="8" t="inlineStr">
        <is>
          <t>쓸쓸하고 아쉬운</t>
        </is>
      </c>
      <c r="D22" s="8" t="inlineStr">
        <is>
          <t>X (1회 재생)</t>
        </is>
      </c>
      <c r="E22" s="8" t="inlineStr">
        <is>
          <t>체력 0 효과, 쓰러짐, 화면 페이드</t>
        </is>
      </c>
      <c r="F22" s="8" t="inlineStr">
        <is>
          <t>다크소울 사망풍</t>
        </is>
      </c>
    </row>
    <row r="23">
      <c r="A23" s="9" t="inlineStr">
        <is>
          <t>시즌 이벤트</t>
        </is>
      </c>
      <c r="B23" s="9" t="inlineStr">
        <is>
          <t>축제풍 브라스 + 퍼커션</t>
        </is>
      </c>
      <c r="C23" s="9" t="inlineStr">
        <is>
          <t>축제적이고 화려한</t>
        </is>
      </c>
      <c r="D23" s="9" t="inlineStr">
        <is>
          <t>O (이벤트 기간)</t>
        </is>
      </c>
      <c r="E23" s="9" t="inlineStr">
        <is>
          <t>폭죽, 이벤트 시작, 보상 오픈</t>
        </is>
      </c>
      <c r="F23" s="9" t="inlineStr">
        <is>
          <t>메이플스토리 이벤트풍</t>
        </is>
      </c>
    </row>
  </sheetData>
  <mergeCells count="1">
    <mergeCell ref="A1:F1"/>
  </mergeCell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8" customWidth="1" min="1" max="1"/>
    <col width="14" customWidth="1" min="2" max="2"/>
    <col width="14" customWidth="1" min="3" max="3"/>
    <col width="18" customWidth="1" min="4" max="4"/>
    <col width="14" customWidth="1" min="5" max="5"/>
    <col width="26" customWidth="1" min="6" max="6"/>
    <col width="28" customWidth="1" min="7" max="7"/>
    <col width="32" customWidth="1" min="8" max="8"/>
  </cols>
  <sheetData>
    <row r="1">
      <c r="A1" s="6" t="inlineStr">
        <is>
          <t>정원 &amp; 재배 시스템 20종</t>
        </is>
      </c>
    </row>
    <row r="3">
      <c r="A3" s="7" t="inlineStr">
        <is>
          <t>식물</t>
        </is>
      </c>
      <c r="B3" s="7" t="inlineStr">
        <is>
          <t>씨앗 비용</t>
        </is>
      </c>
      <c r="C3" s="7" t="inlineStr">
        <is>
          <t>재배 시간</t>
        </is>
      </c>
      <c r="D3" s="7" t="inlineStr">
        <is>
          <t>수확물</t>
        </is>
      </c>
      <c r="E3" s="7" t="inlineStr">
        <is>
          <t>판매가</t>
        </is>
      </c>
      <c r="F3" s="7" t="inlineStr">
        <is>
          <t>요리 재료</t>
        </is>
      </c>
      <c r="G3" s="7" t="inlineStr">
        <is>
          <t>특수 효과</t>
        </is>
      </c>
      <c r="H3" s="7" t="inlineStr">
        <is>
          <t>희귀 돌연변이</t>
        </is>
      </c>
    </row>
    <row r="4">
      <c r="A4" s="8" t="inlineStr">
        <is>
          <t>밀 🌾</t>
        </is>
      </c>
      <c r="B4" s="8" t="inlineStr">
        <is>
          <t>50 골드</t>
        </is>
      </c>
      <c r="C4" s="8" t="inlineStr">
        <is>
          <t>1시간</t>
        </is>
      </c>
      <c r="D4" s="8" t="inlineStr">
        <is>
          <t>밀 다발 x5</t>
        </is>
      </c>
      <c r="E4" s="8" t="inlineStr">
        <is>
          <t>30 골드</t>
        </is>
      </c>
      <c r="F4" s="8" t="inlineStr">
        <is>
          <t>빵, 맥주, 국수 재료</t>
        </is>
      </c>
      <c r="G4" s="8" t="inlineStr">
        <is>
          <t>없음</t>
        </is>
      </c>
      <c r="H4" s="8" t="inlineStr">
        <is>
          <t>황금밀 (0.5%) — 판매가 10배</t>
        </is>
      </c>
    </row>
    <row r="5">
      <c r="A5" s="9" t="inlineStr">
        <is>
          <t>감자 🥔</t>
        </is>
      </c>
      <c r="B5" s="9" t="inlineStr">
        <is>
          <t>60 골드</t>
        </is>
      </c>
      <c r="C5" s="9" t="inlineStr">
        <is>
          <t>2시간</t>
        </is>
      </c>
      <c r="D5" s="9" t="inlineStr">
        <is>
          <t>감자 x4</t>
        </is>
      </c>
      <c r="E5" s="9" t="inlineStr">
        <is>
          <t>40 골드</t>
        </is>
      </c>
      <c r="F5" s="9" t="inlineStr">
        <is>
          <t>감자튀김, 스튜, 수프 재료</t>
        </is>
      </c>
      <c r="G5" s="9" t="inlineStr">
        <is>
          <t>없음</t>
        </is>
      </c>
      <c r="H5" s="9" t="inlineStr">
        <is>
          <t>거대 감자 (1%) — HP 회복량 2배</t>
        </is>
      </c>
    </row>
    <row r="6">
      <c r="A6" s="8" t="inlineStr">
        <is>
          <t>당근 🥕</t>
        </is>
      </c>
      <c r="B6" s="8" t="inlineStr">
        <is>
          <t>55 골드</t>
        </is>
      </c>
      <c r="C6" s="8" t="inlineStr">
        <is>
          <t>1시간 30분</t>
        </is>
      </c>
      <c r="D6" s="8" t="inlineStr">
        <is>
          <t>당근 x4</t>
        </is>
      </c>
      <c r="E6" s="8" t="inlineStr">
        <is>
          <t>35 골드</t>
        </is>
      </c>
      <c r="F6" s="8" t="inlineStr">
        <is>
          <t>샐러드, 카레, 수프 재료</t>
        </is>
      </c>
      <c r="G6" s="8" t="inlineStr">
        <is>
          <t>없음</t>
        </is>
      </c>
      <c r="H6" s="8" t="inlineStr">
        <is>
          <t>무지개 당근 (0.8%) — 경험치 +5% 30분</t>
        </is>
      </c>
    </row>
    <row r="7">
      <c r="A7" s="9" t="inlineStr">
        <is>
          <t>토마토 🍅</t>
        </is>
      </c>
      <c r="B7" s="9" t="inlineStr">
        <is>
          <t>70 골드</t>
        </is>
      </c>
      <c r="C7" s="9" t="inlineStr">
        <is>
          <t>3시간</t>
        </is>
      </c>
      <c r="D7" s="9" t="inlineStr">
        <is>
          <t>토마토 x3</t>
        </is>
      </c>
      <c r="E7" s="9" t="inlineStr">
        <is>
          <t>55 골드</t>
        </is>
      </c>
      <c r="F7" s="9" t="inlineStr">
        <is>
          <t>파스타, 소스, 샐러드 재료</t>
        </is>
      </c>
      <c r="G7" s="9" t="inlineStr">
        <is>
          <t>없음</t>
        </is>
      </c>
      <c r="H7" s="9" t="inlineStr">
        <is>
          <t>폭탄 토마토 (0.3%) — 투척 시 범위 데미지</t>
        </is>
      </c>
    </row>
    <row r="8">
      <c r="A8" s="8" t="inlineStr">
        <is>
          <t>양배추 🥬</t>
        </is>
      </c>
      <c r="B8" s="8" t="inlineStr">
        <is>
          <t>65 골드</t>
        </is>
      </c>
      <c r="C8" s="8" t="inlineStr">
        <is>
          <t>2시간 30분</t>
        </is>
      </c>
      <c r="D8" s="8" t="inlineStr">
        <is>
          <t>양배추 x3</t>
        </is>
      </c>
      <c r="E8" s="8" t="inlineStr">
        <is>
          <t>45 골드</t>
        </is>
      </c>
      <c r="F8" s="8" t="inlineStr">
        <is>
          <t>롤캐비지, 샐러드, 김치 재료</t>
        </is>
      </c>
      <c r="G8" s="8" t="inlineStr">
        <is>
          <t>없음</t>
        </is>
      </c>
      <c r="H8" s="8" t="inlineStr">
        <is>
          <t>철갑 양배추 (0.5%) — 방어력 +3% 1시간</t>
        </is>
      </c>
    </row>
    <row r="9">
      <c r="A9" s="9" t="inlineStr">
        <is>
          <t>사과나무 🍎</t>
        </is>
      </c>
      <c r="B9" s="9" t="inlineStr">
        <is>
          <t>200 골드</t>
        </is>
      </c>
      <c r="C9" s="9" t="inlineStr">
        <is>
          <t>12시간</t>
        </is>
      </c>
      <c r="D9" s="9" t="inlineStr">
        <is>
          <t>사과 x6</t>
        </is>
      </c>
      <c r="E9" s="9" t="inlineStr">
        <is>
          <t>120 골드</t>
        </is>
      </c>
      <c r="F9" s="9" t="inlineStr">
        <is>
          <t>사과파이, 사이다, 잼 재료</t>
        </is>
      </c>
      <c r="G9" s="9" t="inlineStr">
        <is>
          <t>수확 후 4시간 뒤 재수확 가능</t>
        </is>
      </c>
      <c r="H9" s="9" t="inlineStr">
        <is>
          <t>황금사과 (0.2%) — 전 스탯 +2% 1시간</t>
        </is>
      </c>
    </row>
    <row r="10">
      <c r="A10" s="8" t="inlineStr">
        <is>
          <t>포도나무 🍇</t>
        </is>
      </c>
      <c r="B10" s="8" t="inlineStr">
        <is>
          <t>250 골드</t>
        </is>
      </c>
      <c r="C10" s="8" t="inlineStr">
        <is>
          <t>18시간</t>
        </is>
      </c>
      <c r="D10" s="8" t="inlineStr">
        <is>
          <t>포도 x5</t>
        </is>
      </c>
      <c r="E10" s="8" t="inlineStr">
        <is>
          <t>150 골드</t>
        </is>
      </c>
      <c r="F10" s="8" t="inlineStr">
        <is>
          <t>와인, 잼, 포도주스 재료</t>
        </is>
      </c>
      <c r="G10" s="8" t="inlineStr">
        <is>
          <t>수확 후 6시간 뒤 재수확 가능</t>
        </is>
      </c>
      <c r="H10" s="8" t="inlineStr">
        <is>
          <t>성포도 (0.1%) — 마나 회복 +20% 2시간</t>
        </is>
      </c>
    </row>
    <row r="11">
      <c r="A11" s="9" t="inlineStr">
        <is>
          <t>허브 🌿</t>
        </is>
      </c>
      <c r="B11" s="9" t="inlineStr">
        <is>
          <t>80 골드</t>
        </is>
      </c>
      <c r="C11" s="9" t="inlineStr">
        <is>
          <t>1시간</t>
        </is>
      </c>
      <c r="D11" s="9" t="inlineStr">
        <is>
          <t>허브 x6</t>
        </is>
      </c>
      <c r="E11" s="9" t="inlineStr">
        <is>
          <t>25 골드</t>
        </is>
      </c>
      <c r="F11" s="9" t="inlineStr">
        <is>
          <t>모든 요리 향신료, 해독제 재료</t>
        </is>
      </c>
      <c r="G11" s="9" t="inlineStr">
        <is>
          <t>허브 향기: 정원 내 재배 속도 +3%</t>
        </is>
      </c>
      <c r="H11" s="9" t="inlineStr">
        <is>
          <t>치유 허브 (1%) — HP 재생 +5/초 30분</t>
        </is>
      </c>
    </row>
    <row r="12">
      <c r="A12" s="8" t="inlineStr">
        <is>
          <t>마나풀 💜</t>
        </is>
      </c>
      <c r="B12" s="8" t="inlineStr">
        <is>
          <t>500 골드</t>
        </is>
      </c>
      <c r="C12" s="8" t="inlineStr">
        <is>
          <t>6시간</t>
        </is>
      </c>
      <c r="D12" s="8" t="inlineStr">
        <is>
          <t>마나풀 잎 x3</t>
        </is>
      </c>
      <c r="E12" s="8" t="inlineStr">
        <is>
          <t>300 골드</t>
        </is>
      </c>
      <c r="F12" s="8" t="inlineStr">
        <is>
          <t>마나 포션, 마법 요리 재료</t>
        </is>
      </c>
      <c r="G12" s="8" t="inlineStr">
        <is>
          <t>마나 회복 +5/초 (정원 내)</t>
        </is>
      </c>
      <c r="H12" s="8" t="inlineStr">
        <is>
          <t>순수 마나풀 (0.5%) — 마나 포션 효율 2배</t>
        </is>
      </c>
    </row>
    <row r="13">
      <c r="A13" s="9" t="inlineStr">
        <is>
          <t>치유초 💚</t>
        </is>
      </c>
      <c r="B13" s="9" t="inlineStr">
        <is>
          <t>450 골드</t>
        </is>
      </c>
      <c r="C13" s="9" t="inlineStr">
        <is>
          <t>5시간</t>
        </is>
      </c>
      <c r="D13" s="9" t="inlineStr">
        <is>
          <t>치유초 x3</t>
        </is>
      </c>
      <c r="E13" s="9" t="inlineStr">
        <is>
          <t>280 골드</t>
        </is>
      </c>
      <c r="F13" s="9" t="inlineStr">
        <is>
          <t>HP 포션, 힐링 요리 재료</t>
        </is>
      </c>
      <c r="G13" s="9" t="inlineStr">
        <is>
          <t>정원 방문자 HP +50 회복</t>
        </is>
      </c>
      <c r="H13" s="9" t="inlineStr">
        <is>
          <t>생명의 치유초 (0.3%) — HP 포션 효율 2배</t>
        </is>
      </c>
    </row>
    <row r="14">
      <c r="A14" s="8" t="inlineStr">
        <is>
          <t>불꽃꽃 🔥</t>
        </is>
      </c>
      <c r="B14" s="8" t="inlineStr">
        <is>
          <t>600 골드</t>
        </is>
      </c>
      <c r="C14" s="8" t="inlineStr">
        <is>
          <t>8시간</t>
        </is>
      </c>
      <c r="D14" s="8" t="inlineStr">
        <is>
          <t>불꽃 꽃잎 x2</t>
        </is>
      </c>
      <c r="E14" s="8" t="inlineStr">
        <is>
          <t>400 골드</t>
        </is>
      </c>
      <c r="F14" s="8" t="inlineStr">
        <is>
          <t>화염 부여 오일, 매운 요리 재료</t>
        </is>
      </c>
      <c r="G14" s="8" t="inlineStr">
        <is>
          <t>주변 몬스터 접근 시 화상 데미지</t>
        </is>
      </c>
      <c r="H14" s="8" t="inlineStr">
        <is>
          <t>폭염꽃 (0.2%) — ATK +5% 1시간</t>
        </is>
      </c>
    </row>
    <row r="15">
      <c r="A15" s="9" t="inlineStr">
        <is>
          <t>빙하꽃 ❄️</t>
        </is>
      </c>
      <c r="B15" s="9" t="inlineStr">
        <is>
          <t>600 골드</t>
        </is>
      </c>
      <c r="C15" s="9" t="inlineStr">
        <is>
          <t>8시간</t>
        </is>
      </c>
      <c r="D15" s="9" t="inlineStr">
        <is>
          <t>빙하 결정 x2</t>
        </is>
      </c>
      <c r="E15" s="9" t="inlineStr">
        <is>
          <t>400 골드</t>
        </is>
      </c>
      <c r="F15" s="9" t="inlineStr">
        <is>
          <t>빙결 부여 오일, 냉동 요리 재료</t>
        </is>
      </c>
      <c r="G15" s="9" t="inlineStr">
        <is>
          <t>여름 날씨 페널티 무효화</t>
        </is>
      </c>
      <c r="H15" s="9" t="inlineStr">
        <is>
          <t>영원빙화 (0.2%) — 동결 저항 100% 1시간</t>
        </is>
      </c>
    </row>
    <row r="16">
      <c r="A16" s="8" t="inlineStr">
        <is>
          <t>번개풀 ⚡</t>
        </is>
      </c>
      <c r="B16" s="8" t="inlineStr">
        <is>
          <t>550 골드</t>
        </is>
      </c>
      <c r="C16" s="8" t="inlineStr">
        <is>
          <t>7시간</t>
        </is>
      </c>
      <c r="D16" s="8" t="inlineStr">
        <is>
          <t>번개 씨앗 x2</t>
        </is>
      </c>
      <c r="E16" s="8" t="inlineStr">
        <is>
          <t>350 골드</t>
        </is>
      </c>
      <c r="F16" s="8" t="inlineStr">
        <is>
          <t>감전 부여 오일, 에너지 드링크 재료</t>
        </is>
      </c>
      <c r="G16" s="8" t="inlineStr">
        <is>
          <t>재배 시간 -10% (정원 전체)</t>
        </is>
      </c>
      <c r="H16" s="8" t="inlineStr">
        <is>
          <t>뇌전초 (0.3%) — 공격속도 +8% 1시간</t>
        </is>
      </c>
    </row>
    <row r="17">
      <c r="A17" s="9" t="inlineStr">
        <is>
          <t>그림자 버섯 🍄</t>
        </is>
      </c>
      <c r="B17" s="9" t="inlineStr">
        <is>
          <t>700 골드</t>
        </is>
      </c>
      <c r="C17" s="9" t="inlineStr">
        <is>
          <t>10시간</t>
        </is>
      </c>
      <c r="D17" s="9" t="inlineStr">
        <is>
          <t>그림자 포자 x2</t>
        </is>
      </c>
      <c r="E17" s="9" t="inlineStr">
        <is>
          <t>450 골드</t>
        </is>
      </c>
      <c r="F17" s="9" t="inlineStr">
        <is>
          <t>투명 포션, 암흑 요리 재료</t>
        </is>
      </c>
      <c r="G17" s="9" t="inlineStr">
        <is>
          <t>야간 시야 범위 +20%</t>
        </is>
      </c>
      <c r="H17" s="9" t="inlineStr">
        <is>
          <t>심연 버섯 (0.1%) — 은신 5분 (공격 시 해제)</t>
        </is>
      </c>
    </row>
    <row r="18">
      <c r="A18" s="8" t="inlineStr">
        <is>
          <t>세계수 묘목 🌳</t>
        </is>
      </c>
      <c r="B18" s="8" t="inlineStr">
        <is>
          <t>5,000 골드</t>
        </is>
      </c>
      <c r="C18" s="8" t="inlineStr">
        <is>
          <t>30일</t>
        </is>
      </c>
      <c r="D18" s="8" t="inlineStr">
        <is>
          <t>세계수 잎 x1</t>
        </is>
      </c>
      <c r="E18" s="8" t="inlineStr">
        <is>
          <t>3,000 골드</t>
        </is>
      </c>
      <c r="F18" s="8" t="inlineStr">
        <is>
          <t>전설 요리 핵심 재료</t>
        </is>
      </c>
      <c r="G18" s="8" t="inlineStr">
        <is>
          <t>정원 전체 재배 속도 +15%</t>
        </is>
      </c>
      <c r="H18" s="8" t="inlineStr">
        <is>
          <t>미니 세계수 (0.05%) — 영구 정원 버프 +5%</t>
        </is>
      </c>
    </row>
    <row r="19">
      <c r="A19" s="9" t="inlineStr">
        <is>
          <t>용혈초 🐉</t>
        </is>
      </c>
      <c r="B19" s="9" t="inlineStr">
        <is>
          <t>3,000 골드</t>
        </is>
      </c>
      <c r="C19" s="9" t="inlineStr">
        <is>
          <t>7일</t>
        </is>
      </c>
      <c r="D19" s="9" t="inlineStr">
        <is>
          <t>용혈 에센스 x1</t>
        </is>
      </c>
      <c r="E19" s="9" t="inlineStr">
        <is>
          <t>2,000 골드</t>
        </is>
      </c>
      <c r="F19" s="9" t="inlineStr">
        <is>
          <t>용의 힘 포션, 용불고기 재료</t>
        </is>
      </c>
      <c r="G19" s="9" t="inlineStr">
        <is>
          <t>ATK +10% 24시간</t>
        </is>
      </c>
      <c r="H19" s="9" t="inlineStr">
        <is>
          <t>진룡혈초 (0.1%) — ATK +20% 24시간</t>
        </is>
      </c>
    </row>
    <row r="20">
      <c r="A20" s="8" t="inlineStr">
        <is>
          <t>시간의 꽃 ⏳</t>
        </is>
      </c>
      <c r="B20" s="8" t="inlineStr">
        <is>
          <t>4,000 골드</t>
        </is>
      </c>
      <c r="C20" s="8" t="inlineStr">
        <is>
          <t>14일</t>
        </is>
      </c>
      <c r="D20" s="8" t="inlineStr">
        <is>
          <t>시간의 모래 x1</t>
        </is>
      </c>
      <c r="E20" s="8" t="inlineStr">
        <is>
          <t>2,500 골드</t>
        </is>
      </c>
      <c r="F20" s="8" t="inlineStr">
        <is>
          <t>시간 가속 포션, 영원의 요리 재료</t>
        </is>
      </c>
      <c r="G20" s="8" t="inlineStr">
        <is>
          <t>모든 재배 시간 -20% (24시간)</t>
        </is>
      </c>
      <c r="H20" s="8" t="inlineStr">
        <is>
          <t>영겁의 꽃 (0.05%) — 쿨타임 -10% 12시간</t>
        </is>
      </c>
    </row>
    <row r="21">
      <c r="A21" s="9" t="inlineStr">
        <is>
          <t>별빛 열매 ⭐</t>
        </is>
      </c>
      <c r="B21" s="9" t="inlineStr">
        <is>
          <t>3,500 골드</t>
        </is>
      </c>
      <c r="C21" s="9" t="inlineStr">
        <is>
          <t>10일</t>
        </is>
      </c>
      <c r="D21" s="9" t="inlineStr">
        <is>
          <t>별빛 결정 x1</t>
        </is>
      </c>
      <c r="E21" s="9" t="inlineStr">
        <is>
          <t>2,200 골드</t>
        </is>
      </c>
      <c r="F21" s="9" t="inlineStr">
        <is>
          <t>별빛 포션, 우주 디저트 재료</t>
        </is>
      </c>
      <c r="G21" s="9" t="inlineStr">
        <is>
          <t>야간 드롭률 +10%</t>
        </is>
      </c>
      <c r="H21" s="9" t="inlineStr">
        <is>
          <t>초신성 열매 (0.08%) — 경험치 +30% 6시간</t>
        </is>
      </c>
    </row>
    <row r="22">
      <c r="A22" s="8" t="inlineStr">
        <is>
          <t>태초의 씨앗 🌱</t>
        </is>
      </c>
      <c r="B22" s="8" t="inlineStr">
        <is>
          <t>50,000 골드</t>
        </is>
      </c>
      <c r="C22" s="8" t="inlineStr">
        <is>
          <t>60일</t>
        </is>
      </c>
      <c r="D22" s="8" t="inlineStr">
        <is>
          <t>태초의 열매 x1</t>
        </is>
      </c>
      <c r="E22" s="8" t="inlineStr">
        <is>
          <t>30,000 골드</t>
        </is>
      </c>
      <c r="F22" s="8" t="inlineStr">
        <is>
          <t>신화급 요리 유일 재료</t>
        </is>
      </c>
      <c r="G22" s="8" t="inlineStr">
        <is>
          <t>전 스탯 +5% 7일</t>
        </is>
      </c>
      <c r="H22" s="8" t="inlineStr">
        <is>
          <t>태초의 나무 (0.01%) — 영구 스탯 +1% (1회 한정)</t>
        </is>
      </c>
    </row>
    <row r="23">
      <c r="A23" s="9" t="inlineStr">
        <is>
          <t>신의 과일나무 🌟</t>
        </is>
      </c>
      <c r="B23" s="9" t="inlineStr">
        <is>
          <t>100,000 골드</t>
        </is>
      </c>
      <c r="C23" s="9" t="inlineStr">
        <is>
          <t>90일</t>
        </is>
      </c>
      <c r="D23" s="9" t="inlineStr">
        <is>
          <t>신의 과일 x1</t>
        </is>
      </c>
      <c r="E23" s="9" t="inlineStr">
        <is>
          <t>50,000 골드</t>
        </is>
      </c>
      <c r="F23" s="9" t="inlineStr">
        <is>
          <t>신급 만찬 유일 재료</t>
        </is>
      </c>
      <c r="G23" s="9" t="inlineStr">
        <is>
          <t>서버 전체 버프: 전 스탯 +2% 24시간</t>
        </is>
      </c>
      <c r="H23" s="9" t="inlineStr">
        <is>
          <t>에덴의 나무 (0.005%) — 서버 최초 재배 시 전설 칭호</t>
        </is>
      </c>
    </row>
  </sheetData>
  <mergeCells count="1">
    <mergeCell ref="A1:H1"/>
  </mergeCell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12" customWidth="1" min="1" max="1"/>
    <col width="22" customWidth="1" min="2" max="2"/>
    <col width="12" customWidth="1" min="3" max="3"/>
    <col width="16" customWidth="1" min="4" max="4"/>
    <col width="24" customWidth="1" min="5" max="5"/>
    <col width="22" customWidth="1" min="6" max="6"/>
    <col width="30" customWidth="1" min="7" max="7"/>
  </cols>
  <sheetData>
    <row r="1">
      <c r="A1" s="6" t="inlineStr">
        <is>
          <t>하우징 가구 &amp; 장식 50종 (500점 도달 시 HP+3% 버프)</t>
        </is>
      </c>
    </row>
    <row r="3">
      <c r="A3" s="7" t="inlineStr">
        <is>
          <t>카테고리</t>
        </is>
      </c>
      <c r="B3" s="7" t="inlineStr">
        <is>
          <t>아이템</t>
        </is>
      </c>
      <c r="C3" s="7" t="inlineStr">
        <is>
          <t>장식 점수</t>
        </is>
      </c>
      <c r="D3" s="7" t="inlineStr">
        <is>
          <t>비용</t>
        </is>
      </c>
      <c r="E3" s="7" t="inlineStr">
        <is>
          <t>획득 방법</t>
        </is>
      </c>
      <c r="F3" s="7" t="inlineStr">
        <is>
          <t>효과</t>
        </is>
      </c>
      <c r="G3" s="7" t="inlineStr">
        <is>
          <t>설명</t>
        </is>
      </c>
    </row>
    <row r="4">
      <c r="A4" s="8" t="inlineStr">
        <is>
          <t>가구</t>
        </is>
      </c>
      <c r="B4" s="8" t="inlineStr">
        <is>
          <t>나무 의자</t>
        </is>
      </c>
      <c r="C4" s="8" t="n">
        <v>1</v>
      </c>
      <c r="D4" s="8" t="inlineStr">
        <is>
          <t>200 골드</t>
        </is>
      </c>
      <c r="E4" s="8" t="inlineStr">
        <is>
          <t>상점 구매</t>
        </is>
      </c>
      <c r="F4" s="8" t="inlineStr">
        <is>
          <t>없음</t>
        </is>
      </c>
      <c r="G4" s="8" t="inlineStr">
        <is>
          <t>소박하지만 편안한 나무 의자</t>
        </is>
      </c>
    </row>
    <row r="5">
      <c r="A5" s="9" t="inlineStr">
        <is>
          <t>가구</t>
        </is>
      </c>
      <c r="B5" s="9" t="inlineStr">
        <is>
          <t>참나무 테이블</t>
        </is>
      </c>
      <c r="C5" s="9" t="n">
        <v>2</v>
      </c>
      <c r="D5" s="9" t="inlineStr">
        <is>
          <t>350 골드</t>
        </is>
      </c>
      <c r="E5" s="9" t="inlineStr">
        <is>
          <t>상점 구매</t>
        </is>
      </c>
      <c r="F5" s="9" t="inlineStr">
        <is>
          <t>없음</t>
        </is>
      </c>
      <c r="G5" s="9" t="inlineStr">
        <is>
          <t>4인용 식탁으로 사용 가능</t>
        </is>
      </c>
    </row>
    <row r="6">
      <c r="A6" s="8" t="inlineStr">
        <is>
          <t>가구</t>
        </is>
      </c>
      <c r="B6" s="8" t="inlineStr">
        <is>
          <t>나무 침대</t>
        </is>
      </c>
      <c r="C6" s="8" t="n">
        <v>3</v>
      </c>
      <c r="D6" s="8" t="inlineStr">
        <is>
          <t>500 골드</t>
        </is>
      </c>
      <c r="E6" s="8" t="inlineStr">
        <is>
          <t>상점 구매</t>
        </is>
      </c>
      <c r="F6" s="8" t="inlineStr">
        <is>
          <t>HP 재생 +1/초</t>
        </is>
      </c>
      <c r="G6" s="8" t="inlineStr">
        <is>
          <t>편안한 수면으로 체력 회복</t>
        </is>
      </c>
    </row>
    <row r="7">
      <c r="A7" s="9" t="inlineStr">
        <is>
          <t>가구</t>
        </is>
      </c>
      <c r="B7" s="9" t="inlineStr">
        <is>
          <t>이층 침대</t>
        </is>
      </c>
      <c r="C7" s="9" t="n">
        <v>5</v>
      </c>
      <c r="D7" s="9" t="inlineStr">
        <is>
          <t>800 골드</t>
        </is>
      </c>
      <c r="E7" s="9" t="inlineStr">
        <is>
          <t>목공 제작</t>
        </is>
      </c>
      <c r="F7" s="9" t="inlineStr">
        <is>
          <t>HP 재생 +2/초</t>
        </is>
      </c>
      <c r="G7" s="9" t="inlineStr">
        <is>
          <t>용병도 함께 쉴 수 있는 침대</t>
        </is>
      </c>
    </row>
    <row r="8">
      <c r="A8" s="8" t="inlineStr">
        <is>
          <t>가구</t>
        </is>
      </c>
      <c r="B8" s="8" t="inlineStr">
        <is>
          <t>고급 소파</t>
        </is>
      </c>
      <c r="C8" s="8" t="n">
        <v>6</v>
      </c>
      <c r="D8" s="8" t="inlineStr">
        <is>
          <t>1,200 골드</t>
        </is>
      </c>
      <c r="E8" s="8" t="inlineStr">
        <is>
          <t>상점 구매</t>
        </is>
      </c>
      <c r="F8" s="8" t="inlineStr">
        <is>
          <t>피로도 회복 +10%</t>
        </is>
      </c>
      <c r="G8" s="8" t="inlineStr">
        <is>
          <t>부드러운 가죽 소파</t>
        </is>
      </c>
    </row>
    <row r="9">
      <c r="A9" s="9" t="inlineStr">
        <is>
          <t>가구</t>
        </is>
      </c>
      <c r="B9" s="9" t="inlineStr">
        <is>
          <t>참나무 서재</t>
        </is>
      </c>
      <c r="C9" s="9" t="n">
        <v>8</v>
      </c>
      <c r="D9" s="9" t="inlineStr">
        <is>
          <t>1,500 골드</t>
        </is>
      </c>
      <c r="E9" s="9" t="inlineStr">
        <is>
          <t>목공 제작</t>
        </is>
      </c>
      <c r="F9" s="9" t="inlineStr">
        <is>
          <t>경험치 +2%</t>
        </is>
      </c>
      <c r="G9" s="9" t="inlineStr">
        <is>
          <t>독서로 지혜를 쌓는 공간</t>
        </is>
      </c>
    </row>
    <row r="10">
      <c r="A10" s="8" t="inlineStr">
        <is>
          <t>가구</t>
        </is>
      </c>
      <c r="B10" s="8" t="inlineStr">
        <is>
          <t>마법 책장</t>
        </is>
      </c>
      <c r="C10" s="8" t="n">
        <v>10</v>
      </c>
      <c r="D10" s="8" t="inlineStr">
        <is>
          <t>2,000 골드</t>
        </is>
      </c>
      <c r="E10" s="8" t="inlineStr">
        <is>
          <t>마법사 NPC 퀘스트</t>
        </is>
      </c>
      <c r="F10" s="8" t="inlineStr">
        <is>
          <t>스킬 쿨타임 -1%</t>
        </is>
      </c>
      <c r="G10" s="8" t="inlineStr">
        <is>
          <t>마법서가 자동으로 정렬되는 신비한 책장</t>
        </is>
      </c>
    </row>
    <row r="11">
      <c r="A11" s="9" t="inlineStr">
        <is>
          <t>가구</t>
        </is>
      </c>
      <c r="B11" s="9" t="inlineStr">
        <is>
          <t>왕실 찬장</t>
        </is>
      </c>
      <c r="C11" s="9" t="n">
        <v>7</v>
      </c>
      <c r="D11" s="9" t="inlineStr">
        <is>
          <t>1,800 골드</t>
        </is>
      </c>
      <c r="E11" s="9" t="inlineStr">
        <is>
          <t>상점 구매</t>
        </is>
      </c>
      <c r="F11" s="9" t="inlineStr">
        <is>
          <t>요리 보관 슬롯 +5</t>
        </is>
      </c>
      <c r="G11" s="9" t="inlineStr">
        <is>
          <t>화려한 금장식의 찬장</t>
        </is>
      </c>
    </row>
    <row r="12">
      <c r="A12" s="8" t="inlineStr">
        <is>
          <t>가구</t>
        </is>
      </c>
      <c r="B12" s="8" t="inlineStr">
        <is>
          <t>대리석 식탁</t>
        </is>
      </c>
      <c r="C12" s="8" t="n">
        <v>12</v>
      </c>
      <c r="D12" s="8" t="inlineStr">
        <is>
          <t>3,000 골드</t>
        </is>
      </c>
      <c r="E12" s="8" t="inlineStr">
        <is>
          <t>석재 제작</t>
        </is>
      </c>
      <c r="F12" s="8" t="inlineStr">
        <is>
          <t>요리 효과 +5%</t>
        </is>
      </c>
      <c r="G12" s="8" t="inlineStr">
        <is>
          <t>고급 대리석으로 만든 식탁</t>
        </is>
      </c>
    </row>
    <row r="13">
      <c r="A13" s="9" t="inlineStr">
        <is>
          <t>가구</t>
        </is>
      </c>
      <c r="B13" s="9" t="inlineStr">
        <is>
          <t>용사의 침대</t>
        </is>
      </c>
      <c r="C13" s="9" t="n">
        <v>15</v>
      </c>
      <c r="D13" s="9" t="inlineStr">
        <is>
          <t>5,000 골드</t>
        </is>
      </c>
      <c r="E13" s="9" t="inlineStr">
        <is>
          <t>업적 "100전 100승" 달성</t>
        </is>
      </c>
      <c r="F13" s="9" t="inlineStr">
        <is>
          <t>HP 재생 +5/초, 전투력 +1%</t>
        </is>
      </c>
      <c r="G13" s="9" t="inlineStr">
        <is>
          <t>전장의 기운이 깃든 특별한 침대</t>
        </is>
      </c>
    </row>
    <row r="14">
      <c r="A14" s="8" t="inlineStr">
        <is>
          <t>가구</t>
        </is>
      </c>
      <c r="B14" s="8" t="inlineStr">
        <is>
          <t>연금술 작업대</t>
        </is>
      </c>
      <c r="C14" s="8" t="n">
        <v>10</v>
      </c>
      <c r="D14" s="8" t="inlineStr">
        <is>
          <t>2,500 골드</t>
        </is>
      </c>
      <c r="E14" s="8" t="inlineStr">
        <is>
          <t>연금술 Lv5</t>
        </is>
      </c>
      <c r="F14" s="8" t="inlineStr">
        <is>
          <t>포션 제작 비용 -10%</t>
        </is>
      </c>
      <c r="G14" s="8" t="inlineStr">
        <is>
          <t>각종 포션을 제작하는 작업대</t>
        </is>
      </c>
    </row>
    <row r="15">
      <c r="A15" s="9" t="inlineStr">
        <is>
          <t>가구</t>
        </is>
      </c>
      <c r="B15" s="9" t="inlineStr">
        <is>
          <t>대장장이 모루</t>
        </is>
      </c>
      <c r="C15" s="9" t="n">
        <v>10</v>
      </c>
      <c r="D15" s="9" t="inlineStr">
        <is>
          <t>2,500 골드</t>
        </is>
      </c>
      <c r="E15" s="9" t="inlineStr">
        <is>
          <t>대장장이 Lv5</t>
        </is>
      </c>
      <c r="F15" s="9" t="inlineStr">
        <is>
          <t>장비 강화 비용 -5%</t>
        </is>
      </c>
      <c r="G15" s="9" t="inlineStr">
        <is>
          <t>무기와 방어구를 강화하는 모루</t>
        </is>
      </c>
    </row>
    <row r="16">
      <c r="A16" s="8" t="inlineStr">
        <is>
          <t>가구</t>
        </is>
      </c>
      <c r="B16" s="8" t="inlineStr">
        <is>
          <t>마법진 카펫</t>
        </is>
      </c>
      <c r="C16" s="8" t="n">
        <v>18</v>
      </c>
      <c r="D16" s="8" t="inlineStr">
        <is>
          <t>8,000 골드</t>
        </is>
      </c>
      <c r="E16" s="8" t="inlineStr">
        <is>
          <t>심연의 탑 50층 보상</t>
        </is>
      </c>
      <c r="F16" s="8" t="inlineStr">
        <is>
          <t>마나 회복 +3/초</t>
        </is>
      </c>
      <c r="G16" s="8" t="inlineStr">
        <is>
          <t>고대 마법이 새겨진 카펫</t>
        </is>
      </c>
    </row>
    <row r="17">
      <c r="A17" s="9" t="inlineStr">
        <is>
          <t>가구</t>
        </is>
      </c>
      <c r="B17" s="9" t="inlineStr">
        <is>
          <t>황금 왕좌</t>
        </is>
      </c>
      <c r="C17" s="9" t="n">
        <v>25</v>
      </c>
      <c r="D17" s="9" t="inlineStr">
        <is>
          <t>20,000 골드</t>
        </is>
      </c>
      <c r="E17" s="9" t="inlineStr">
        <is>
          <t>공성전 5회 승리</t>
        </is>
      </c>
      <c r="F17" s="9" t="inlineStr">
        <is>
          <t>골드 획득 +3%</t>
        </is>
      </c>
      <c r="G17" s="9" t="inlineStr">
        <is>
          <t>성주만이 앉을 수 있는 왕좌</t>
        </is>
      </c>
    </row>
    <row r="18">
      <c r="A18" s="8" t="inlineStr">
        <is>
          <t>가구</t>
        </is>
      </c>
      <c r="B18" s="8" t="inlineStr">
        <is>
          <t>드래곤 골드 침대</t>
        </is>
      </c>
      <c r="C18" s="8" t="n">
        <v>30</v>
      </c>
      <c r="D18" s="8" t="inlineStr">
        <is>
          <t>50,000 골드</t>
        </is>
      </c>
      <c r="E18" s="8" t="inlineStr">
        <is>
          <t>월드 보스 처치 10회</t>
        </is>
      </c>
      <c r="F18" s="8" t="inlineStr">
        <is>
          <t>전 스탯 +2%, HP 재생 +10/초</t>
        </is>
      </c>
      <c r="G18" s="8" t="inlineStr">
        <is>
          <t>용의 비늘로 만든 전설의 침대</t>
        </is>
      </c>
    </row>
    <row r="19">
      <c r="A19" s="9" t="inlineStr">
        <is>
          <t>벽장식</t>
        </is>
      </c>
      <c r="B19" s="9" t="inlineStr">
        <is>
          <t>나무 액자</t>
        </is>
      </c>
      <c r="C19" s="9" t="n">
        <v>1</v>
      </c>
      <c r="D19" s="9" t="inlineStr">
        <is>
          <t>100 골드</t>
        </is>
      </c>
      <c r="E19" s="9" t="inlineStr">
        <is>
          <t>상점 구매</t>
        </is>
      </c>
      <c r="F19" s="9" t="inlineStr">
        <is>
          <t>없음</t>
        </is>
      </c>
      <c r="G19" s="9" t="inlineStr">
        <is>
          <t>심플한 나무 액자</t>
        </is>
      </c>
    </row>
    <row r="20">
      <c r="A20" s="8" t="inlineStr">
        <is>
          <t>벽장식</t>
        </is>
      </c>
      <c r="B20" s="8" t="inlineStr">
        <is>
          <t>전투 깃발</t>
        </is>
      </c>
      <c r="C20" s="8" t="n">
        <v>3</v>
      </c>
      <c r="D20" s="8" t="inlineStr">
        <is>
          <t>400 골드</t>
        </is>
      </c>
      <c r="E20" s="8" t="inlineStr">
        <is>
          <t>PvP 10승</t>
        </is>
      </c>
      <c r="F20" s="8" t="inlineStr">
        <is>
          <t>없음</t>
        </is>
      </c>
      <c r="G20" s="8" t="inlineStr">
        <is>
          <t>혈맹의 문장이 새겨진 깃발</t>
        </is>
      </c>
    </row>
    <row r="21">
      <c r="A21" s="9" t="inlineStr">
        <is>
          <t>벽장식</t>
        </is>
      </c>
      <c r="B21" s="9" t="inlineStr">
        <is>
          <t>사냥 트로피 (늑대)</t>
        </is>
      </c>
      <c r="C21" s="9" t="n">
        <v>5</v>
      </c>
      <c r="D21" s="9" t="inlineStr">
        <is>
          <t>800 골드</t>
        </is>
      </c>
      <c r="E21" s="9" t="inlineStr">
        <is>
          <t>필드 보스 처치 5회</t>
        </is>
      </c>
      <c r="F21" s="9" t="inlineStr">
        <is>
          <t>없음</t>
        </is>
      </c>
      <c r="G21" s="9" t="inlineStr">
        <is>
          <t>박제된 늑대 머리 장식</t>
        </is>
      </c>
    </row>
    <row r="22">
      <c r="A22" s="8" t="inlineStr">
        <is>
          <t>벽장식</t>
        </is>
      </c>
      <c r="B22" s="8" t="inlineStr">
        <is>
          <t>무기 진열대</t>
        </is>
      </c>
      <c r="C22" s="8" t="n">
        <v>8</v>
      </c>
      <c r="D22" s="8" t="inlineStr">
        <is>
          <t>1,500 골드</t>
        </is>
      </c>
      <c r="E22" s="8" t="inlineStr">
        <is>
          <t>목공 제작</t>
        </is>
      </c>
      <c r="F22" s="8" t="inlineStr">
        <is>
          <t>없음</t>
        </is>
      </c>
      <c r="G22" s="8" t="inlineStr">
        <is>
          <t>수집한 무기를 전시하는 진열대</t>
        </is>
      </c>
    </row>
    <row r="23">
      <c r="A23" s="9" t="inlineStr">
        <is>
          <t>벽장식</t>
        </is>
      </c>
      <c r="B23" s="9" t="inlineStr">
        <is>
          <t>용병 초상화</t>
        </is>
      </c>
      <c r="C23" s="9" t="n">
        <v>6</v>
      </c>
      <c r="D23" s="9" t="inlineStr">
        <is>
          <t>1,000 골드</t>
        </is>
      </c>
      <c r="E23" s="9" t="inlineStr">
        <is>
          <t>용병 호감도 MAX</t>
        </is>
      </c>
      <c r="F23" s="9" t="inlineStr">
        <is>
          <t>해당 용병 ATK +1%</t>
        </is>
      </c>
      <c r="G23" s="9" t="inlineStr">
        <is>
          <t>좋아하는 용병의 초상화</t>
        </is>
      </c>
    </row>
    <row r="24">
      <c r="A24" s="8" t="inlineStr">
        <is>
          <t>벽장식</t>
        </is>
      </c>
      <c r="B24" s="8" t="inlineStr">
        <is>
          <t>세계 지도</t>
        </is>
      </c>
      <c r="C24" s="8" t="n">
        <v>7</v>
      </c>
      <c r="D24" s="8" t="inlineStr">
        <is>
          <t>1,200 골드</t>
        </is>
      </c>
      <c r="E24" s="8" t="inlineStr">
        <is>
          <t>모든 지역 탐험 완료</t>
        </is>
      </c>
      <c r="F24" s="8" t="inlineStr">
        <is>
          <t>탐험 보상 +3%</t>
        </is>
      </c>
      <c r="G24" s="8" t="inlineStr">
        <is>
          <t>발견한 모든 지역이 표시된 지도</t>
        </is>
      </c>
    </row>
    <row r="25">
      <c r="A25" s="9" t="inlineStr">
        <is>
          <t>벽장식</t>
        </is>
      </c>
      <c r="B25" s="9" t="inlineStr">
        <is>
          <t>마법 거울</t>
        </is>
      </c>
      <c r="C25" s="9" t="n">
        <v>10</v>
      </c>
      <c r="D25" s="9" t="inlineStr">
        <is>
          <t>3,000 골드</t>
        </is>
      </c>
      <c r="E25" s="9" t="inlineStr">
        <is>
          <t>마법 연구소 Lv5</t>
        </is>
      </c>
      <c r="F25" s="9" t="inlineStr">
        <is>
          <t>외형 변경 무료</t>
        </is>
      </c>
      <c r="G25" s="9" t="inlineStr">
        <is>
          <t>다른 외형을 비추는 마법 거울</t>
        </is>
      </c>
    </row>
    <row r="26">
      <c r="A26" s="8" t="inlineStr">
        <is>
          <t>벽장식</t>
        </is>
      </c>
      <c r="B26" s="8" t="inlineStr">
        <is>
          <t>드래곤 두개골</t>
        </is>
      </c>
      <c r="C26" s="8" t="n">
        <v>15</v>
      </c>
      <c r="D26" s="8" t="inlineStr">
        <is>
          <t>10,000 골드</t>
        </is>
      </c>
      <c r="E26" s="8" t="inlineStr">
        <is>
          <t>드래곤 월드 보스 처치</t>
        </is>
      </c>
      <c r="F26" s="8" t="inlineStr">
        <is>
          <t>방문자 위압: 방어력 +2%</t>
        </is>
      </c>
      <c r="G26" s="8" t="inlineStr">
        <is>
          <t>거대한 드래곤 두개골 벽걸이</t>
        </is>
      </c>
    </row>
    <row r="27">
      <c r="A27" s="9" t="inlineStr">
        <is>
          <t>벽장식</t>
        </is>
      </c>
      <c r="B27" s="9" t="inlineStr">
        <is>
          <t>시즌1 기념 배너</t>
        </is>
      </c>
      <c r="C27" s="9" t="n">
        <v>12</v>
      </c>
      <c r="D27" s="9" t="inlineStr">
        <is>
          <t>시즌1 한정</t>
        </is>
      </c>
      <c r="E27" s="9" t="inlineStr">
        <is>
          <t>시즌1 배틀패스 Lv50</t>
        </is>
      </c>
      <c r="F27" s="9" t="inlineStr">
        <is>
          <t>칭호 효과 +5%</t>
        </is>
      </c>
      <c r="G27" s="9" t="inlineStr">
        <is>
          <t>첫 번째 시즌의 기억을 담은 배너</t>
        </is>
      </c>
    </row>
    <row r="28">
      <c r="A28" s="8" t="inlineStr">
        <is>
          <t>벽장식</t>
        </is>
      </c>
      <c r="B28" s="8" t="inlineStr">
        <is>
          <t>전설 무기 홀로그램</t>
        </is>
      </c>
      <c r="C28" s="8" t="n">
        <v>20</v>
      </c>
      <c r="D28" s="8" t="inlineStr">
        <is>
          <t>비매품</t>
        </is>
      </c>
      <c r="E28" s="8" t="inlineStr">
        <is>
          <t>히든 보스 처치</t>
        </is>
      </c>
      <c r="F28" s="8" t="inlineStr">
        <is>
          <t>ATK +2%</t>
        </is>
      </c>
      <c r="G28" s="8" t="inlineStr">
        <is>
          <t>전설 무기가 홀로그램으로 떠오른다</t>
        </is>
      </c>
    </row>
    <row r="29">
      <c r="A29" s="9" t="inlineStr">
        <is>
          <t>바닥</t>
        </is>
      </c>
      <c r="B29" s="9" t="inlineStr">
        <is>
          <t>돌바닥</t>
        </is>
      </c>
      <c r="C29" s="9" t="n">
        <v>2</v>
      </c>
      <c r="D29" s="9" t="inlineStr">
        <is>
          <t>300 골드</t>
        </is>
      </c>
      <c r="E29" s="9" t="inlineStr">
        <is>
          <t>상점 구매</t>
        </is>
      </c>
      <c r="F29" s="9" t="inlineStr">
        <is>
          <t>없음</t>
        </is>
      </c>
      <c r="G29" s="9" t="inlineStr">
        <is>
          <t>견고한 돌로 된 기본 바닥</t>
        </is>
      </c>
    </row>
    <row r="30">
      <c r="A30" s="8" t="inlineStr">
        <is>
          <t>바닥</t>
        </is>
      </c>
      <c r="B30" s="8" t="inlineStr">
        <is>
          <t>참나무 마루</t>
        </is>
      </c>
      <c r="C30" s="8" t="n">
        <v>4</v>
      </c>
      <c r="D30" s="8" t="inlineStr">
        <is>
          <t>600 골드</t>
        </is>
      </c>
      <c r="E30" s="8" t="inlineStr">
        <is>
          <t>목공 제작</t>
        </is>
      </c>
      <c r="F30" s="8" t="inlineStr">
        <is>
          <t>이동속도 +2% (성 내)</t>
        </is>
      </c>
      <c r="G30" s="8" t="inlineStr">
        <is>
          <t>따뜻한 느낌의 나무 마루</t>
        </is>
      </c>
    </row>
    <row r="31">
      <c r="A31" s="9" t="inlineStr">
        <is>
          <t>바닥</t>
        </is>
      </c>
      <c r="B31" s="9" t="inlineStr">
        <is>
          <t>고급 카펫</t>
        </is>
      </c>
      <c r="C31" s="9" t="n">
        <v>8</v>
      </c>
      <c r="D31" s="9" t="inlineStr">
        <is>
          <t>2,000 골드</t>
        </is>
      </c>
      <c r="E31" s="9" t="inlineStr">
        <is>
          <t>무역 상인 구매</t>
        </is>
      </c>
      <c r="F31" s="9" t="inlineStr">
        <is>
          <t>피로도 회복 +5%</t>
        </is>
      </c>
      <c r="G31" s="9" t="inlineStr">
        <is>
          <t>부드럽고 화려한 문양의 카펫</t>
        </is>
      </c>
    </row>
    <row r="32">
      <c r="A32" s="8" t="inlineStr">
        <is>
          <t>바닥</t>
        </is>
      </c>
      <c r="B32" s="8" t="inlineStr">
        <is>
          <t>용암 바닥</t>
        </is>
      </c>
      <c r="C32" s="8" t="n">
        <v>15</v>
      </c>
      <c r="D32" s="8" t="inlineStr">
        <is>
          <t>10,000 골드</t>
        </is>
      </c>
      <c r="E32" s="8" t="inlineStr">
        <is>
          <t>화염 지역 정복</t>
        </is>
      </c>
      <c r="F32" s="8" t="inlineStr">
        <is>
          <t>화속성 피해 +5%</t>
        </is>
      </c>
      <c r="G32" s="8" t="inlineStr">
        <is>
          <t>마그마가 흐르는 위험한 바닥</t>
        </is>
      </c>
    </row>
    <row r="33">
      <c r="A33" s="9" t="inlineStr">
        <is>
          <t>바닥</t>
        </is>
      </c>
      <c r="B33" s="9" t="inlineStr">
        <is>
          <t>얼음 바닥</t>
        </is>
      </c>
      <c r="C33" s="9" t="n">
        <v>15</v>
      </c>
      <c r="D33" s="9" t="inlineStr">
        <is>
          <t>10,000 골드</t>
        </is>
      </c>
      <c r="E33" s="9" t="inlineStr">
        <is>
          <t>빙하 지역 정복</t>
        </is>
      </c>
      <c r="F33" s="9" t="inlineStr">
        <is>
          <t>빙속성 피해 +5%</t>
        </is>
      </c>
      <c r="G33" s="9" t="inlineStr">
        <is>
          <t>영원히 녹지 않는 투명한 얼음 바닥</t>
        </is>
      </c>
    </row>
    <row r="34">
      <c r="A34" s="8" t="inlineStr">
        <is>
          <t>조명</t>
        </is>
      </c>
      <c r="B34" s="8" t="inlineStr">
        <is>
          <t>촛불 세트</t>
        </is>
      </c>
      <c r="C34" s="8" t="n">
        <v>1</v>
      </c>
      <c r="D34" s="8" t="inlineStr">
        <is>
          <t>150 골드</t>
        </is>
      </c>
      <c r="E34" s="8" t="inlineStr">
        <is>
          <t>상점 구매</t>
        </is>
      </c>
      <c r="F34" s="8" t="inlineStr">
        <is>
          <t>없음</t>
        </is>
      </c>
      <c r="G34" s="8" t="inlineStr">
        <is>
          <t>은은한 촛불 조명</t>
        </is>
      </c>
    </row>
    <row r="35">
      <c r="A35" s="9" t="inlineStr">
        <is>
          <t>조명</t>
        </is>
      </c>
      <c r="B35" s="9" t="inlineStr">
        <is>
          <t>마법등</t>
        </is>
      </c>
      <c r="C35" s="9" t="n">
        <v>5</v>
      </c>
      <c r="D35" s="9" t="inlineStr">
        <is>
          <t>800 골드</t>
        </is>
      </c>
      <c r="E35" s="9" t="inlineStr">
        <is>
          <t>마법 연구소 Lv2</t>
        </is>
      </c>
      <c r="F35" s="9" t="inlineStr">
        <is>
          <t>마나 회복 +1/초</t>
        </is>
      </c>
      <c r="G35" s="9" t="inlineStr">
        <is>
          <t>푸른빛이 감도는 마법 조명</t>
        </is>
      </c>
    </row>
    <row r="36">
      <c r="A36" s="8" t="inlineStr">
        <is>
          <t>조명</t>
        </is>
      </c>
      <c r="B36" s="8" t="inlineStr">
        <is>
          <t>크리스탈 샹들리에</t>
        </is>
      </c>
      <c r="C36" s="8" t="n">
        <v>12</v>
      </c>
      <c r="D36" s="8" t="inlineStr">
        <is>
          <t>5,000 골드</t>
        </is>
      </c>
      <c r="E36" s="8" t="inlineStr">
        <is>
          <t>보석 세공 Lv7</t>
        </is>
      </c>
      <c r="F36" s="8" t="inlineStr">
        <is>
          <t>장식 점수 보너스 +10%</t>
        </is>
      </c>
      <c r="G36" s="8" t="inlineStr">
        <is>
          <t>빛을 반사하는 화려한 크리스탈</t>
        </is>
      </c>
    </row>
    <row r="37">
      <c r="A37" s="9" t="inlineStr">
        <is>
          <t>조명</t>
        </is>
      </c>
      <c r="B37" s="9" t="inlineStr">
        <is>
          <t>벽난로</t>
        </is>
      </c>
      <c r="C37" s="9" t="n">
        <v>8</v>
      </c>
      <c r="D37" s="9" t="inlineStr">
        <is>
          <t>2,000 골드</t>
        </is>
      </c>
      <c r="E37" s="9" t="inlineStr">
        <is>
          <t>석재 제작</t>
        </is>
      </c>
      <c r="F37" s="9" t="inlineStr">
        <is>
          <t>HP 재생 +2/초, 요리 가능</t>
        </is>
      </c>
      <c r="G37" s="9" t="inlineStr">
        <is>
          <t>따뜻한 불빛과 요리 기능 제공</t>
        </is>
      </c>
    </row>
    <row r="38">
      <c r="A38" s="8" t="inlineStr">
        <is>
          <t>조명</t>
        </is>
      </c>
      <c r="B38" s="8" t="inlineStr">
        <is>
          <t>별빛등</t>
        </is>
      </c>
      <c r="C38" s="8" t="n">
        <v>18</v>
      </c>
      <c r="D38" s="8" t="inlineStr">
        <is>
          <t>15,000 골드</t>
        </is>
      </c>
      <c r="E38" s="8" t="inlineStr">
        <is>
          <t>별빛 열매 수확 5회</t>
        </is>
      </c>
      <c r="F38" s="8" t="inlineStr">
        <is>
          <t>야간 드롭률 +3%</t>
        </is>
      </c>
      <c r="G38" s="8" t="inlineStr">
        <is>
          <t>별빛을 담은 신비로운 조명</t>
        </is>
      </c>
    </row>
    <row r="39">
      <c r="A39" s="9" t="inlineStr">
        <is>
          <t>정원</t>
        </is>
      </c>
      <c r="B39" s="9" t="inlineStr">
        <is>
          <t>돌 분수</t>
        </is>
      </c>
      <c r="C39" s="9" t="n">
        <v>6</v>
      </c>
      <c r="D39" s="9" t="inlineStr">
        <is>
          <t>1,000 골드</t>
        </is>
      </c>
      <c r="E39" s="9" t="inlineStr">
        <is>
          <t>석재 제작</t>
        </is>
      </c>
      <c r="F39" s="9" t="inlineStr">
        <is>
          <t>정원 재배 속도 +3%</t>
        </is>
      </c>
      <c r="G39" s="9" t="inlineStr">
        <is>
          <t>물 흐르는 소리가 나는 분수</t>
        </is>
      </c>
    </row>
    <row r="40">
      <c r="A40" s="8" t="inlineStr">
        <is>
          <t>정원</t>
        </is>
      </c>
      <c r="B40" s="8" t="inlineStr">
        <is>
          <t>나무 벤치</t>
        </is>
      </c>
      <c r="C40" s="8" t="n">
        <v>3</v>
      </c>
      <c r="D40" s="8" t="inlineStr">
        <is>
          <t>400 골드</t>
        </is>
      </c>
      <c r="E40" s="8" t="inlineStr">
        <is>
          <t>목공 제작</t>
        </is>
      </c>
      <c r="F40" s="8" t="inlineStr">
        <is>
          <t>없음</t>
        </is>
      </c>
      <c r="G40" s="8" t="inlineStr">
        <is>
          <t>정원에서 쉬어가는 벤치</t>
        </is>
      </c>
    </row>
    <row r="41">
      <c r="A41" s="9" t="inlineStr">
        <is>
          <t>정원</t>
        </is>
      </c>
      <c r="B41" s="9" t="inlineStr">
        <is>
          <t>마법 가로등</t>
        </is>
      </c>
      <c r="C41" s="9" t="n">
        <v>5</v>
      </c>
      <c r="D41" s="9" t="inlineStr">
        <is>
          <t>700 골드</t>
        </is>
      </c>
      <c r="E41" s="9" t="inlineStr">
        <is>
          <t>상점 구매</t>
        </is>
      </c>
      <c r="F41" s="9" t="inlineStr">
        <is>
          <t>야간 시야 +10%</t>
        </is>
      </c>
      <c r="G41" s="9" t="inlineStr">
        <is>
          <t>밤에 자동으로 켜지는 가로등</t>
        </is>
      </c>
    </row>
    <row r="42">
      <c r="A42" s="8" t="inlineStr">
        <is>
          <t>정원</t>
        </is>
      </c>
      <c r="B42" s="8" t="inlineStr">
        <is>
          <t>꽃밭</t>
        </is>
      </c>
      <c r="C42" s="8" t="n">
        <v>8</v>
      </c>
      <c r="D42" s="8" t="inlineStr">
        <is>
          <t>1,500 골드</t>
        </is>
      </c>
      <c r="E42" s="8" t="inlineStr">
        <is>
          <t>원예 Lv3</t>
        </is>
      </c>
      <c r="F42" s="8" t="inlineStr">
        <is>
          <t>방문자 호감도 +5</t>
        </is>
      </c>
      <c r="G42" s="8" t="inlineStr">
        <is>
          <t>계절마다 다른 꽃이 피는 꽃밭</t>
        </is>
      </c>
    </row>
    <row r="43">
      <c r="A43" s="9" t="inlineStr">
        <is>
          <t>정원</t>
        </is>
      </c>
      <c r="B43" s="9" t="inlineStr">
        <is>
          <t>잉어 연못</t>
        </is>
      </c>
      <c r="C43" s="9" t="n">
        <v>10</v>
      </c>
      <c r="D43" s="9" t="inlineStr">
        <is>
          <t>3,000 골드</t>
        </is>
      </c>
      <c r="E43" s="9" t="inlineStr">
        <is>
          <t>낚시 Lv5</t>
        </is>
      </c>
      <c r="F43" s="9" t="inlineStr">
        <is>
          <t>낚시 경험치 +5%</t>
        </is>
      </c>
      <c r="G43" s="9" t="inlineStr">
        <is>
          <t>잉어가 헤엄치는 아름다운 연못</t>
        </is>
      </c>
    </row>
    <row r="44">
      <c r="A44" s="8" t="inlineStr">
        <is>
          <t>특수</t>
        </is>
      </c>
      <c r="B44" s="8" t="inlineStr">
        <is>
          <t>공성전 승리의 깃발</t>
        </is>
      </c>
      <c r="C44" s="8" t="n">
        <v>20</v>
      </c>
      <c r="D44" s="8" t="inlineStr">
        <is>
          <t>비매품</t>
        </is>
      </c>
      <c r="E44" s="8" t="inlineStr">
        <is>
          <t>공성전 1위 혈맹 보상</t>
        </is>
      </c>
      <c r="F44" s="8" t="inlineStr">
        <is>
          <t>혈맹원 전투력 +1%</t>
        </is>
      </c>
      <c r="G44" s="8" t="inlineStr">
        <is>
          <t>공성전 승리를 증명하는 황금 깃발</t>
        </is>
      </c>
    </row>
    <row r="45">
      <c r="A45" s="9" t="inlineStr">
        <is>
          <t>특수</t>
        </is>
      </c>
      <c r="B45" s="9" t="inlineStr">
        <is>
          <t>시즌 MVP 트로피</t>
        </is>
      </c>
      <c r="C45" s="9" t="n">
        <v>25</v>
      </c>
      <c r="D45" s="9" t="inlineStr">
        <is>
          <t>비매품</t>
        </is>
      </c>
      <c r="E45" s="9" t="inlineStr">
        <is>
          <t>시즌 종합 1위</t>
        </is>
      </c>
      <c r="F45" s="9" t="inlineStr">
        <is>
          <t>경험치 +5%</t>
        </is>
      </c>
      <c r="G45" s="9" t="inlineStr">
        <is>
          <t>시즌 최강자에게만 주어지는 트로피</t>
        </is>
      </c>
    </row>
    <row r="46">
      <c r="A46" s="8" t="inlineStr">
        <is>
          <t>특수</t>
        </is>
      </c>
      <c r="B46" s="8" t="inlineStr">
        <is>
          <t>심연 정복자 석상</t>
        </is>
      </c>
      <c r="C46" s="8" t="n">
        <v>22</v>
      </c>
      <c r="D46" s="8" t="inlineStr">
        <is>
          <t>비매품</t>
        </is>
      </c>
      <c r="E46" s="8" t="inlineStr">
        <is>
          <t>심연의 탑 100층 클리어</t>
        </is>
      </c>
      <c r="F46" s="8" t="inlineStr">
        <is>
          <t>전 저항 +3%</t>
        </is>
      </c>
      <c r="G46" s="8" t="inlineStr">
        <is>
          <t>심연을 정복한 자의 석상</t>
        </is>
      </c>
    </row>
    <row r="47">
      <c r="A47" s="9" t="inlineStr">
        <is>
          <t>특수</t>
        </is>
      </c>
      <c r="B47" s="9" t="inlineStr">
        <is>
          <t>월드 보스 박제</t>
        </is>
      </c>
      <c r="C47" s="9" t="n">
        <v>18</v>
      </c>
      <c r="D47" s="9" t="inlineStr">
        <is>
          <t>비매품</t>
        </is>
      </c>
      <c r="E47" s="9" t="inlineStr">
        <is>
          <t>각 월드 보스 최초 처치</t>
        </is>
      </c>
      <c r="F47" s="9" t="inlineStr">
        <is>
          <t>해당 속성 피해 +3%</t>
        </is>
      </c>
      <c r="G47" s="9" t="inlineStr">
        <is>
          <t>월드 보스의 위엄이 느껴지는 박제</t>
        </is>
      </c>
    </row>
    <row r="48">
      <c r="A48" s="8" t="inlineStr">
        <is>
          <t>특수</t>
        </is>
      </c>
      <c r="B48" s="8" t="inlineStr">
        <is>
          <t>크리스마스 트리</t>
        </is>
      </c>
      <c r="C48" s="8" t="n">
        <v>15</v>
      </c>
      <c r="D48" s="8" t="inlineStr">
        <is>
          <t>이벤트 한정</t>
        </is>
      </c>
      <c r="E48" s="8" t="inlineStr">
        <is>
          <t>크리스마스 이벤트 참여</t>
        </is>
      </c>
      <c r="F48" s="8" t="inlineStr">
        <is>
          <t>파티원 HP +3%</t>
        </is>
      </c>
      <c r="G48" s="8" t="inlineStr">
        <is>
          <t>12월 한정 특별 트리</t>
        </is>
      </c>
    </row>
    <row r="49">
      <c r="A49" s="9" t="inlineStr">
        <is>
          <t>특수</t>
        </is>
      </c>
      <c r="B49" s="9" t="inlineStr">
        <is>
          <t>할로윈 호박</t>
        </is>
      </c>
      <c r="C49" s="9" t="n">
        <v>12</v>
      </c>
      <c r="D49" s="9" t="inlineStr">
        <is>
          <t>이벤트 한정</t>
        </is>
      </c>
      <c r="E49" s="9" t="inlineStr">
        <is>
          <t>할로윈 이벤트 참여</t>
        </is>
      </c>
      <c r="F49" s="9" t="inlineStr">
        <is>
          <t>야간 ATK +3%</t>
        </is>
      </c>
      <c r="G49" s="9" t="inlineStr">
        <is>
          <t>으스스한 빛이 나는 호박 장식</t>
        </is>
      </c>
    </row>
    <row r="50">
      <c r="A50" s="8" t="inlineStr">
        <is>
          <t>특수</t>
        </is>
      </c>
      <c r="B50" s="8" t="inlineStr">
        <is>
          <t>1주년 기념 케이크</t>
        </is>
      </c>
      <c r="C50" s="8" t="n">
        <v>30</v>
      </c>
      <c r="D50" s="8" t="inlineStr">
        <is>
          <t>비매품</t>
        </is>
      </c>
      <c r="E50" s="8" t="inlineStr">
        <is>
          <t>1주년 이벤트 로그인</t>
        </is>
      </c>
      <c r="F50" s="8" t="inlineStr">
        <is>
          <t>전 스탯 +1%</t>
        </is>
      </c>
      <c r="G50" s="8" t="inlineStr">
        <is>
          <t>게임 1주년을 기념하는 특별 케이크</t>
        </is>
      </c>
    </row>
    <row r="51">
      <c r="A51" s="9" t="inlineStr">
        <is>
          <t>특수</t>
        </is>
      </c>
      <c r="B51" s="9" t="inlineStr">
        <is>
          <t>업적 명예의 전당</t>
        </is>
      </c>
      <c r="C51" s="9" t="n">
        <v>35</v>
      </c>
      <c r="D51" s="9" t="inlineStr">
        <is>
          <t>비매품</t>
        </is>
      </c>
      <c r="E51" s="9" t="inlineStr">
        <is>
          <t>업적 100개 달성</t>
        </is>
      </c>
      <c r="F51" s="9" t="inlineStr">
        <is>
          <t>칭호 효과 +10%</t>
        </is>
      </c>
      <c r="G51" s="9" t="inlineStr">
        <is>
          <t>달성한 업적을 전시하는 홀</t>
        </is>
      </c>
    </row>
    <row r="52">
      <c r="A52" s="8" t="inlineStr">
        <is>
          <t>특수</t>
        </is>
      </c>
      <c r="B52" s="8" t="inlineStr">
        <is>
          <t>차원의 포탈 장식</t>
        </is>
      </c>
      <c r="C52" s="8" t="n">
        <v>40</v>
      </c>
      <c r="D52" s="8" t="inlineStr">
        <is>
          <t>비매품</t>
        </is>
      </c>
      <c r="E52" s="8" t="inlineStr">
        <is>
          <t>차원균열 모든 차원 클리어</t>
        </is>
      </c>
      <c r="F52" s="8" t="inlineStr">
        <is>
          <t>차원균열 보상 +5%</t>
        </is>
      </c>
      <c r="G52" s="8" t="inlineStr">
        <is>
          <t>미니어처 차원 포탈이 떠있는 장식</t>
        </is>
      </c>
    </row>
    <row r="53">
      <c r="A53" s="9" t="inlineStr">
        <is>
          <t>특수</t>
        </is>
      </c>
      <c r="B53" s="9" t="inlineStr">
        <is>
          <t>태초의 왕좌</t>
        </is>
      </c>
      <c r="C53" s="9" t="n">
        <v>50</v>
      </c>
      <c r="D53" s="9" t="inlineStr">
        <is>
          <t>비매품</t>
        </is>
      </c>
      <c r="E53" s="9" t="inlineStr">
        <is>
          <t>전 콘텐츠 올클리어</t>
        </is>
      </c>
      <c r="F53" s="9" t="inlineStr">
        <is>
          <t>전 스탯 +3%, HP +5%</t>
        </is>
      </c>
      <c r="G53" s="9" t="inlineStr">
        <is>
          <t>모든 것을 정복한 자의 최종 왕좌</t>
        </is>
      </c>
    </row>
  </sheetData>
  <mergeCells count="1">
    <mergeCell ref="A1:G1"/>
  </mergeCell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16" customWidth="1" min="1" max="1"/>
    <col width="22" customWidth="1" min="2" max="2"/>
    <col width="16" customWidth="1" min="3" max="3"/>
    <col width="32" customWidth="1" min="4" max="4"/>
  </cols>
  <sheetData>
    <row r="1">
      <c r="A1" s="6" t="inlineStr">
        <is>
          <t>최종 마스터 통계 요약 — AutoBattle.io 전체 콘텐츠</t>
        </is>
      </c>
    </row>
    <row r="3">
      <c r="A3" s="7" t="inlineStr">
        <is>
          <t>카테고리</t>
        </is>
      </c>
      <c r="B3" s="7" t="inlineStr">
        <is>
          <t>항목</t>
        </is>
      </c>
      <c r="C3" s="7" t="inlineStr">
        <is>
          <t>수치</t>
        </is>
      </c>
      <c r="D3" s="7" t="inlineStr">
        <is>
          <t>비고</t>
        </is>
      </c>
    </row>
    <row r="4">
      <c r="A4" s="8" t="inlineStr">
        <is>
          <t>용병</t>
        </is>
      </c>
      <c r="B4" s="8" t="inlineStr">
        <is>
          <t>용병 총 종류</t>
        </is>
      </c>
      <c r="C4" s="8" t="inlineStr">
        <is>
          <t>60종</t>
        </is>
      </c>
      <c r="D4" s="8" t="inlineStr">
        <is>
          <t>일반~전설 6등급 분포</t>
        </is>
      </c>
    </row>
    <row r="5">
      <c r="A5" s="9" t="inlineStr">
        <is>
          <t>용병</t>
        </is>
      </c>
      <c r="B5" s="9" t="inlineStr">
        <is>
          <t>등급 체계</t>
        </is>
      </c>
      <c r="C5" s="9" t="inlineStr">
        <is>
          <t>6등급</t>
        </is>
      </c>
      <c r="D5" s="9" t="inlineStr">
        <is>
          <t>일반/고급/희귀/영웅/전설/신화</t>
        </is>
      </c>
    </row>
    <row r="6">
      <c r="A6" s="8" t="inlineStr">
        <is>
          <t>용병</t>
        </is>
      </c>
      <c r="B6" s="8" t="inlineStr">
        <is>
          <t>진화 레시피</t>
        </is>
      </c>
      <c r="C6" s="8" t="inlineStr">
        <is>
          <t>11종</t>
        </is>
      </c>
      <c r="D6" s="8" t="inlineStr">
        <is>
          <t>조합 재료 + 골드 필요</t>
        </is>
      </c>
    </row>
    <row r="7">
      <c r="A7" s="9" t="inlineStr">
        <is>
          <t>용병</t>
        </is>
      </c>
      <c r="B7" s="9" t="inlineStr">
        <is>
          <t>시너지 효과</t>
        </is>
      </c>
      <c r="C7" s="9" t="inlineStr">
        <is>
          <t>13종</t>
        </is>
      </c>
      <c r="D7" s="9" t="inlineStr">
        <is>
          <t>종족/속성/직업 시너지</t>
        </is>
      </c>
    </row>
    <row r="8">
      <c r="A8" s="8" t="inlineStr">
        <is>
          <t>용병</t>
        </is>
      </c>
      <c r="B8" s="8" t="inlineStr">
        <is>
          <t>인연 보너스</t>
        </is>
      </c>
      <c r="C8" s="8" t="inlineStr">
        <is>
          <t>14종</t>
        </is>
      </c>
      <c r="D8" s="8" t="inlineStr">
        <is>
          <t>특정 용병 조합 시 추가 버프</t>
        </is>
      </c>
    </row>
    <row r="9">
      <c r="A9" s="9" t="inlineStr">
        <is>
          <t>용병</t>
        </is>
      </c>
      <c r="B9" s="9" t="inlineStr">
        <is>
          <t>특성 시스템</t>
        </is>
      </c>
      <c r="C9" s="9" t="inlineStr">
        <is>
          <t>35종</t>
        </is>
      </c>
      <c r="D9" s="9" t="inlineStr">
        <is>
          <t>전투/지원/생존 특성</t>
        </is>
      </c>
    </row>
    <row r="10">
      <c r="A10" s="8" t="inlineStr">
        <is>
          <t>용병</t>
        </is>
      </c>
      <c r="B10" s="8" t="inlineStr">
        <is>
          <t>스킨</t>
        </is>
      </c>
      <c r="C10" s="8" t="inlineStr">
        <is>
          <t>15종</t>
        </is>
      </c>
      <c r="D10" s="8" t="inlineStr">
        <is>
          <t>외형 변경 + 소량 보너스</t>
        </is>
      </c>
    </row>
    <row r="11">
      <c r="A11" s="9" t="inlineStr">
        <is>
          <t>IO 전투</t>
        </is>
      </c>
      <c r="B11" s="9" t="inlineStr">
        <is>
          <t>무기 종류</t>
        </is>
      </c>
      <c r="C11" s="9" t="inlineStr">
        <is>
          <t>17종</t>
        </is>
      </c>
      <c r="D11" s="9" t="inlineStr">
        <is>
          <t>근접/원거리/마법 분류</t>
        </is>
      </c>
    </row>
    <row r="12">
      <c r="A12" s="8" t="inlineStr">
        <is>
          <t>IO 전투</t>
        </is>
      </c>
      <c r="B12" s="8" t="inlineStr">
        <is>
          <t>웨이브 수</t>
        </is>
      </c>
      <c r="C12" s="8" t="inlineStr">
        <is>
          <t>40 웨이브</t>
        </is>
      </c>
      <c r="D12" s="8" t="inlineStr">
        <is>
          <t>10 웨이브마다 보스 등장</t>
        </is>
      </c>
    </row>
    <row r="13">
      <c r="A13" s="9" t="inlineStr">
        <is>
          <t>IO 전투</t>
        </is>
      </c>
      <c r="B13" s="9" t="inlineStr">
        <is>
          <t>보스 몬스터</t>
        </is>
      </c>
      <c r="C13" s="9" t="inlineStr">
        <is>
          <t>5종</t>
        </is>
      </c>
      <c r="D13" s="9" t="inlineStr">
        <is>
          <t>IO 모드 전용 보스</t>
        </is>
      </c>
    </row>
    <row r="14">
      <c r="A14" s="8" t="inlineStr">
        <is>
          <t>IO 전투</t>
        </is>
      </c>
      <c r="B14" s="8" t="inlineStr">
        <is>
          <t>맵 종류</t>
        </is>
      </c>
      <c r="C14" s="8" t="inlineStr">
        <is>
          <t>6종</t>
        </is>
      </c>
      <c r="D14" s="8" t="inlineStr">
        <is>
          <t>각 맵 고유 지형 효과</t>
        </is>
      </c>
    </row>
    <row r="15">
      <c r="A15" s="9" t="inlineStr">
        <is>
          <t>IO 전투</t>
        </is>
      </c>
      <c r="B15" s="9" t="inlineStr">
        <is>
          <t>날씨 시스템</t>
        </is>
      </c>
      <c r="C15" s="9" t="inlineStr">
        <is>
          <t>6종</t>
        </is>
      </c>
      <c r="D15" s="9" t="inlineStr">
        <is>
          <t>전투에 영향을 주는 날씨</t>
        </is>
      </c>
    </row>
    <row r="16">
      <c r="A16" s="8" t="inlineStr">
        <is>
          <t>IO 전투</t>
        </is>
      </c>
      <c r="B16" s="8" t="inlineStr">
        <is>
          <t>게임 모드</t>
        </is>
      </c>
      <c r="C16" s="8" t="inlineStr">
        <is>
          <t>6+커스텀</t>
        </is>
      </c>
      <c r="D16" s="8" t="inlineStr">
        <is>
          <t>솔로/듀오/스쿼드/랭크/이벤트/커스텀</t>
        </is>
      </c>
    </row>
    <row r="17">
      <c r="A17" s="9" t="inlineStr">
        <is>
          <t>공성전</t>
        </is>
      </c>
      <c r="B17" s="9" t="inlineStr">
        <is>
          <t>함정 종류</t>
        </is>
      </c>
      <c r="C17" s="9" t="inlineStr">
        <is>
          <t>10종</t>
        </is>
      </c>
      <c r="D17" s="9" t="inlineStr">
        <is>
          <t>방어 진영 설치용</t>
        </is>
      </c>
    </row>
    <row r="18">
      <c r="A18" s="8" t="inlineStr">
        <is>
          <t>공성전</t>
        </is>
      </c>
      <c r="B18" s="8" t="inlineStr">
        <is>
          <t>공성 무기</t>
        </is>
      </c>
      <c r="C18" s="8" t="inlineStr">
        <is>
          <t>4종</t>
        </is>
      </c>
      <c r="D18" s="8" t="inlineStr">
        <is>
          <t>투석기/공성추/화살탑/마법포</t>
        </is>
      </c>
    </row>
    <row r="19">
      <c r="A19" s="9" t="inlineStr">
        <is>
          <t>공성전</t>
        </is>
      </c>
      <c r="B19" s="9" t="inlineStr">
        <is>
          <t>공성전 맵</t>
        </is>
      </c>
      <c r="C19" s="9" t="inlineStr">
        <is>
          <t>10종</t>
        </is>
      </c>
      <c r="D19" s="9" t="inlineStr">
        <is>
          <t>각기 다른 지형과 전략</t>
        </is>
      </c>
    </row>
    <row r="20">
      <c r="A20" s="8" t="inlineStr">
        <is>
          <t>공성전</t>
        </is>
      </c>
      <c r="B20" s="8" t="inlineStr">
        <is>
          <t>성 구역</t>
        </is>
      </c>
      <c r="C20" s="8" t="inlineStr">
        <is>
          <t>3구역</t>
        </is>
      </c>
      <c r="D20" s="8" t="inlineStr">
        <is>
          <t>외성/내성/본성</t>
        </is>
      </c>
    </row>
    <row r="21">
      <c r="A21" s="9" t="inlineStr">
        <is>
          <t>공성전</t>
        </is>
      </c>
      <c r="B21" s="9" t="inlineStr">
        <is>
          <t>방어 전략</t>
        </is>
      </c>
      <c r="C21" s="9" t="inlineStr">
        <is>
          <t>10종</t>
        </is>
      </c>
      <c r="D21" s="9" t="inlineStr">
        <is>
          <t>함정 배치 + 용병 배치 조합</t>
        </is>
      </c>
    </row>
    <row r="22">
      <c r="A22" s="8" t="inlineStr">
        <is>
          <t>공성전</t>
        </is>
      </c>
      <c r="B22" s="8" t="inlineStr">
        <is>
          <t>공격 전략</t>
        </is>
      </c>
      <c r="C22" s="8" t="inlineStr">
        <is>
          <t>10종</t>
        </is>
      </c>
      <c r="D22" s="8" t="inlineStr">
        <is>
          <t>공성 무기 + 돌파 루트 조합</t>
        </is>
      </c>
    </row>
    <row r="23">
      <c r="A23" s="9" t="inlineStr">
        <is>
          <t>무역 &amp; 교역</t>
        </is>
      </c>
      <c r="B23" s="9" t="inlineStr">
        <is>
          <t>교역 루트</t>
        </is>
      </c>
      <c r="C23" s="9" t="inlineStr">
        <is>
          <t>10종</t>
        </is>
      </c>
      <c r="D23" s="9" t="inlineStr">
        <is>
          <t>위험도별 수익 차등</t>
        </is>
      </c>
    </row>
    <row r="24">
      <c r="A24" s="8" t="inlineStr">
        <is>
          <t>무역 &amp; 교역</t>
        </is>
      </c>
      <c r="B24" s="8" t="inlineStr">
        <is>
          <t>운송수단 업그레이드</t>
        </is>
      </c>
      <c r="C24" s="8" t="inlineStr">
        <is>
          <t>4종</t>
        </is>
      </c>
      <c r="D24" s="8" t="inlineStr">
        <is>
          <t>마차→비행선 단계적 업그레이드</t>
        </is>
      </c>
    </row>
    <row r="25">
      <c r="A25" s="9" t="inlineStr">
        <is>
          <t>무역 &amp; 교역</t>
        </is>
      </c>
      <c r="B25" s="9" t="inlineStr">
        <is>
          <t>랜덤 이벤트</t>
        </is>
      </c>
      <c r="C25" s="9" t="inlineStr">
        <is>
          <t>20종</t>
        </is>
      </c>
      <c r="D25" s="9" t="inlineStr">
        <is>
          <t>해적/도적/날씨/행운 이벤트</t>
        </is>
      </c>
    </row>
    <row r="26">
      <c r="A26" s="8" t="inlineStr">
        <is>
          <t>무역 &amp; 교역</t>
        </is>
      </c>
      <c r="B26" s="8" t="inlineStr">
        <is>
          <t>교역 전략</t>
        </is>
      </c>
      <c r="C26" s="8" t="inlineStr">
        <is>
          <t>12종</t>
        </is>
      </c>
      <c r="D26" s="8" t="inlineStr">
        <is>
          <t>시세 분석 + 루트 최적화</t>
        </is>
      </c>
    </row>
    <row r="27">
      <c r="A27" s="9" t="inlineStr">
        <is>
          <t>포획 &amp; 교배</t>
        </is>
      </c>
      <c r="B27" s="9" t="inlineStr">
        <is>
          <t>포획 몬스터</t>
        </is>
      </c>
      <c r="C27" s="9" t="inlineStr">
        <is>
          <t>15종</t>
        </is>
      </c>
      <c r="D27" s="9" t="inlineStr">
        <is>
          <t>필드/던전/보스 몬스터</t>
        </is>
      </c>
    </row>
    <row r="28">
      <c r="A28" s="8" t="inlineStr">
        <is>
          <t>포획 &amp; 교배</t>
        </is>
      </c>
      <c r="B28" s="8" t="inlineStr">
        <is>
          <t>교배 조합</t>
        </is>
      </c>
      <c r="C28" s="8" t="inlineStr">
        <is>
          <t>5종</t>
        </is>
      </c>
      <c r="D28" s="8" t="inlineStr">
        <is>
          <t>부모 몬스터 조합별 결과</t>
        </is>
      </c>
    </row>
    <row r="29">
      <c r="A29" s="9" t="inlineStr">
        <is>
          <t>포획 &amp; 교배</t>
        </is>
      </c>
      <c r="B29" s="9" t="inlineStr">
        <is>
          <t>유대 단계</t>
        </is>
      </c>
      <c r="C29" s="9" t="inlineStr">
        <is>
          <t>5단계</t>
        </is>
      </c>
      <c r="D29" s="9" t="inlineStr">
        <is>
          <t>친밀도 기반 성장</t>
        </is>
      </c>
    </row>
    <row r="30">
      <c r="A30" s="8" t="inlineStr">
        <is>
          <t>포획 &amp; 교배</t>
        </is>
      </c>
      <c r="B30" s="8" t="inlineStr">
        <is>
          <t>합체 변신</t>
        </is>
      </c>
      <c r="C30" s="8" t="inlineStr">
        <is>
          <t>10종</t>
        </is>
      </c>
      <c r="D30" s="8" t="inlineStr">
        <is>
          <t>몬스터와 합체하여 전투</t>
        </is>
      </c>
    </row>
    <row r="31">
      <c r="A31" s="9" t="inlineStr">
        <is>
          <t>PvP</t>
        </is>
      </c>
      <c r="B31" s="9" t="inlineStr">
        <is>
          <t>아레나 랭크</t>
        </is>
      </c>
      <c r="C31" s="9" t="inlineStr">
        <is>
          <t>10등급</t>
        </is>
      </c>
      <c r="D31" s="9" t="inlineStr">
        <is>
          <t>브론즈~전설 등급</t>
        </is>
      </c>
    </row>
    <row r="32">
      <c r="A32" s="8" t="inlineStr">
        <is>
          <t>PvP</t>
        </is>
      </c>
      <c r="B32" s="8" t="inlineStr">
        <is>
          <t>진영</t>
        </is>
      </c>
      <c r="C32" s="8" t="inlineStr">
        <is>
          <t>5개</t>
        </is>
      </c>
      <c r="D32" s="8" t="inlineStr">
        <is>
          <t>각 진영 고유 버프</t>
        </is>
      </c>
    </row>
    <row r="33">
      <c r="A33" s="9" t="inlineStr">
        <is>
          <t>PvP</t>
        </is>
      </c>
      <c r="B33" s="9" t="inlineStr">
        <is>
          <t>서버간 대전</t>
        </is>
      </c>
      <c r="C33" s="9" t="inlineStr">
        <is>
          <t>1종</t>
        </is>
      </c>
      <c r="D33" s="9" t="inlineStr">
        <is>
          <t>주간 서버 랭킹전</t>
        </is>
      </c>
    </row>
    <row r="34">
      <c r="A34" s="8" t="inlineStr">
        <is>
          <t>PvP</t>
        </is>
      </c>
      <c r="B34" s="8" t="inlineStr">
        <is>
          <t>칭호</t>
        </is>
      </c>
      <c r="C34" s="8" t="inlineStr">
        <is>
          <t>50종</t>
        </is>
      </c>
      <c r="D34" s="8" t="inlineStr">
        <is>
          <t>업적/PvP/PvE/이벤트/시즌</t>
        </is>
      </c>
    </row>
    <row r="35">
      <c r="A35" s="9" t="inlineStr">
        <is>
          <t>보스</t>
        </is>
      </c>
      <c r="B35" s="9" t="inlineStr">
        <is>
          <t>IO 보스</t>
        </is>
      </c>
      <c r="C35" s="9" t="inlineStr">
        <is>
          <t>5종</t>
        </is>
      </c>
      <c r="D35" s="9" t="inlineStr">
        <is>
          <t>웨이브 보스</t>
        </is>
      </c>
    </row>
    <row r="36">
      <c r="A36" s="8" t="inlineStr">
        <is>
          <t>보스</t>
        </is>
      </c>
      <c r="B36" s="8" t="inlineStr">
        <is>
          <t>레이드 보스</t>
        </is>
      </c>
      <c r="C36" s="8" t="inlineStr">
        <is>
          <t>4종</t>
        </is>
      </c>
      <c r="D36" s="8" t="inlineStr">
        <is>
          <t>혈맹 레이드 전용</t>
        </is>
      </c>
    </row>
    <row r="37">
      <c r="A37" s="9" t="inlineStr">
        <is>
          <t>보스</t>
        </is>
      </c>
      <c r="B37" s="9" t="inlineStr">
        <is>
          <t>심연의 탑</t>
        </is>
      </c>
      <c r="C37" s="9" t="inlineStr">
        <is>
          <t>100층</t>
        </is>
      </c>
      <c r="D37" s="9" t="inlineStr">
        <is>
          <t>층마다 고유 몬스터 + 보스</t>
        </is>
      </c>
    </row>
    <row r="38">
      <c r="A38" s="8" t="inlineStr">
        <is>
          <t>보스</t>
        </is>
      </c>
      <c r="B38" s="8" t="inlineStr">
        <is>
          <t>차원균열</t>
        </is>
      </c>
      <c r="C38" s="8" t="inlineStr">
        <is>
          <t>6개 차원</t>
        </is>
      </c>
      <c r="D38" s="8" t="inlineStr">
        <is>
          <t>차원별 고유 보스</t>
        </is>
      </c>
    </row>
    <row r="39">
      <c r="A39" s="9" t="inlineStr">
        <is>
          <t>보스</t>
        </is>
      </c>
      <c r="B39" s="9" t="inlineStr">
        <is>
          <t>히든 보스</t>
        </is>
      </c>
      <c r="C39" s="9" t="inlineStr">
        <is>
          <t>3종</t>
        </is>
      </c>
      <c r="D39" s="9" t="inlineStr">
        <is>
          <t>특수 조건 출현</t>
        </is>
      </c>
    </row>
    <row r="40">
      <c r="A40" s="8" t="inlineStr">
        <is>
          <t>보스</t>
        </is>
      </c>
      <c r="B40" s="8" t="inlineStr">
        <is>
          <t>보스 총합</t>
        </is>
      </c>
      <c r="C40" s="8" t="inlineStr">
        <is>
          <t>118+</t>
        </is>
      </c>
      <c r="D40" s="8" t="inlineStr">
        <is>
          <t>IO 5 + 레이드 4 + 심연 100 + 차원 6 + 히든 3</t>
        </is>
      </c>
    </row>
    <row r="41">
      <c r="A41" s="9" t="inlineStr">
        <is>
          <t>생활</t>
        </is>
      </c>
      <c r="B41" s="9" t="inlineStr">
        <is>
          <t>낚시</t>
        </is>
      </c>
      <c r="C41" s="9" t="inlineStr">
        <is>
          <t>30종</t>
        </is>
      </c>
      <c r="D41" s="9" t="inlineStr">
        <is>
          <t>물고기 + 보물 + 쓰레기</t>
        </is>
      </c>
    </row>
    <row r="42">
      <c r="A42" s="8" t="inlineStr">
        <is>
          <t>생활</t>
        </is>
      </c>
      <c r="B42" s="8" t="inlineStr">
        <is>
          <t>요리</t>
        </is>
      </c>
      <c r="C42" s="8" t="inlineStr">
        <is>
          <t>50종</t>
        </is>
      </c>
      <c r="D42" s="8" t="inlineStr">
        <is>
          <t>버프 요리 + 판매용 요리</t>
        </is>
      </c>
    </row>
    <row r="43">
      <c r="A43" s="9" t="inlineStr">
        <is>
          <t>생활</t>
        </is>
      </c>
      <c r="B43" s="9" t="inlineStr">
        <is>
          <t>정원 재배</t>
        </is>
      </c>
      <c r="C43" s="9" t="inlineStr">
        <is>
          <t>20종</t>
        </is>
      </c>
      <c r="D43" s="9" t="inlineStr">
        <is>
          <t>일반/고급/희귀/전설 식물</t>
        </is>
      </c>
    </row>
    <row r="44">
      <c r="A44" s="8" t="inlineStr">
        <is>
          <t>생활</t>
        </is>
      </c>
      <c r="B44" s="8" t="inlineStr">
        <is>
          <t>펫</t>
        </is>
      </c>
      <c r="C44" s="8" t="inlineStr">
        <is>
          <t>10종</t>
        </is>
      </c>
      <c r="D44" s="8" t="inlineStr">
        <is>
          <t>동반 + 전투 보조 + 진화</t>
        </is>
      </c>
    </row>
    <row r="45">
      <c r="A45" s="9" t="inlineStr">
        <is>
          <t>생활</t>
        </is>
      </c>
      <c r="B45" s="9" t="inlineStr">
        <is>
          <t>하우징 아이템</t>
        </is>
      </c>
      <c r="C45" s="9" t="inlineStr">
        <is>
          <t>50종</t>
        </is>
      </c>
      <c r="D45" s="9" t="inlineStr">
        <is>
          <t>가구/벽장식/바닥/조명/정원/특수</t>
        </is>
      </c>
    </row>
    <row r="46">
      <c r="A46" s="8" t="inlineStr">
        <is>
          <t>경제</t>
        </is>
      </c>
      <c r="B46" s="8" t="inlineStr">
        <is>
          <t>경매장 카테고리</t>
        </is>
      </c>
      <c r="C46" s="8" t="inlineStr">
        <is>
          <t>20종</t>
        </is>
      </c>
      <c r="D46" s="8" t="inlineStr">
        <is>
          <t>무기/방어구/소모품/재료 등</t>
        </is>
      </c>
    </row>
    <row r="47">
      <c r="A47" s="9" t="inlineStr">
        <is>
          <t>경제</t>
        </is>
      </c>
      <c r="B47" s="9" t="inlineStr">
        <is>
          <t>동적 시세</t>
        </is>
      </c>
      <c r="C47" s="9" t="inlineStr">
        <is>
          <t>실시간</t>
        </is>
      </c>
      <c r="D47" s="9" t="inlineStr">
        <is>
          <t>수요-공급 기반 가격 변동</t>
        </is>
      </c>
    </row>
    <row r="48">
      <c r="A48" s="8" t="inlineStr">
        <is>
          <t>경제</t>
        </is>
      </c>
      <c r="B48" s="8" t="inlineStr">
        <is>
          <t>퀘스트</t>
        </is>
      </c>
      <c r="C48" s="8" t="inlineStr">
        <is>
          <t>30종</t>
        </is>
      </c>
      <c r="D48" s="8" t="inlineStr">
        <is>
          <t>메인/서브/일일/주간/업적</t>
        </is>
      </c>
    </row>
    <row r="49">
      <c r="A49" s="9" t="inlineStr">
        <is>
          <t>경제</t>
        </is>
      </c>
      <c r="B49" s="9" t="inlineStr">
        <is>
          <t>제작 재료</t>
        </is>
      </c>
      <c r="C49" s="9" t="inlineStr">
        <is>
          <t>20종</t>
        </is>
      </c>
      <c r="D49" s="9" t="inlineStr">
        <is>
          <t>채집/전투/교역으로 획득</t>
        </is>
      </c>
    </row>
    <row r="50">
      <c r="A50" s="8" t="inlineStr">
        <is>
          <t>세계관</t>
        </is>
      </c>
      <c r="B50" s="8" t="inlineStr">
        <is>
          <t>시대 구분</t>
        </is>
      </c>
      <c r="C50" s="8" t="inlineStr">
        <is>
          <t>4시대</t>
        </is>
      </c>
      <c r="D50" s="8" t="inlineStr">
        <is>
          <t>창세/전쟁/분열/현재</t>
        </is>
      </c>
    </row>
    <row r="51">
      <c r="A51" s="9" t="inlineStr">
        <is>
          <t>세계관</t>
        </is>
      </c>
      <c r="B51" s="9" t="inlineStr">
        <is>
          <t>지역</t>
        </is>
      </c>
      <c r="C51" s="9" t="inlineStr">
        <is>
          <t>12곳</t>
        </is>
      </c>
      <c r="D51" s="9" t="inlineStr">
        <is>
          <t>각 지역 고유 스토리</t>
        </is>
      </c>
    </row>
    <row r="52">
      <c r="A52" s="8" t="inlineStr">
        <is>
          <t>세계관</t>
        </is>
      </c>
      <c r="B52" s="8" t="inlineStr">
        <is>
          <t>에피소드</t>
        </is>
      </c>
      <c r="C52" s="8" t="inlineStr">
        <is>
          <t>12편</t>
        </is>
      </c>
      <c r="D52" s="8" t="inlineStr">
        <is>
          <t>메인 스토리 에피소드</t>
        </is>
      </c>
    </row>
    <row r="53">
      <c r="A53" s="9" t="inlineStr">
        <is>
          <t>세계관</t>
        </is>
      </c>
      <c r="B53" s="9" t="inlineStr">
        <is>
          <t>핵심 NPC</t>
        </is>
      </c>
      <c r="C53" s="9" t="inlineStr">
        <is>
          <t>7명</t>
        </is>
      </c>
      <c r="D53" s="9" t="inlineStr">
        <is>
          <t>메인 스토리 NPC</t>
        </is>
      </c>
    </row>
    <row r="54">
      <c r="A54" s="8" t="inlineStr">
        <is>
          <t>세계관</t>
        </is>
      </c>
      <c r="B54" s="8" t="inlineStr">
        <is>
          <t>NPC 대사</t>
        </is>
      </c>
      <c r="C54" s="8" t="inlineStr">
        <is>
          <t>60+</t>
        </is>
      </c>
      <c r="D54" s="8" t="inlineStr">
        <is>
          <t>호감도/퀘스트/상점 대사</t>
        </is>
      </c>
    </row>
    <row r="55">
      <c r="A55" s="9" t="inlineStr">
        <is>
          <t>운영</t>
        </is>
      </c>
      <c r="B55" s="9" t="inlineStr">
        <is>
          <t>배틀패스</t>
        </is>
      </c>
      <c r="C55" s="9" t="inlineStr">
        <is>
          <t>50레벨</t>
        </is>
      </c>
      <c r="D55" s="9" t="inlineStr">
        <is>
          <t>시즌별 보상 트랙</t>
        </is>
      </c>
    </row>
    <row r="56">
      <c r="A56" s="8" t="inlineStr">
        <is>
          <t>운영</t>
        </is>
      </c>
      <c r="B56" s="8" t="inlineStr">
        <is>
          <t>시즌</t>
        </is>
      </c>
      <c r="C56" s="8" t="inlineStr">
        <is>
          <t>12시즌 (연간)</t>
        </is>
      </c>
      <c r="D56" s="8" t="inlineStr">
        <is>
          <t>매월 새 시즌</t>
        </is>
      </c>
    </row>
    <row r="57">
      <c r="A57" s="9" t="inlineStr">
        <is>
          <t>운영</t>
        </is>
      </c>
      <c r="B57" s="9" t="inlineStr">
        <is>
          <t>신규 가이드</t>
        </is>
      </c>
      <c r="C57" s="9" t="inlineStr">
        <is>
          <t>7일</t>
        </is>
      </c>
      <c r="D57" s="9" t="inlineStr">
        <is>
          <t>튜토리얼 + 일일 미션</t>
        </is>
      </c>
    </row>
    <row r="58">
      <c r="A58" s="8" t="inlineStr">
        <is>
          <t>운영</t>
        </is>
      </c>
      <c r="B58" s="8" t="inlineStr">
        <is>
          <t>사운드</t>
        </is>
      </c>
      <c r="C58" s="8" t="inlineStr">
        <is>
          <t>20트랙</t>
        </is>
      </c>
      <c r="D58" s="8" t="inlineStr">
        <is>
          <t>BGM + SFX</t>
        </is>
      </c>
    </row>
    <row r="59">
      <c r="A59" s="9" t="inlineStr">
        <is>
          <t>기술</t>
        </is>
      </c>
      <c r="B59" s="9" t="inlineStr">
        <is>
          <t>소켓 이벤트</t>
        </is>
      </c>
      <c r="C59" s="9" t="inlineStr">
        <is>
          <t>88종</t>
        </is>
      </c>
      <c r="D59" s="9" t="inlineStr">
        <is>
          <t>클라이언트↔서버 통신</t>
        </is>
      </c>
    </row>
    <row r="60">
      <c r="A60" s="8" t="inlineStr">
        <is>
          <t>기술</t>
        </is>
      </c>
      <c r="B60" s="8" t="inlineStr">
        <is>
          <t>밸런스 수치</t>
        </is>
      </c>
      <c r="C60" s="8" t="inlineStr">
        <is>
          <t>전 시트 참조</t>
        </is>
      </c>
      <c r="D60" s="8" t="inlineStr">
        <is>
          <t>지속 업데이트</t>
        </is>
      </c>
    </row>
    <row r="61">
      <c r="A61" s="9" t="inlineStr">
        <is>
          <t>★ 최종 합산</t>
        </is>
      </c>
      <c r="B61" s="9" t="inlineStr">
        <is>
          <t>전체 콘텐츠 항목 수</t>
        </is>
      </c>
      <c r="C61" s="9" t="inlineStr">
        <is>
          <t>1,000+</t>
        </is>
      </c>
      <c r="D61" s="9" t="inlineStr">
        <is>
          <t>모든 시스템 항목 총합</t>
        </is>
      </c>
    </row>
    <row r="62">
      <c r="A62" s="8" t="inlineStr">
        <is>
          <t>★ 최종 합산</t>
        </is>
      </c>
      <c r="B62" s="8" t="inlineStr">
        <is>
          <t>시트 수</t>
        </is>
      </c>
      <c r="C62" s="8" t="inlineStr">
        <is>
          <t>전체 시트 참조</t>
        </is>
      </c>
      <c r="D62" s="8" t="inlineStr">
        <is>
          <t>기획서 내 모든 시트 포함</t>
        </is>
      </c>
    </row>
    <row r="63">
      <c r="A63" s="9" t="inlineStr">
        <is>
          <t>★ 최종 합산</t>
        </is>
      </c>
      <c r="B63" s="9" t="inlineStr">
        <is>
          <t>설계 완성도</t>
        </is>
      </c>
      <c r="C63" s="9" t="inlineStr">
        <is>
          <t>100%</t>
        </is>
      </c>
      <c r="D63" s="9" t="inlineStr">
        <is>
          <t>AutoBattle.io 풀 기획 완료</t>
        </is>
      </c>
    </row>
  </sheetData>
  <mergeCells count="1">
    <mergeCell ref="A1:D1"/>
  </mergeCell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4" customWidth="1" min="1" max="1"/>
    <col width="14" customWidth="1" min="2" max="2"/>
    <col width="24" customWidth="1" min="3" max="3"/>
    <col width="28" customWidth="1" min="4" max="4"/>
    <col width="10" customWidth="1" min="5" max="5"/>
    <col width="55" customWidth="1" min="6" max="6"/>
    <col width="10" customWidth="1" min="7" max="7"/>
    <col width="35" customWidth="1" min="8" max="8"/>
  </cols>
  <sheetData>
    <row r="1">
      <c r="A1" s="6" t="inlineStr">
        <is>
          <t>용병 전용 궁극기 상세 20종 — 초월 전용 필살기</t>
        </is>
      </c>
    </row>
    <row r="3">
      <c r="A3" s="7" t="inlineStr">
        <is>
          <t>용병</t>
        </is>
      </c>
      <c r="B3" s="7" t="inlineStr">
        <is>
          <t>궁극기 이름</t>
        </is>
      </c>
      <c r="C3" s="7" t="inlineStr">
        <is>
          <t>발동 조건</t>
        </is>
      </c>
      <c r="D3" s="7" t="inlineStr">
        <is>
          <t>데미지/효과</t>
        </is>
      </c>
      <c r="E3" s="7" t="inlineStr">
        <is>
          <t>범위</t>
        </is>
      </c>
      <c r="F3" s="7" t="inlineStr">
        <is>
          <t>연출 묘사</t>
        </is>
      </c>
      <c r="G3" s="7" t="inlineStr">
        <is>
          <t>쿨다운</t>
        </is>
      </c>
      <c r="H3" s="7" t="inlineStr">
        <is>
          <t>전략 포인트</t>
        </is>
      </c>
    </row>
    <row r="4">
      <c r="A4" s="8" t="inlineStr">
        <is>
          <t>드래곤나이트</t>
        </is>
      </c>
      <c r="B4" s="8" t="inlineStr">
        <is>
          <t>천상의불꽃</t>
        </is>
      </c>
      <c r="C4" s="8" t="inlineStr">
        <is>
          <t>초월 후 HP 50% 이하 시 발동 가능</t>
        </is>
      </c>
      <c r="D4" s="8" t="inlineStr">
        <is>
          <t>적 전체 HP 35% + 화상 5초(초당 3%)</t>
        </is>
      </c>
      <c r="E4" s="8" t="inlineStr">
        <is>
          <t>맵 전체</t>
        </is>
      </c>
      <c r="F4" s="8" t="inlineStr">
        <is>
          <t>드래곤나이트가 하늘로 솟구치며 황금빛 갑옷이 용의 비늘로 변한다. 거대한 불꽃 날개가 펼쳐지고, 하늘에서 수천 개의 화염 깃털이 비처럼 쏟아져 전장을 불바다로 만든다. 마지막으로 태양보다 밝은 불꽃이 폭발하며 적들을 휩쓴다.</t>
        </is>
      </c>
      <c r="G4" s="8" t="inlineStr">
        <is>
          <t>120초</t>
        </is>
      </c>
      <c r="H4" s="8" t="inlineStr">
        <is>
          <t>위기 상황 역전용. HP가 낮을수록 추가 데미지 10% 증가. 아군 버프와 연계 시 팀파이트 결정타</t>
        </is>
      </c>
    </row>
    <row r="5">
      <c r="A5" s="9" t="inlineStr">
        <is>
          <t>대마법사</t>
        </is>
      </c>
      <c r="B5" s="9" t="inlineStr">
        <is>
          <t>메테오스톰</t>
        </is>
      </c>
      <c r="C5" s="9" t="inlineStr">
        <is>
          <t>초월 후 마나 100% 충전 시</t>
        </is>
      </c>
      <c r="D5" s="9" t="inlineStr">
        <is>
          <t>지정 범위 내 8000 고정 데미지 + 기절 3초</t>
        </is>
      </c>
      <c r="E5" s="9" t="inlineStr">
        <is>
          <t>반경 8칸</t>
        </is>
      </c>
      <c r="F5" s="9" t="inlineStr">
        <is>
          <t>대마법사가 지팡이를 하늘로 치켜들면 하늘이 갈라지며 우주의 암흑이 드러난다. 수십 개의 붉은 운석이 대기권을 뚫고 내려오며, 각 운석이 충돌할 때마다 대지가 갈라지고 화염 기둥이 솟구친다. 최종 거대 운석이 지면을 강타하며 모든 것을 소멸시킨다.</t>
        </is>
      </c>
      <c r="G5" s="9" t="inlineStr">
        <is>
          <t>150초</t>
        </is>
      </c>
      <c r="H5" s="9" t="inlineStr">
        <is>
          <t>공성전 핵심 딜링. 기절 효과로 후속 공격 연계 가능. 마나 관리가 핵심</t>
        </is>
      </c>
    </row>
    <row r="6">
      <c r="A6" s="8" t="inlineStr">
        <is>
          <t>서리여왕</t>
        </is>
      </c>
      <c r="B6" s="8" t="inlineStr">
        <is>
          <t>절대영도</t>
        </is>
      </c>
      <c r="C6" s="8" t="inlineStr">
        <is>
          <t>초월 후 적 3명 이상 범위 내 진입 시</t>
        </is>
      </c>
      <c r="D6" s="8" t="inlineStr">
        <is>
          <t>범위 내 6500 데미지 + 빙결 4초 + 이속 -80% 10초</t>
        </is>
      </c>
      <c r="E6" s="8" t="inlineStr">
        <is>
          <t>반경 6칸</t>
        </is>
      </c>
      <c r="F6" s="8" t="inlineStr">
        <is>
          <t>서리여왕이 두 손을 모으면 주변 공기가 급속 냉각되며 눈보라가 회오리친다. 바닥부터 얼음 결정이 솟아오르며 적들의 발을 얼려붙이고, 거대한 얼음 기둥이 하늘까지 치솟는다. 최후에 절대영도의 한파가 폭발하며 모든 것을 얼음 조각상으로 만든다.</t>
        </is>
      </c>
      <c r="G6" s="8" t="inlineStr">
        <is>
          <t>130초</t>
        </is>
      </c>
      <c r="H6" s="8" t="inlineStr">
        <is>
          <t>대규모 교전 CC기. 빙결 중 아군 딜러가 집중 공격하는 콤보 전략 필수</t>
        </is>
      </c>
    </row>
    <row r="7">
      <c r="A7" s="9" t="inlineStr">
        <is>
          <t>검성</t>
        </is>
      </c>
      <c r="B7" s="9" t="inlineStr">
        <is>
          <t>천검난무</t>
        </is>
      </c>
      <c r="C7" s="9" t="inlineStr">
        <is>
          <t>초월 후 연속 5회 공격 적중 시</t>
        </is>
      </c>
      <c r="D7" s="9" t="inlineStr">
        <is>
          <t>단일 대상 12000 데미지 (10회 분할 타격)</t>
        </is>
      </c>
      <c r="E7" s="9" t="inlineStr">
        <is>
          <t>단일 대상</t>
        </is>
      </c>
      <c r="F7" s="9" t="inlineStr">
        <is>
          <t>검성이 검을 뽑는 순간 세계가 정지한 듯 고요해진다. 찰나의 순간, 보이지 않는 속도로 10번의 참격이 교차하며 빛의 잔상만이 남는다. 마지막 일격과 함께 적의 뒤에 서며 검집에 검을 꽂는 순간, 시간차로 모든 베임이 동시에 터진다.</t>
        </is>
      </c>
      <c r="G7" s="9" t="inlineStr">
        <is>
          <t>100초</t>
        </is>
      </c>
      <c r="H7" s="9" t="inlineStr">
        <is>
          <t>보스 레이드 최고 단일 딜. 연속 적중 조건 때문에 실력 의존도 높음. 회피형 적에게는 불리</t>
        </is>
      </c>
    </row>
    <row r="8">
      <c r="A8" s="8" t="inlineStr">
        <is>
          <t>마왕</t>
        </is>
      </c>
      <c r="B8" s="8" t="inlineStr">
        <is>
          <t>지옥의문</t>
        </is>
      </c>
      <c r="C8" s="8" t="inlineStr">
        <is>
          <t>초월 후 아군 1명 사망 시 발동 가능</t>
        </is>
      </c>
      <c r="D8" s="8" t="inlineStr">
        <is>
          <t>범위 내 7000 데미지 + 공포 3초 + 방어력 -50% 10초</t>
        </is>
      </c>
      <c r="E8" s="8" t="inlineStr">
        <is>
          <t>반경 7칸</t>
        </is>
      </c>
      <c r="F8" s="8" t="inlineStr">
        <is>
          <t>마왕이 지면을 강타하면 대지가 갈라지며 지옥의 불길이 솟구친다. 거대한 마문(魔門)이 열리며 수백 마리의 악마들이 쏟아져 나오고, 지옥의 업화가 전장을 뒤덮는다. 공포에 질린 적들은 도망치며, 마왕의 포효가 대지를 진동시킨다.</t>
        </is>
      </c>
      <c r="G8" s="8" t="inlineStr">
        <is>
          <t>140초</t>
        </is>
      </c>
      <c r="H8" s="8" t="inlineStr">
        <is>
          <t>아군 사망 트리거로 역전 상황 특화. 방어력 감소 디버프로 팀 딜링 극대화</t>
        </is>
      </c>
    </row>
    <row r="9">
      <c r="A9" s="9" t="inlineStr">
        <is>
          <t>수호천사</t>
        </is>
      </c>
      <c r="B9" s="9" t="inlineStr">
        <is>
          <t>천상의가호</t>
        </is>
      </c>
      <c r="C9" s="9" t="inlineStr">
        <is>
          <t>초월 후 아군 HP 20% 이하 2명 이상 시</t>
        </is>
      </c>
      <c r="D9" s="9" t="inlineStr">
        <is>
          <t>아군 전원 HP 60% 회복 + 무적 3초 + 버프 해제</t>
        </is>
      </c>
      <c r="E9" s="9" t="inlineStr">
        <is>
          <t>아군 전체</t>
        </is>
      </c>
      <c r="F9" s="9" t="inlineStr">
        <is>
          <t>수호천사가 날개를 활짝 펼치면 눈부신 황금빛이 전장을 감싼다. 하늘에서 수천 개의 깃털이 내려오며 아군을 감싸고, 각 깃털이 상처를 치유한다. 거대한 빛의 방패가 아군 전원을 감싸며 모든 해로운 효과를 정화하고, 성스러운 종소리가 울려 퍼진다.</t>
        </is>
      </c>
      <c r="G9" s="9" t="inlineStr">
        <is>
          <t>180초</t>
        </is>
      </c>
      <c r="H9" s="9" t="inlineStr">
        <is>
          <t>팀 생존 궁극기. 쿨다운이 길지만 팀파이트 판도를 뒤집는 결정적 스킬</t>
        </is>
      </c>
    </row>
    <row r="10">
      <c r="A10" s="8" t="inlineStr">
        <is>
          <t>그림자군주</t>
        </is>
      </c>
      <c r="B10" s="8" t="inlineStr">
        <is>
          <t>그림자군단</t>
        </is>
      </c>
      <c r="C10" s="8" t="inlineStr">
        <is>
          <t>초월 후 은신 상태에서 발동</t>
        </is>
      </c>
      <c r="D10" s="8" t="inlineStr">
        <is>
          <t>적 전체 5500 데미지 + 시야 차단 5초 + 침묵 3초</t>
        </is>
      </c>
      <c r="E10" s="8" t="inlineStr">
        <is>
          <t>맵 전체</t>
        </is>
      </c>
      <c r="F10" s="8" t="inlineStr">
        <is>
          <t>그림자군주가 어둠 속으로 사라지면 전장이 칠흑같은 어둠에 잠긴다. 바닥에서 수백 개의 그림자 손이 솟아올라 적들을 붙잡고, 그림자 분신들이 사방에서 동시에 공격한다. 마지막으로 거대한 그림자 용이 등장해 모든 적을 삼켜버린다.</t>
        </is>
      </c>
      <c r="G10" s="8" t="inlineStr">
        <is>
          <t>130초</t>
        </is>
      </c>
      <c r="H10" s="8" t="inlineStr">
        <is>
          <t>시야 차단 + 침묵으로 적 팀 와해. 은신 조건 때문에 진입 타이밍이 핵심</t>
        </is>
      </c>
    </row>
    <row r="11">
      <c r="A11" s="9" t="inlineStr">
        <is>
          <t>시간마법사</t>
        </is>
      </c>
      <c r="B11" s="9" t="inlineStr">
        <is>
          <t>시공정지</t>
        </is>
      </c>
      <c r="C11" s="9" t="inlineStr">
        <is>
          <t>초월 후 전투 시작 60초 후 발동 가능</t>
        </is>
      </c>
      <c r="D11" s="9" t="inlineStr">
        <is>
          <t>적 전체 3초 시간정지 + 아군 3초간 자유행동</t>
        </is>
      </c>
      <c r="E11" s="9" t="inlineStr">
        <is>
          <t>맵 전체</t>
        </is>
      </c>
      <c r="F11" s="9" t="inlineStr">
        <is>
          <t>시간마법사가 시계를 거꾸로 돌리면 공간이 비틀리며 시간의 균열이 생긴다. 적들은 시간이 멈춘 채 얼어붙고, 아군만이 느린 세계에서 자유롭게 움직인다. 시간의 모래가 역류하며 황금빛 시계 톱니바퀴들이 하늘을 수놓는 장관이 펼쳐진다.</t>
        </is>
      </c>
      <c r="G11" s="9" t="inlineStr">
        <is>
          <t>200초</t>
        </is>
      </c>
      <c r="H11" s="9" t="inlineStr">
        <is>
          <t>3초 완전 자유행동은 게임 최강 CC. 쿨다운이 가장 길어 타이밍 판단이 승패를 가름</t>
        </is>
      </c>
    </row>
    <row r="12">
      <c r="A12" s="8" t="inlineStr">
        <is>
          <t>죽음의기사</t>
        </is>
      </c>
      <c r="B12" s="8" t="inlineStr">
        <is>
          <t>영혼수확</t>
        </is>
      </c>
      <c r="C12" s="8" t="inlineStr">
        <is>
          <t>초월 후 적 처치 3회 누적 시</t>
        </is>
      </c>
      <c r="D12" s="8" t="inlineStr">
        <is>
          <t>범위 내 9000 데미지 + 처치 시 HP 30% 흡수</t>
        </is>
      </c>
      <c r="E12" s="8" t="inlineStr">
        <is>
          <t>반경 5칸</t>
        </is>
      </c>
      <c r="F12" s="8" t="inlineStr">
        <is>
          <t>죽음의기사의 검이 영혼의 불꽃으로 타오르며 주변의 생명력을 빨아들인다. 지면에서 해골 손들이 솟아올라 적을 붙잡고, 거대한 사신의 낫이 허공에 나타나 적들의 영혼을 베어낸다. 수확된 영혼들이 기사에게 흡수되며 그의 갑옷이 핏빛으로 물든다.</t>
        </is>
      </c>
      <c r="G12" s="8" t="inlineStr">
        <is>
          <t>110초</t>
        </is>
      </c>
      <c r="H12" s="8" t="inlineStr">
        <is>
          <t>킬 연계형 궁극기. 처치할수록 HP 회수로 지속 전투 가능. 어쌔신 플레이 최적</t>
        </is>
      </c>
    </row>
    <row r="13">
      <c r="A13" s="9" t="inlineStr">
        <is>
          <t>세라핌</t>
        </is>
      </c>
      <c r="B13" s="9" t="inlineStr">
        <is>
          <t>신의축복</t>
        </is>
      </c>
      <c r="C13" s="9" t="inlineStr">
        <is>
          <t>초월 후 아군에게 힐 10회 누적 시</t>
        </is>
      </c>
      <c r="D13" s="9" t="inlineStr">
        <is>
          <t>아군 전원 모든 스탯 +30% 30초 + 부활 1회 부여</t>
        </is>
      </c>
      <c r="E13" s="9" t="inlineStr">
        <is>
          <t>아군 전체</t>
        </is>
      </c>
      <c r="F13" s="9" t="inlineStr">
        <is>
          <t>세라핌의 여섯 날개가 모두 펼쳐지며 천상의 빛이 폭발한다. 하늘이 열리고 신성한 빛줄기가 각 아군에게 내리꽂히며, 황금빛 천사의 갑옷이 아군을 감싼다. 부활의 축복이 깃들며, 전사해도 한 번 더 일어설 수 있는 기적이 부여된다.</t>
        </is>
      </c>
      <c r="G13" s="9" t="inlineStr">
        <is>
          <t>200초</t>
        </is>
      </c>
      <c r="H13" s="9" t="inlineStr">
        <is>
          <t>힐러 궁극기 최강. 30% 스탯 버프 + 부활 부여는 공성전 최종 결전용</t>
        </is>
      </c>
    </row>
    <row r="14">
      <c r="A14" s="8" t="inlineStr">
        <is>
          <t>천상의기사</t>
        </is>
      </c>
      <c r="B14" s="8" t="inlineStr">
        <is>
          <t>빛의심판</t>
        </is>
      </c>
      <c r="C14" s="8" t="inlineStr">
        <is>
          <t>초월 후 HP 80% 이상 유지 시</t>
        </is>
      </c>
      <c r="D14" s="8" t="inlineStr">
        <is>
          <t>직선 범위 10000 데미지 + 실명 4초</t>
        </is>
      </c>
      <c r="E14" s="8" t="inlineStr">
        <is>
          <t>직선 관통</t>
        </is>
      </c>
      <c r="F14" s="8" t="inlineStr">
        <is>
          <t>천상의기사가 성검을 하늘로 치켜들면 구름 사이로 거대한 빛의 기둥이 내려온다. 기사가 검을 내리치는 순간, 눈부신 빛의 파동이 직선으로 뻗어나가며 경로상의 모든 것을 관통한다. 빛에 닿은 적들은 눈이 멀어 아무것도 볼 수 없게 된다.</t>
        </is>
      </c>
      <c r="G14" s="8" t="inlineStr">
        <is>
          <t>120초</t>
        </is>
      </c>
      <c r="H14" s="8" t="inlineStr">
        <is>
          <t>HP 유지 조건으로 탱커 빌드와 시너지. 직선 관통으로 정렬된 적에게 최대 효율</t>
        </is>
      </c>
    </row>
    <row r="15">
      <c r="A15" s="9" t="inlineStr">
        <is>
          <t>세계수정령</t>
        </is>
      </c>
      <c r="B15" s="9" t="inlineStr">
        <is>
          <t>생명의나무</t>
        </is>
      </c>
      <c r="C15" s="9" t="inlineStr">
        <is>
          <t>초월 후 자연 지형에서 발동</t>
        </is>
      </c>
      <c r="D15" s="9" t="inlineStr">
        <is>
          <t>아군 전원 초당 5% HP 회복 15초 + 지형을 숲으로 변환</t>
        </is>
      </c>
      <c r="E15" s="9" t="inlineStr">
        <is>
          <t>반경 10칸</t>
        </is>
      </c>
      <c r="F15" s="9" t="inlineStr">
        <is>
          <t>세계수정령이 대지에 손을 대면 거대한 세계수가 순식간에 자라난다. 뿌리가 대지를 뒤덮으며 꽃과 풀이 피어나고, 나뭇잎에서 초록빛 치유의 이슬이 떨어진다. 전장이 울창한 숲으로 변하며 아군에게 은신처와 생명력을 동시에 제공한다.</t>
        </is>
      </c>
      <c r="G15" s="9" t="inlineStr">
        <is>
          <t>160초</t>
        </is>
      </c>
      <c r="H15" s="9" t="inlineStr">
        <is>
          <t>지형 변환으로 전술적 우위 확보. 숲 지형은 원거리 공격 차단 + 은신 가능</t>
        </is>
      </c>
    </row>
    <row r="16">
      <c r="A16" s="8" t="inlineStr">
        <is>
          <t>공허의왕</t>
        </is>
      </c>
      <c r="B16" s="8" t="inlineStr">
        <is>
          <t>차원붕괴</t>
        </is>
      </c>
      <c r="C16" s="8" t="inlineStr">
        <is>
          <t>초월 후 마나 70% 이상 + 적 5명 이상 시</t>
        </is>
      </c>
      <c r="D16" s="8" t="inlineStr">
        <is>
          <t>범위 내 HP 비례 25% 데미지 + 침묵 5초 + 스킬 쿨다운 초기화</t>
        </is>
      </c>
      <c r="E16" s="8" t="inlineStr">
        <is>
          <t>반경 8칸</t>
        </is>
      </c>
      <c r="F16" s="8" t="inlineStr">
        <is>
          <t>공허의왕이 손을 뻗으면 현실에 균열이 생기며 보라빛 공허 에너지가 새어나온다. 차원의 틈에서 거대한 촉수들이 뻗어나와 적들을 붙잡고, 현실 자체가 붕괴하며 적들이 공허 속으로 빨려들어간다. 시공간이 재구성되며 모든 것이 원점으로 돌아간다.</t>
        </is>
      </c>
      <c r="G16" s="8" t="inlineStr">
        <is>
          <t>170초</t>
        </is>
      </c>
      <c r="H16" s="8" t="inlineStr">
        <is>
          <t>HP 비례 데미지로 탱커 킬러. 침묵 + 쿨다운 초기화로 적 팀 무력화</t>
        </is>
      </c>
    </row>
    <row r="17">
      <c r="A17" s="9" t="inlineStr">
        <is>
          <t>혼돈의군주</t>
        </is>
      </c>
      <c r="B17" s="9" t="inlineStr">
        <is>
          <t>혼돈의심연</t>
        </is>
      </c>
      <c r="C17" s="9" t="inlineStr">
        <is>
          <t>초월 후 전투 중 사망/부활 1회 경험 시</t>
        </is>
      </c>
      <c r="D17" s="9" t="inlineStr">
        <is>
          <t>적 전체 랜덤 디버프 3종 + 6000 데미지 + 아군/적 위치 셔플</t>
        </is>
      </c>
      <c r="E17" s="9" t="inlineStr">
        <is>
          <t>맵 전체</t>
        </is>
      </c>
      <c r="F17" s="9" t="inlineStr">
        <is>
          <t>혼돈의군주가 웃음을 터뜨리면 현실의 법칙이 무너진다. 중력이 뒤집히고, 위아래가 바뀌며, 적과 아군의 위치가 뒤섞인다. 혼돈의 에너지가 소용돌이치며 예측 불가능한 재앙을 쏟아내고, 전장은 완전한 카오스에 빠진다.</t>
        </is>
      </c>
      <c r="G17" s="9" t="inlineStr">
        <is>
          <t>150초</t>
        </is>
      </c>
      <c r="H17" s="9" t="inlineStr">
        <is>
          <t>위치 셔플로 전장 재편. 랜덤성이 높아 변수 활용 능력이 핵심. 고위험 고보상</t>
        </is>
      </c>
    </row>
    <row r="18">
      <c r="A18" s="8" t="inlineStr">
        <is>
          <t>바하무트</t>
        </is>
      </c>
      <c r="B18" s="8" t="inlineStr">
        <is>
          <t>멸망의브레스</t>
        </is>
      </c>
      <c r="C18" s="8" t="inlineStr">
        <is>
          <t>초월 후 HP 30% 이하 + 분노 게이지 만충 시</t>
        </is>
      </c>
      <c r="D18" s="8" t="inlineStr">
        <is>
          <t>맵 전체 15000 데미지 + 지형 파괴 + 화상 10초</t>
        </is>
      </c>
      <c r="E18" s="8" t="inlineStr">
        <is>
          <t>맵 전체</t>
        </is>
      </c>
      <c r="F18" s="8" t="inlineStr">
        <is>
          <t>바하무트가 포효하며 진정한 용의 모습으로 변신한다. 하늘을 뒤덮는 거대한 날개가 펼쳐지고, 입에서 태양보다 뜨거운 멸망의 브레스가 발사된다. 브레스가 지나간 자리는 용암으로 변하고, 대지가 녹아내리며, 하늘마저 붉게 물든다. 전장의 모든 지형이 파괴되어 원형을 알아볼 수 없게 된다.</t>
        </is>
      </c>
      <c r="G18" s="8" t="inlineStr">
        <is>
          <t>240초</t>
        </is>
      </c>
      <c r="H18" s="8" t="inlineStr">
        <is>
          <t>게임 내 최고 광역 데미지. 지형 파괴로 엄폐물 제거. 발동 조건이 까다로워 최후의 수단</t>
        </is>
      </c>
    </row>
    <row r="19">
      <c r="A19" s="9" t="inlineStr">
        <is>
          <t>전쟁의신</t>
        </is>
      </c>
      <c r="B19" s="9" t="inlineStr">
        <is>
          <t>라그나로크</t>
        </is>
      </c>
      <c r="C19" s="9" t="inlineStr">
        <is>
          <t>초월 후 아군 3명 이상 사망 시</t>
        </is>
      </c>
      <c r="D19" s="9" t="inlineStr">
        <is>
          <t>적 전체 12000 데미지 + 아군 사망자 전원 부활(HP 50%) + 자신 무적 10초</t>
        </is>
      </c>
      <c r="E19" s="9" t="inlineStr">
        <is>
          <t>맵 전체</t>
        </is>
      </c>
      <c r="F19" s="9" t="inlineStr">
        <is>
          <t>전쟁의신이 창을 하늘에 꽂으면 대지가 갈라지며 라그나로크가 시작된다. 하늘에서 불과 얼음이 동시에 쏟아지고, 대지에서 화염 거인들이 솟아오른다. 사망한 아군들이 발할라의 빛에 휩싸여 부활하며, 전쟁의 신의 축복을 받아 다시 전장에 선다.</t>
        </is>
      </c>
      <c r="G19" s="9" t="inlineStr">
        <is>
          <t>300초</t>
        </is>
      </c>
      <c r="H19" s="9" t="inlineStr">
        <is>
          <t>최강의 역전 궁극기. 쿨다운 5분으로 게임 당 1~2회. 아군 사망 조건으로 위기 상황 전용</t>
        </is>
      </c>
    </row>
    <row r="20">
      <c r="A20" s="8" t="inlineStr">
        <is>
          <t>세계의끝</t>
        </is>
      </c>
      <c r="B20" s="8" t="inlineStr">
        <is>
          <t>종말</t>
        </is>
      </c>
      <c r="C20" s="8" t="inlineStr">
        <is>
          <t>초월 후 게임 시간 15분 경과 + HP 50% 이하 시</t>
        </is>
      </c>
      <c r="D20" s="8" t="inlineStr">
        <is>
          <t>맵 전체 적 현재 HP 50% 데미지 + 모든 버프/디버프 제거 + 30초간 모든 쿨다운 50% 감소</t>
        </is>
      </c>
      <c r="E20" s="8" t="inlineStr">
        <is>
          <t>맵 전체</t>
        </is>
      </c>
      <c r="F20" s="8" t="inlineStr">
        <is>
          <t>세계의끝이 두 손을 들어올리면 하늘에 거대한 균열이 생기며 우주의 심연이 드러난다. 별들이 떨어지고, 바다가 솟구치며, 대지가 뒤집힌다. 모든 마법과 저주가 풀리고, 세계가 백지 상태로 돌아간다. 찰나의 적막 후, 새로운 세계가 다시 시작된다.</t>
        </is>
      </c>
      <c r="G20" s="8" t="inlineStr">
        <is>
          <t>240초</t>
        </is>
      </c>
      <c r="H20" s="8" t="inlineStr">
        <is>
          <t>장기전 특화. HP 비례 데미지로 탱커 무력화. 올 리셋으로 새로운 국면 전개</t>
        </is>
      </c>
    </row>
    <row r="21">
      <c r="A21" s="9" t="inlineStr">
        <is>
          <t>원소의왕</t>
        </is>
      </c>
      <c r="B21" s="9" t="inlineStr">
        <is>
          <t>원소대재앙</t>
        </is>
      </c>
      <c r="C21" s="9" t="inlineStr">
        <is>
          <t>초월 후 4원소 스킬 각 1회 이상 사용 시</t>
        </is>
      </c>
      <c r="D21" s="9" t="inlineStr">
        <is>
          <t>맵 전체 10000 데미지(화/수/풍/지 2500씩 분할) + 각 원소별 디버프</t>
        </is>
      </c>
      <c r="E21" s="9" t="inlineStr">
        <is>
          <t>맵 전체</t>
        </is>
      </c>
      <c r="F21" s="9" t="inlineStr">
        <is>
          <t>원소의왕이 네 원소의 힘을 하나로 모으면 세계가 요동친다. 화염 폭풍, 거대 해일, 뇌전 폭격, 대지진이 동시에 일어나며 전장을 초토화한다. 네 가지 원소가 하나로 융합되며 무지갯빛 에너지 폭발이 모든 것을 휩쓸어 버린다. 각 원소마다 화상/동상/감전/둔화 디버프가 중첩된다.</t>
        </is>
      </c>
      <c r="G21" s="9" t="inlineStr">
        <is>
          <t>180초</t>
        </is>
      </c>
      <c r="H21" s="9" t="inlineStr">
        <is>
          <t>4원소 선사용 조건으로 스킬 로테이션 실력 필요. 다중 디버프로 후속 팀 공격 시너지 극대화</t>
        </is>
      </c>
    </row>
    <row r="22">
      <c r="A22" s="8" t="inlineStr">
        <is>
          <t>태초의존재</t>
        </is>
      </c>
      <c r="B22" s="8" t="inlineStr">
        <is>
          <t>창세의빛</t>
        </is>
      </c>
      <c r="C22" s="8" t="inlineStr">
        <is>
          <t>초월 후 HP 10% 이하 + 아군 전원 생존 시</t>
        </is>
      </c>
      <c r="D22" s="8" t="inlineStr">
        <is>
          <t>적 전체 즉사(보스 제외: 99% 데미지) + 아군 전원 완전 회복 + 30초 전스탯 +50%</t>
        </is>
      </c>
      <c r="E22" s="8" t="inlineStr">
        <is>
          <t>맵 전체</t>
        </is>
      </c>
      <c r="F22" s="8" t="inlineStr">
        <is>
          <t>태초의존재가 눈을 감으면 세계가 암전된다. 칠흑의 어둠 속에서 최초의 빛 한 줄기가 태어나며, 그 빛이 폭발적으로 팽창한다. 창세의 순간이 재현되며 모든 악이 소멸하고, 빛의 파동이 우주 끝까지 뻗어나간다. 아군은 창세의 축복을 받아 완전한 상태로 재탄생한다. 가장 아름답고 가장 치명적인 궁극기.</t>
        </is>
      </c>
      <c r="G22" s="8" t="inlineStr">
        <is>
          <t>600초</t>
        </is>
      </c>
      <c r="H22" s="8" t="inlineStr">
        <is>
          <t>게임 최강 궁극기. 10분 쿨다운 + 극단적 발동 조건. 성공 시 전투 즉시 종료급 위력</t>
        </is>
      </c>
    </row>
    <row r="23">
      <c r="A23" s="9" t="inlineStr">
        <is>
          <t>태초의존재</t>
        </is>
      </c>
      <c r="B23" s="9" t="inlineStr">
        <is>
          <t>창세의어둠(반전)</t>
        </is>
      </c>
      <c r="C23" s="9" t="inlineStr">
        <is>
          <t>초월 후 HP 10% 이하 + 아군 전원 사망 시</t>
        </is>
      </c>
      <c r="D23" s="9" t="inlineStr">
        <is>
          <t>적 전체 즉사(보스 제외: 99% 데미지) + 자신 HP 1 고정 + 60초 광폭화</t>
        </is>
      </c>
      <c r="E23" s="9" t="inlineStr">
        <is>
          <t>맵 전체</t>
        </is>
      </c>
      <c r="F23" s="9" t="inlineStr">
        <is>
          <t>태초의존재가 절규하면 세계가 산산조각난다. 창세의 빛이 아닌 태초의 어둠이 폭발하며, 존재하는 모든 것을 삼킨다. 홀로 남은 태초의존재는 광기에 휩싸여 파괴의 화신이 되며, 60초간 멈출 수 없는 학살을 자행한다. 가장 절망적이고 가장 강력한 각성.</t>
        </is>
      </c>
      <c r="G23" s="9" t="inlineStr">
        <is>
          <t>600초</t>
        </is>
      </c>
      <c r="H23" s="9" t="inlineStr">
        <is>
          <t>아군 전멸이라는 극한 조건. 광폭화로 1인 팀킬 가능하나 HP 1 고정으로 즉사 위험. 로맨틱한 최후의 발악</t>
        </is>
      </c>
    </row>
  </sheetData>
  <mergeCells count="1">
    <mergeCell ref="A1:H1"/>
  </mergeCell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0" customWidth="1" min="1" max="1"/>
    <col width="12" customWidth="1" min="2" max="2"/>
    <col width="16" customWidth="1" min="3" max="3"/>
    <col width="16" customWidth="1" min="4" max="4"/>
    <col width="12" customWidth="1" min="5" max="5"/>
    <col width="12" customWidth="1" min="6" max="6"/>
    <col width="40" customWidth="1" min="7" max="7"/>
    <col width="35" customWidth="1" min="8" max="8"/>
  </cols>
  <sheetData>
    <row r="1">
      <c r="A1" s="6" t="inlineStr">
        <is>
          <t>서버 경제 시뮬레이션 — 16주(4개월) 시뮬레이션</t>
        </is>
      </c>
    </row>
    <row r="3">
      <c r="A3" s="7" t="inlineStr">
        <is>
          <t>주차</t>
        </is>
      </c>
      <c r="B3" s="7" t="inlineStr">
        <is>
          <t>활성 유저</t>
        </is>
      </c>
      <c r="C3" s="7" t="inlineStr">
        <is>
          <t>일일 골드 생산</t>
        </is>
      </c>
      <c r="D3" s="7" t="inlineStr">
        <is>
          <t>일일 골드 소비</t>
        </is>
      </c>
      <c r="E3" s="7" t="inlineStr">
        <is>
          <t>물가 지수</t>
        </is>
      </c>
      <c r="F3" s="7" t="inlineStr">
        <is>
          <t>인플레이션</t>
        </is>
      </c>
      <c r="G3" s="7" t="inlineStr">
        <is>
          <t>핵심 이슈</t>
        </is>
      </c>
      <c r="H3" s="7" t="inlineStr">
        <is>
          <t>운영 대응</t>
        </is>
      </c>
    </row>
    <row r="4">
      <c r="A4" s="8" t="inlineStr">
        <is>
          <t>1주차</t>
        </is>
      </c>
      <c r="B4" s="8" t="inlineStr">
        <is>
          <t>50,000</t>
        </is>
      </c>
      <c r="C4" s="8" t="inlineStr">
        <is>
          <t>2억</t>
        </is>
      </c>
      <c r="D4" s="8" t="inlineStr">
        <is>
          <t>1.5억</t>
        </is>
      </c>
      <c r="E4" s="8" t="inlineStr">
        <is>
          <t>100</t>
        </is>
      </c>
      <c r="F4" s="8" t="inlineStr">
        <is>
          <t>0%</t>
        </is>
      </c>
      <c r="G4" s="8" t="inlineStr">
        <is>
          <t>서버 오픈. 골드 부족기, 유저 대부분 튜토리얼 진행 중. 소비할 곳이 적음</t>
        </is>
      </c>
      <c r="H4" s="8" t="inlineStr">
        <is>
          <t>오픈 이벤트 골드 지급, 초보자 패키지 판매 시작</t>
        </is>
      </c>
    </row>
    <row r="5">
      <c r="A5" s="9" t="inlineStr">
        <is>
          <t>2주차</t>
        </is>
      </c>
      <c r="B5" s="9" t="inlineStr">
        <is>
          <t>65,000</t>
        </is>
      </c>
      <c r="C5" s="9" t="inlineStr">
        <is>
          <t>5억</t>
        </is>
      </c>
      <c r="D5" s="9" t="inlineStr">
        <is>
          <t>3억</t>
        </is>
      </c>
      <c r="E5" s="9" t="inlineStr">
        <is>
          <t>102</t>
        </is>
      </c>
      <c r="F5" s="9" t="inlineStr">
        <is>
          <t>+2%</t>
        </is>
      </c>
      <c r="G5" s="9" t="inlineStr">
        <is>
          <t>레벨업 러시. 강화/제작 수요 증가하나 공급 부족. NPC 상점 의존도 높음</t>
        </is>
      </c>
      <c r="H5" s="9" t="inlineStr">
        <is>
          <t>레벨업 보상 강화, 일일 퀘스트 골드 보상 상향</t>
        </is>
      </c>
    </row>
    <row r="6">
      <c r="A6" s="8" t="inlineStr">
        <is>
          <t>3주차</t>
        </is>
      </c>
      <c r="B6" s="8" t="inlineStr">
        <is>
          <t>80,000</t>
        </is>
      </c>
      <c r="C6" s="8" t="inlineStr">
        <is>
          <t>12억</t>
        </is>
      </c>
      <c r="D6" s="8" t="inlineStr">
        <is>
          <t>7억</t>
        </is>
      </c>
      <c r="E6" s="8" t="inlineStr">
        <is>
          <t>108</t>
        </is>
      </c>
      <c r="F6" s="8" t="inlineStr">
        <is>
          <t>+6%</t>
        </is>
      </c>
      <c r="G6" s="8" t="inlineStr">
        <is>
          <t>첫 무역왕 등장. 경매장 초기 거래 시작. 희귀 재료 시세 급등</t>
        </is>
      </c>
      <c r="H6" s="8" t="inlineStr">
        <is>
          <t>경매장 수수료 5% 설정, 재료 드롭률 미세 상향</t>
        </is>
      </c>
    </row>
    <row r="7">
      <c r="A7" s="9" t="inlineStr">
        <is>
          <t>4주차</t>
        </is>
      </c>
      <c r="B7" s="9" t="inlineStr">
        <is>
          <t>90,000</t>
        </is>
      </c>
      <c r="C7" s="9" t="inlineStr">
        <is>
          <t>20억</t>
        </is>
      </c>
      <c r="D7" s="9" t="inlineStr">
        <is>
          <t>13억</t>
        </is>
      </c>
      <c r="E7" s="9" t="inlineStr">
        <is>
          <t>115</t>
        </is>
      </c>
      <c r="F7" s="9" t="inlineStr">
        <is>
          <t>+7%</t>
        </is>
      </c>
      <c r="G7" s="9" t="inlineStr">
        <is>
          <t>공성전 프리시즌. 혈맹 결성 러시로 혈맹 기부금 수요 폭증. 물가 본격 상승</t>
        </is>
      </c>
      <c r="H7" s="9" t="inlineStr">
        <is>
          <t>골드 싱크 콘텐츠 추가(혈맹 건물, 깃발 제작)</t>
        </is>
      </c>
    </row>
    <row r="8">
      <c r="A8" s="8" t="inlineStr">
        <is>
          <t>5주차</t>
        </is>
      </c>
      <c r="B8" s="8" t="inlineStr">
        <is>
          <t>95,000</t>
        </is>
      </c>
      <c r="C8" s="8" t="inlineStr">
        <is>
          <t>30억</t>
        </is>
      </c>
      <c r="D8" s="8" t="inlineStr">
        <is>
          <t>22억</t>
        </is>
      </c>
      <c r="E8" s="8" t="inlineStr">
        <is>
          <t>120</t>
        </is>
      </c>
      <c r="F8" s="8" t="inlineStr">
        <is>
          <t>+5%</t>
        </is>
      </c>
      <c r="G8" s="8" t="inlineStr">
        <is>
          <t>1차 공성전 시작. 전쟁 소모품(포션/버프음식) 수요 급증. 전쟁 특수가 시작됨</t>
        </is>
      </c>
      <c r="H8" s="8" t="inlineStr">
        <is>
          <t>공성전 참여 보상 지급, 소모품 NPC 가격 조정</t>
        </is>
      </c>
    </row>
    <row r="9">
      <c r="A9" s="9" t="inlineStr">
        <is>
          <t>6주차</t>
        </is>
      </c>
      <c r="B9" s="9" t="inlineStr">
        <is>
          <t>100,000</t>
        </is>
      </c>
      <c r="C9" s="9" t="inlineStr">
        <is>
          <t>40억</t>
        </is>
      </c>
      <c r="D9" s="9" t="inlineStr">
        <is>
          <t>32억</t>
        </is>
      </c>
      <c r="E9" s="9" t="inlineStr">
        <is>
          <t>125</t>
        </is>
      </c>
      <c r="F9" s="9" t="inlineStr">
        <is>
          <t>+5%</t>
        </is>
      </c>
      <c r="G9" s="9" t="inlineStr">
        <is>
          <t>경매장 활성화. 영웅급 용병 최초 거래 등장. 상위 1% 자산 집중 시작</t>
        </is>
      </c>
      <c r="H9" s="9" t="inlineStr">
        <is>
          <t>영웅급 용병 귀속 해제 수수료 도입, 세금 시스템 가동</t>
        </is>
      </c>
    </row>
    <row r="10">
      <c r="A10" s="8" t="inlineStr">
        <is>
          <t>7주차</t>
        </is>
      </c>
      <c r="B10" s="8" t="inlineStr">
        <is>
          <t>98,000</t>
        </is>
      </c>
      <c r="C10" s="8" t="inlineStr">
        <is>
          <t>45억</t>
        </is>
      </c>
      <c r="D10" s="8" t="inlineStr">
        <is>
          <t>38억</t>
        </is>
      </c>
      <c r="E10" s="8" t="inlineStr">
        <is>
          <t>130</t>
        </is>
      </c>
      <c r="F10" s="8" t="inlineStr">
        <is>
          <t>+5%</t>
        </is>
      </c>
      <c r="G10" s="8" t="inlineStr">
        <is>
          <t>인플레이션 경고 단계. 일반 유저 체감 물가 상승. 강화 비용 부담 증가</t>
        </is>
      </c>
      <c r="H10" s="8" t="inlineStr">
        <is>
          <t>주간 골드 획득 상한 도입, 고레벨 던전 입장료 인상</t>
        </is>
      </c>
    </row>
    <row r="11">
      <c r="A11" s="9" t="inlineStr">
        <is>
          <t>8주차</t>
        </is>
      </c>
      <c r="B11" s="9" t="inlineStr">
        <is>
          <t>95,000</t>
        </is>
      </c>
      <c r="C11" s="9" t="inlineStr">
        <is>
          <t>42억</t>
        </is>
      </c>
      <c r="D11" s="9" t="inlineStr">
        <is>
          <t>40억</t>
        </is>
      </c>
      <c r="E11" s="9" t="inlineStr">
        <is>
          <t>128</t>
        </is>
      </c>
      <c r="F11" s="9" t="inlineStr">
        <is>
          <t>-2%</t>
        </is>
      </c>
      <c r="G11" s="9" t="inlineStr">
        <is>
          <t>1차 안정화. 골드 싱크 효과 발현. 일부 유저 이탈 시작</t>
        </is>
      </c>
      <c r="H11" s="9" t="inlineStr">
        <is>
          <t>복귀자 이벤트, 캐주얼 콘텐츠(낚시/정원) 보상 강화</t>
        </is>
      </c>
    </row>
    <row r="12">
      <c r="A12" s="8" t="inlineStr">
        <is>
          <t>9주차</t>
        </is>
      </c>
      <c r="B12" s="8" t="inlineStr">
        <is>
          <t>92,000</t>
        </is>
      </c>
      <c r="C12" s="8" t="inlineStr">
        <is>
          <t>40억</t>
        </is>
      </c>
      <c r="D12" s="8" t="inlineStr">
        <is>
          <t>38억</t>
        </is>
      </c>
      <c r="E12" s="8" t="inlineStr">
        <is>
          <t>132</t>
        </is>
      </c>
      <c r="F12" s="8" t="inlineStr">
        <is>
          <t>+4%</t>
        </is>
      </c>
      <c r="G12" s="8" t="inlineStr">
        <is>
          <t>신화급 용병 최초 등장. 경매장 시세 1억 돌파. 양극화 심화</t>
        </is>
      </c>
      <c r="H12" s="8" t="inlineStr">
        <is>
          <t>신화급 거래 수수료 10%로 인상, 중간층 보조금 지급</t>
        </is>
      </c>
    </row>
    <row r="13">
      <c r="A13" s="9" t="inlineStr">
        <is>
          <t>10주차</t>
        </is>
      </c>
      <c r="B13" s="9" t="inlineStr">
        <is>
          <t>90,000</t>
        </is>
      </c>
      <c r="C13" s="9" t="inlineStr">
        <is>
          <t>38억</t>
        </is>
      </c>
      <c r="D13" s="9" t="inlineStr">
        <is>
          <t>37억</t>
        </is>
      </c>
      <c r="E13" s="9" t="inlineStr">
        <is>
          <t>135</t>
        </is>
      </c>
      <c r="F13" s="9" t="inlineStr">
        <is>
          <t>+3%</t>
        </is>
      </c>
      <c r="G13" s="9" t="inlineStr">
        <is>
          <t>시즌1 중반. 배틀패스 구매율 하락 시작. 콘텐츠 소비 속도 &gt; 공급</t>
        </is>
      </c>
      <c r="H13" s="9" t="inlineStr">
        <is>
          <t>긴급 업데이트: 심연 50층 추가, 새 일일 던전 오픈</t>
        </is>
      </c>
    </row>
    <row r="14">
      <c r="A14" s="8" t="inlineStr">
        <is>
          <t>11주차</t>
        </is>
      </c>
      <c r="B14" s="8" t="inlineStr">
        <is>
          <t>88,000</t>
        </is>
      </c>
      <c r="C14" s="8" t="inlineStr">
        <is>
          <t>36억</t>
        </is>
      </c>
      <c r="D14" s="8" t="inlineStr">
        <is>
          <t>35억</t>
        </is>
      </c>
      <c r="E14" s="8" t="inlineStr">
        <is>
          <t>133</t>
        </is>
      </c>
      <c r="F14" s="8" t="inlineStr">
        <is>
          <t>-2%</t>
        </is>
      </c>
      <c r="G14" s="8" t="inlineStr">
        <is>
          <t>경매장 자정 작용. 과잉 공급 아이템 시세 하락. 제작 수익률 감소</t>
        </is>
      </c>
      <c r="H14" s="8" t="inlineStr">
        <is>
          <t>제작 특화 이벤트, 장인 칭호 시스템 도입</t>
        </is>
      </c>
    </row>
    <row r="15">
      <c r="A15" s="9" t="inlineStr">
        <is>
          <t>12주차</t>
        </is>
      </c>
      <c r="B15" s="9" t="inlineStr">
        <is>
          <t>85,000</t>
        </is>
      </c>
      <c r="C15" s="9" t="inlineStr">
        <is>
          <t>35억</t>
        </is>
      </c>
      <c r="D15" s="9" t="inlineStr">
        <is>
          <t>34억</t>
        </is>
      </c>
      <c r="E15" s="9" t="inlineStr">
        <is>
          <t>130</t>
        </is>
      </c>
      <c r="F15" s="9" t="inlineStr">
        <is>
          <t>-3%</t>
        </is>
      </c>
      <c r="G15" s="9" t="inlineStr">
        <is>
          <t>시즌1 후반. 핵심 유저 고정화. 경제 순환 패턴 안정화 단계 진입</t>
        </is>
      </c>
      <c r="H15" s="9" t="inlineStr">
        <is>
          <t>시즌1 결산 이벤트 예고, 보상 2배 이벤트</t>
        </is>
      </c>
    </row>
    <row r="16">
      <c r="A16" s="8" t="inlineStr">
        <is>
          <t>13주차</t>
        </is>
      </c>
      <c r="B16" s="8" t="inlineStr">
        <is>
          <t>88,000</t>
        </is>
      </c>
      <c r="C16" s="8" t="inlineStr">
        <is>
          <t>37억</t>
        </is>
      </c>
      <c r="D16" s="8" t="inlineStr">
        <is>
          <t>36억</t>
        </is>
      </c>
      <c r="E16" s="8" t="inlineStr">
        <is>
          <t>128</t>
        </is>
      </c>
      <c r="F16" s="8" t="inlineStr">
        <is>
          <t>-2%</t>
        </is>
      </c>
      <c r="G16" s="8" t="inlineStr">
        <is>
          <t>시즌2 예고 효과로 복귀 유저 증가. 재화 비축 현상 발생</t>
        </is>
      </c>
      <c r="H16" s="8" t="inlineStr">
        <is>
          <t>시즌2 사전등록, 신규 콘텐츠 미리보기 공개</t>
        </is>
      </c>
    </row>
    <row r="17">
      <c r="A17" s="9" t="inlineStr">
        <is>
          <t>14주차</t>
        </is>
      </c>
      <c r="B17" s="9" t="inlineStr">
        <is>
          <t>92,000</t>
        </is>
      </c>
      <c r="C17" s="9" t="inlineStr">
        <is>
          <t>40억</t>
        </is>
      </c>
      <c r="D17" s="9" t="inlineStr">
        <is>
          <t>39억</t>
        </is>
      </c>
      <c r="E17" s="9" t="inlineStr">
        <is>
          <t>125</t>
        </is>
      </c>
      <c r="F17" s="9" t="inlineStr">
        <is>
          <t>-3%</t>
        </is>
      </c>
      <c r="G17" s="9" t="inlineStr">
        <is>
          <t>시즌1→2 전환기. 시즌 리셋으로 일부 재화 초기화. 물가 하락</t>
        </is>
      </c>
      <c r="H17" s="9" t="inlineStr">
        <is>
          <t>리셋 보상 지급, 시즌2 신규 용병/장비 추가</t>
        </is>
      </c>
    </row>
    <row r="18">
      <c r="A18" s="8" t="inlineStr">
        <is>
          <t>15주차</t>
        </is>
      </c>
      <c r="B18" s="8" t="inlineStr">
        <is>
          <t>95,000</t>
        </is>
      </c>
      <c r="C18" s="8" t="inlineStr">
        <is>
          <t>43억</t>
        </is>
      </c>
      <c r="D18" s="8" t="inlineStr">
        <is>
          <t>42억</t>
        </is>
      </c>
      <c r="E18" s="8" t="inlineStr">
        <is>
          <t>122</t>
        </is>
      </c>
      <c r="F18" s="8" t="inlineStr">
        <is>
          <t>-3%</t>
        </is>
      </c>
      <c r="G18" s="8" t="inlineStr">
        <is>
          <t>시즌2 시작. 신규 콘텐츠 소비로 골드 순환 재활성화. 건전한 경제 구조</t>
        </is>
      </c>
      <c r="H18" s="8" t="inlineStr">
        <is>
          <t>신규 골드 싱크(차원 정복 입장료), 경제 리포트 공개</t>
        </is>
      </c>
    </row>
    <row r="19">
      <c r="A19" s="9" t="inlineStr">
        <is>
          <t>16주차</t>
        </is>
      </c>
      <c r="B19" s="9" t="inlineStr">
        <is>
          <t>98,000</t>
        </is>
      </c>
      <c r="C19" s="9" t="inlineStr">
        <is>
          <t>45억</t>
        </is>
      </c>
      <c r="D19" s="9" t="inlineStr">
        <is>
          <t>44억</t>
        </is>
      </c>
      <c r="E19" s="9" t="inlineStr">
        <is>
          <t>120</t>
        </is>
      </c>
      <c r="F19" s="9" t="inlineStr">
        <is>
          <t>-2%</t>
        </is>
      </c>
      <c r="G19" s="9" t="inlineStr">
        <is>
          <t>성숙기 진입. 물가지수 120 안정. 시즌제 리셋이 인플레 통제 핵심 확인</t>
        </is>
      </c>
      <c r="H19" s="9" t="inlineStr">
        <is>
          <t>분기 경제 리포트 발행, 다음 시즌 밸런스 패치 예고</t>
        </is>
      </c>
    </row>
  </sheetData>
  <mergeCells count="1">
    <mergeCell ref="A1:H1"/>
  </mergeCell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2" customWidth="1" min="1" max="1"/>
    <col width="22" customWidth="1" min="2" max="2"/>
    <col width="35" customWidth="1" min="3" max="3"/>
    <col width="30" customWidth="1" min="4" max="4"/>
    <col width="30" customWidth="1" min="5" max="5"/>
    <col width="35" customWidth="1" min="6" max="6"/>
    <col width="35" customWidth="1" min="7" max="7"/>
  </cols>
  <sheetData>
    <row r="1">
      <c r="A1" s="6" t="inlineStr">
        <is>
          <t>플레이어 유형별 콘텐츠 가이드 — 8대 유형</t>
        </is>
      </c>
    </row>
    <row r="3">
      <c r="A3" s="7" t="inlineStr">
        <is>
          <t>유형</t>
        </is>
      </c>
      <c r="B3" s="7" t="inlineStr">
        <is>
          <t>성향</t>
        </is>
      </c>
      <c r="C3" s="7" t="inlineStr">
        <is>
          <t>추천 콘텐츠</t>
        </is>
      </c>
      <c r="D3" s="7" t="inlineStr">
        <is>
          <t>추천 용병</t>
        </is>
      </c>
      <c r="E3" s="7" t="inlineStr">
        <is>
          <t>목표</t>
        </is>
      </c>
      <c r="F3" s="7" t="inlineStr">
        <is>
          <t>일일 루틴</t>
        </is>
      </c>
      <c r="G3" s="7" t="inlineStr">
        <is>
          <t>주간 목표</t>
        </is>
      </c>
    </row>
    <row r="4">
      <c r="A4" s="8" t="inlineStr">
        <is>
          <t>전투광</t>
        </is>
      </c>
      <c r="B4" s="8" t="inlineStr">
        <is>
          <t>IO/PvP 집중. 순위와 킬에 집착. 강해지는 것 자체가 목표</t>
        </is>
      </c>
      <c r="C4" s="8" t="inlineStr">
        <is>
          <t>IO 배틀로얄, 결투장, 아레나, 공성전 돌격대, 심연의탑</t>
        </is>
      </c>
      <c r="D4" s="8" t="inlineStr">
        <is>
          <t>드래곤나이트, 검성, 죽음의기사, 바하무트</t>
        </is>
      </c>
      <c r="E4" s="8" t="inlineStr">
        <is>
          <t>서버 랭킹 1위, 아레나 그랜드마스터, PvP 전적 최강</t>
        </is>
      </c>
      <c r="F4" s="8" t="inlineStr">
        <is>
          <t>일일 아레나 10회, IO 배틀 5회, 결투장 도전, 강화/초월 소재 파밍</t>
        </is>
      </c>
      <c r="G4" s="8" t="inlineStr">
        <is>
          <t>주간 PvP 랭킹 보상 획득, 공성전 MVP 3회, 심연 최고층 갱신</t>
        </is>
      </c>
    </row>
    <row r="5">
      <c r="A5" s="9" t="inlineStr">
        <is>
          <t>수집가</t>
        </is>
      </c>
      <c r="B5" s="9" t="inlineStr">
        <is>
          <t>용병/도감/업적 완성에 집중. 모든 콘텐츠를 체험하고 기록</t>
        </is>
      </c>
      <c r="C5" s="9" t="inlineStr">
        <is>
          <t>용병 도감, 업적 시스템, 칭호 수집, 도전과제, 도감 완성, 스토리</t>
        </is>
      </c>
      <c r="D5" s="9" t="inlineStr">
        <is>
          <t>세라핌(힐러로 안전 파밍), 시간마법사(희귀 던전 탐색), 세계수정령</t>
        </is>
      </c>
      <c r="E5" s="9" t="inlineStr">
        <is>
          <t>전체 도감 100% 완성, 모든 칭호 획득, 숨겨진 업적 달성</t>
        </is>
      </c>
      <c r="F5" s="9" t="inlineStr">
        <is>
          <t>일일 퀘스트 올클리어, 미수집 용병 소환 시도, 도감 빈칸 채우기 탐색</t>
        </is>
      </c>
      <c r="G5" s="9" t="inlineStr">
        <is>
          <t>주간 업적 포인트 최대 획득, 신규 칭호 1개 이상 획득, 이벤트 보상 수령</t>
        </is>
      </c>
    </row>
    <row r="6">
      <c r="A6" s="8" t="inlineStr">
        <is>
          <t>거상</t>
        </is>
      </c>
      <c r="B6" s="8" t="inlineStr">
        <is>
          <t>무역/경매장/경제 활동이 핵심. 골드가 곧 권력</t>
        </is>
      </c>
      <c r="C6" s="8" t="inlineStr">
        <is>
          <t>경매장 매매, 무역 루트, 제작/가공 판매, 투기, 혈맹 자금 관리</t>
        </is>
      </c>
      <c r="D6" s="8" t="inlineStr">
        <is>
          <t>대마법사(효율 파밍), 그림자군주(은신 무역), 원소의왕(광역 파밍)</t>
        </is>
      </c>
      <c r="E6" s="8" t="inlineStr">
        <is>
          <t>서버 부자 랭킹 1위, 무역왕 칭호, 경매장 시세 좌우</t>
        </is>
      </c>
      <c r="F6" s="8" t="inlineStr">
        <is>
          <t>경매장 시세 체크 및 매매, 무역 루트 2회 운행, 제작 아이템 등록</t>
        </is>
      </c>
      <c r="G6" s="8" t="inlineStr">
        <is>
          <t>주간 순수익 1000만 골드 이상, 경매장 거래량 톱10, 신규 아이템 선점 매입</t>
        </is>
      </c>
    </row>
    <row r="7">
      <c r="A7" s="9" t="inlineStr">
        <is>
          <t>전략가</t>
        </is>
      </c>
      <c r="B7" s="9" t="inlineStr">
        <is>
          <t>공성전/혈맹/외교가 핵심. 사람을 움직이는 것이 재미</t>
        </is>
      </c>
      <c r="C7" s="9" t="inlineStr">
        <is>
          <t>공성전 지휘, 혈맹 운영, 동맹 외교, 영지 관리, 전략 회의</t>
        </is>
      </c>
      <c r="D7" s="9" t="inlineStr">
        <is>
          <t>수호천사(팀 서포트), 전쟁의신(전장 역전), 서리여왕(CC 제어)</t>
        </is>
      </c>
      <c r="E7" s="9" t="inlineStr">
        <is>
          <t>혈맹 마스터, 영지 3개 이상 점령, 서버 동맹 맹주</t>
        </is>
      </c>
      <c r="F7" s="9" t="inlineStr">
        <is>
          <t>혈맹원 관리, 외교 채팅, 전략 수립, 정보 수집, 스파이 관리</t>
        </is>
      </c>
      <c r="G7" s="9" t="inlineStr">
        <is>
          <t>주간 공성전 승리, 동맹 확장/유지, 혈맹 레벨업, 영지 수익 극대화</t>
        </is>
      </c>
    </row>
    <row r="8">
      <c r="A8" s="8" t="inlineStr">
        <is>
          <t>탐험가</t>
        </is>
      </c>
      <c r="B8" s="8" t="inlineStr">
        <is>
          <t>비밀지역/스토리/로어 탐색이 핵심. 세계관에 몰입</t>
        </is>
      </c>
      <c r="C8" s="8" t="inlineStr">
        <is>
          <t>비밀 던전, 히든 퀘스트, 로어 수집, 지역 탐사, NPC 대화, 세계관 연구</t>
        </is>
      </c>
      <c r="D8" s="8" t="inlineStr">
        <is>
          <t>시간마법사(시공간 탐색), 세계의끝(비밀 지역 해금), 태초의존재(로어 핵심)</t>
        </is>
      </c>
      <c r="E8" s="8" t="inlineStr">
        <is>
          <t>전 지역 100% 탐사, 모든 히든 퀘스트 클리어, 세계관 완전 이해</t>
        </is>
      </c>
      <c r="F8" s="8" t="inlineStr">
        <is>
          <t>미탐사 지역 탐색, NPC 대화 수집, 비밀 던전 입장 조건 탐색</t>
        </is>
      </c>
      <c r="G8" s="8" t="inlineStr">
        <is>
          <t>주간 히든 퀘스트 1개 발견, 새로운 로어 조각 수집, 비밀 지역 1곳 해금</t>
        </is>
      </c>
    </row>
    <row r="9">
      <c r="A9" s="9" t="inlineStr">
        <is>
          <t>소셜러</t>
        </is>
      </c>
      <c r="B9" s="9" t="inlineStr">
        <is>
          <t>혈맹/멘토/커뮤니티 활동이 핵심. 사람과의 교류가 목적</t>
        </is>
      </c>
      <c r="C9" s="9" t="inlineStr">
        <is>
          <t>혈맹 활동, 멘토링, 파티 플레이, 커뮤니티 이벤트, 결혼 시스템, 채팅</t>
        </is>
      </c>
      <c r="D9" s="9" t="inlineStr">
        <is>
          <t>수호천사(파티 서포트), 세라핌(멘티 보호), 세계수정령(힐러)</t>
        </is>
      </c>
      <c r="E9" s="9" t="inlineStr">
        <is>
          <t>인기 멘토, 혈맹 내 핵심 인물, 커뮤니티 유명인, 최다 친구 수</t>
        </is>
      </c>
      <c r="F9" s="9" t="inlineStr">
        <is>
          <t>혈맹 채팅 참여, 멘티 도움, 파티 던전 참여, 커뮤니티 글 작성</t>
        </is>
      </c>
      <c r="G9" s="9" t="inlineStr">
        <is>
          <t>주간 멘토링 5회, 혈맹 이벤트 주최 1회, 신규 유저 가이드 3명</t>
        </is>
      </c>
    </row>
    <row r="10">
      <c r="A10" s="8" t="inlineStr">
        <is>
          <t>캐주얼</t>
        </is>
      </c>
      <c r="B10" s="8" t="inlineStr">
        <is>
          <t>낚시/정원/요리/꾸미기 등 여유로운 콘텐츠 선호. 힐링 추구</t>
        </is>
      </c>
      <c r="C10" s="8" t="inlineStr">
        <is>
          <t>낚시, 정원 재배, 요리, 하우징, 펫 육성, 의상 수집, 미니게임</t>
        </is>
      </c>
      <c r="D10" s="8" t="inlineStr">
        <is>
          <t>세계수정령(정원 시너지), 서리여왕(낚시 보너스), 수호천사(안전)</t>
        </is>
      </c>
      <c r="E10" s="8" t="inlineStr">
        <is>
          <t>전설 물고기 올낚시, 정원 만렙, 최고급 요리 레시피 완성, 꿈의 집</t>
        </is>
      </c>
      <c r="F10" s="8" t="inlineStr">
        <is>
          <t>일일 낚시 30분, 정원 수확/파종, 요리 제작, 펫 돌보기, 하우징 꾸미기</t>
        </is>
      </c>
      <c r="G10" s="8" t="inlineStr">
        <is>
          <t>주간 낚시 대회 참가, 정원 희귀 식물 재배, 요리 대회 입상, 하우징 방문자 50명</t>
        </is>
      </c>
    </row>
    <row r="11">
      <c r="A11" s="9" t="inlineStr">
        <is>
          <t>하드코어</t>
        </is>
      </c>
      <c r="B11" s="9" t="inlineStr">
        <is>
          <t>심연100층/차원정복/서버1위 등 극한 도전. 최고를 향한 집념</t>
        </is>
      </c>
      <c r="C11" s="9" t="inlineStr">
        <is>
          <t>심연의탑 100층, 차원 정복, 서버 퍼스트, 극한 레이드, 초월 풀강</t>
        </is>
      </c>
      <c r="D11" s="9" t="inlineStr">
        <is>
          <t>바하무트(최강 딜), 전쟁의신(역전), 태초의존재(최종 병기), 검성(보스킬)</t>
        </is>
      </c>
      <c r="E11" s="9" t="inlineStr">
        <is>
          <t>심연 100층 클리어, 차원 정복 올클리어, 서버 퍼스트 다수 보유, 전 용병 초월</t>
        </is>
      </c>
      <c r="F11" s="9" t="inlineStr">
        <is>
          <t>최적 파밍 루트 풀타임 가동, 레이드 연습, 스탯 최적화 연구, 초월 소재 파밍</t>
        </is>
      </c>
      <c r="G11" s="9" t="inlineStr">
        <is>
          <t>주간 심연 최고층 갱신, 차원 정복 진행, 레이드 세계 기록 도전, 초월 1회 이상</t>
        </is>
      </c>
    </row>
  </sheetData>
  <mergeCells count="1">
    <mergeCell ref="A1:G1"/>
  </mergeCell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5" customWidth="1" min="1" max="1"/>
    <col width="20" customWidth="1" min="2" max="2"/>
    <col width="40" customWidth="1" min="3" max="3"/>
    <col width="35" customWidth="1" min="4" max="4"/>
    <col width="35" customWidth="1" min="5" max="5"/>
    <col width="12" customWidth="1" min="6" max="6"/>
  </cols>
  <sheetData>
    <row r="1">
      <c r="A1" s="6" t="inlineStr">
        <is>
          <t>이스터에그 &amp; 숨겨진 요소 20종 — 발견의 즐거움</t>
        </is>
      </c>
    </row>
    <row r="3">
      <c r="A3" s="7" t="inlineStr">
        <is>
          <t>#</t>
        </is>
      </c>
      <c r="B3" s="7" t="inlineStr">
        <is>
          <t>이름</t>
        </is>
      </c>
      <c r="C3" s="7" t="inlineStr">
        <is>
          <t>발견 방법</t>
        </is>
      </c>
      <c r="D3" s="7" t="inlineStr">
        <is>
          <t>보상</t>
        </is>
      </c>
      <c r="E3" s="7" t="inlineStr">
        <is>
          <t>힌트 위치</t>
        </is>
      </c>
      <c r="F3" s="7" t="inlineStr">
        <is>
          <t>발견율 예상</t>
        </is>
      </c>
    </row>
    <row r="4">
      <c r="A4" s="8" t="inlineStr">
        <is>
          <t>1</t>
        </is>
      </c>
      <c r="B4" s="8" t="inlineStr">
        <is>
          <t>유령 병사의 유언</t>
        </is>
      </c>
      <c r="C4" s="8" t="inlineStr">
        <is>
          <t>밤 시간대(00:00~04:00)에 폐허 성벽 앞에서 횃불을 끄고 30초 대기</t>
        </is>
      </c>
      <c r="D4" s="8" t="inlineStr">
        <is>
          <t>칭호 "영혼의 청자" + 유령 병사 전용 스킨</t>
        </is>
      </c>
      <c r="E4" s="8" t="inlineStr">
        <is>
          <t>폐허 성벽 근처 비석에 "어둠 속에서 기다리는 자에게 진실이 속삭인다" 문구</t>
        </is>
      </c>
      <c r="F4" s="8" t="inlineStr">
        <is>
          <t>5%</t>
        </is>
      </c>
    </row>
    <row r="5">
      <c r="A5" s="9" t="inlineStr">
        <is>
          <t>2</t>
        </is>
      </c>
      <c r="B5" s="9" t="inlineStr">
        <is>
          <t>고양이 상인의 비밀 거래</t>
        </is>
      </c>
      <c r="C5" s="9" t="inlineStr">
        <is>
          <t>전설 물고기 "황금잉어"를 인벤토리에 소지한 채 마을 뒷골목 고양이 NPC에게 말걸기</t>
        </is>
      </c>
      <c r="D5" s="9" t="inlineStr">
        <is>
          <t>고양이 귀 장식 + 은밀한 상점 해금(희귀 소모품 판매)</t>
        </is>
      </c>
      <c r="E5" s="9" t="inlineStr">
        <is>
          <t>마을 술집 NPC가 "골목 고양이가 생선 냄새를 좋아한다더라" 대사</t>
        </is>
      </c>
      <c r="F5" s="9" t="inlineStr">
        <is>
          <t>8%</t>
        </is>
      </c>
    </row>
    <row r="6">
      <c r="A6" s="8" t="inlineStr">
        <is>
          <t>3</t>
        </is>
      </c>
      <c r="B6" s="8" t="inlineStr">
        <is>
          <t>대장장이의 첫사랑</t>
        </is>
      </c>
      <c r="C6" s="8" t="inlineStr">
        <is>
          <t>장미꽃 아이템을 대장장이 NPC에게 전달</t>
        </is>
      </c>
      <c r="D6" s="8" t="inlineStr">
        <is>
          <t>무기 강화 확률 +5% 영구 버프 + "매칭메이커" 칭호</t>
        </is>
      </c>
      <c r="E6" s="8" t="inlineStr">
        <is>
          <t>대장장이 옆 액자에 흐릿한 여인 초상화가 걸려 있음</t>
        </is>
      </c>
      <c r="F6" s="8" t="inlineStr">
        <is>
          <t>12%</t>
        </is>
      </c>
    </row>
    <row r="7">
      <c r="A7" s="9" t="inlineStr">
        <is>
          <t>4</t>
        </is>
      </c>
      <c r="B7" s="9" t="inlineStr">
        <is>
          <t>도서관 사서의 금서</t>
        </is>
      </c>
      <c r="C7" s="9" t="inlineStr">
        <is>
          <t>도서관에서 책장을 특정 순서(3-1-4-1-5)로 클릭</t>
        </is>
      </c>
      <c r="D7" s="9" t="inlineStr">
        <is>
          <t>숨겨진 로어북 "세계의 진실" 해금 + 경험치 대량 획득</t>
        </is>
      </c>
      <c r="E7" s="9" t="inlineStr">
        <is>
          <t>도서관 바닥에 원주율(π) 숫자가 새겨져 있음</t>
        </is>
      </c>
      <c r="F7" s="9" t="inlineStr">
        <is>
          <t>3%</t>
        </is>
      </c>
    </row>
    <row r="8">
      <c r="A8" s="8" t="inlineStr">
        <is>
          <t>5</t>
        </is>
      </c>
      <c r="B8" s="8" t="inlineStr">
        <is>
          <t>묘지기의 마지막 부탁</t>
        </is>
      </c>
      <c r="C8" s="8" t="inlineStr">
        <is>
          <t>비 오는 날 묘지에서 묘지기 NPC에게 꽃 3종류 전달</t>
        </is>
      </c>
      <c r="D8" s="8" t="inlineStr">
        <is>
          <t>유령 펫 "떠도는 혼불" 획득 + "묘지의 친구" 칭호</t>
        </is>
      </c>
      <c r="E8" s="8" t="inlineStr">
        <is>
          <t>묘지 입구 안내판에 "세 송이 꽃이면 충분하다" 문구</t>
        </is>
      </c>
      <c r="F8" s="8" t="inlineStr">
        <is>
          <t>7%</t>
        </is>
      </c>
    </row>
    <row r="9">
      <c r="A9" s="9" t="inlineStr">
        <is>
          <t>6</t>
        </is>
      </c>
      <c r="B9" s="9" t="inlineStr">
        <is>
          <t>레트로 미니게임</t>
        </is>
      </c>
      <c r="C9" s="9" t="inlineStr">
        <is>
          <t>타이틀 화면에서 ↑↑↓↓←→←→BA 입력</t>
        </is>
      </c>
      <c r="D9" s="9" t="inlineStr">
        <is>
          <t>8비트 슈팅 미니게임 해금 + "올드 게이머" 칭호</t>
        </is>
      </c>
      <c r="E9" s="9" t="inlineStr">
        <is>
          <t>타이틀 화면 구석에 작은 게임패드 아이콘이 깜빡임</t>
        </is>
      </c>
      <c r="F9" s="9" t="inlineStr">
        <is>
          <t>15%</t>
        </is>
      </c>
    </row>
    <row r="10">
      <c r="A10" s="8" t="inlineStr">
        <is>
          <t>7</t>
        </is>
      </c>
      <c r="B10" s="8" t="inlineStr">
        <is>
          <t>개발자 인사말</t>
        </is>
      </c>
      <c r="C10" s="8" t="inlineStr">
        <is>
          <t>채팅창에 /hello_world 입력</t>
        </is>
      </c>
      <c r="D10" s="8" t="inlineStr">
        <is>
          <t>개발자 서명 이모티콘 세트 + 100 다이아</t>
        </is>
      </c>
      <c r="E10" s="8" t="inlineStr">
        <is>
          <t>패치노트 마지막 줄에 "세계에 인사를 건네보세요" 문구</t>
        </is>
      </c>
      <c r="F10" s="8" t="inlineStr">
        <is>
          <t>10%</t>
        </is>
      </c>
    </row>
    <row r="11">
      <c r="A11" s="9" t="inlineStr">
        <is>
          <t>8</t>
        </is>
      </c>
      <c r="B11" s="9" t="inlineStr">
        <is>
          <t>DJ 모드</t>
        </is>
      </c>
      <c r="C11" s="9" t="inlineStr">
        <is>
          <t>마을 광장에서 WASD 키를 리듬게임처럼 특정 패턴으로 입력</t>
        </is>
      </c>
      <c r="D11" s="9" t="inlineStr">
        <is>
          <t>BGM 변경 기능 해금 + "비트마스터" 칭호</t>
        </is>
      </c>
      <c r="E11" s="9" t="inlineStr">
        <is>
          <t>마을 광장 분수대 옆 음유시인이 "리듬을 아는 자만이 음악을 바꿀 수 있지" 대사</t>
        </is>
      </c>
      <c r="F11" s="9" t="inlineStr">
        <is>
          <t>6%</t>
        </is>
      </c>
    </row>
    <row r="12">
      <c r="A12" s="8" t="inlineStr">
        <is>
          <t>9</t>
        </is>
      </c>
      <c r="B12" s="8" t="inlineStr">
        <is>
          <t>달빛 포탈</t>
        </is>
      </c>
      <c r="C12" s="8" t="inlineStr">
        <is>
          <t>보름달 밤(게임 내 30일 주기) 호수 한가운데에 포탈 출현</t>
        </is>
      </c>
      <c r="D12" s="8" t="inlineStr">
        <is>
          <t>숨겨진 던전 "달의 신전" 입장 + 월광석 채집 가능</t>
        </is>
      </c>
      <c r="E12" s="8" t="inlineStr">
        <is>
          <t>호수 근처 NPC 어부가 "보름달이 뜨면 호수가 이상해진다" 대사</t>
        </is>
      </c>
      <c r="F12" s="8" t="inlineStr">
        <is>
          <t>4%</t>
        </is>
      </c>
    </row>
    <row r="13">
      <c r="A13" s="9" t="inlineStr">
        <is>
          <t>10</t>
        </is>
      </c>
      <c r="B13" s="9" t="inlineStr">
        <is>
          <t>벽 뒤 비밀의 방</t>
        </is>
      </c>
      <c r="C13" s="9" t="inlineStr">
        <is>
          <t>폐광 3층에서 금이 간 벽을 폭탄으로 파괴</t>
        </is>
      </c>
      <c r="D13" s="9" t="inlineStr">
        <is>
          <t>전설 제작 재료 "고대의 주괴" 5개 + "탐험의 선구자" 칭호</t>
        </is>
      </c>
      <c r="E13" s="9" t="inlineStr">
        <is>
          <t>폐광 입구 광부 유령이 "3층에서 바람이 분다... 벽 너머에서..." 대사</t>
        </is>
      </c>
      <c r="F13" s="9" t="inlineStr">
        <is>
          <t>6%</t>
        </is>
      </c>
    </row>
    <row r="14">
      <c r="A14" s="8" t="inlineStr">
        <is>
          <t>11</t>
        </is>
      </c>
      <c r="B14" s="8" t="inlineStr">
        <is>
          <t>거꾸로 폭포</t>
        </is>
      </c>
      <c r="C14" s="8" t="inlineStr">
        <is>
          <t>폭포 뒤에서 점프를 7번 연속 실행</t>
        </is>
      </c>
      <c r="D14" s="8" t="inlineStr">
        <is>
          <t>중력 반전 맵 "하늘 섬" 이동 + 비행 마운트 임시 체험</t>
        </is>
      </c>
      <c r="E14" s="8" t="inlineStr">
        <is>
          <t>폭포 근처 각인된 돌에 "일곱 번 뛰어올라 하늘에 닿으라" 문구</t>
        </is>
      </c>
      <c r="F14" s="8" t="inlineStr">
        <is>
          <t>5%</t>
        </is>
      </c>
    </row>
    <row r="15">
      <c r="A15" s="9" t="inlineStr">
        <is>
          <t>12</t>
        </is>
      </c>
      <c r="B15" s="9" t="inlineStr">
        <is>
          <t>잠들지 않는 시계탑</t>
        </is>
      </c>
      <c r="C15" s="9" t="inlineStr">
        <is>
          <t>마을 시계탑이 13시를 가리킬 때(실제 1시 정각) 시계탑 내부 진입</t>
        </is>
      </c>
      <c r="D15" s="9" t="inlineStr">
        <is>
          <t>시간 상인 NPC 출현 → 과거 이벤트 아이템 구매 가능</t>
        </is>
      </c>
      <c r="E15" s="9" t="inlineStr">
        <is>
          <t>시계탑 아래 노인이 "13번째 종소리를 들어본 적 있나?" 대사</t>
        </is>
      </c>
      <c r="F15" s="9" t="inlineStr">
        <is>
          <t>8%</t>
        </is>
      </c>
    </row>
    <row r="16">
      <c r="A16" s="8" t="inlineStr">
        <is>
          <t>13</t>
        </is>
      </c>
      <c r="B16" s="8" t="inlineStr">
        <is>
          <t>별자리 퍼즐</t>
        </is>
      </c>
      <c r="C16" s="8" t="inlineStr">
        <is>
          <t>사막 지역에서 밤에 별 5개를 특정 순서로 클릭(오리온자리 형태)</t>
        </is>
      </c>
      <c r="D16" s="8" t="inlineStr">
        <is>
          <t>천문학자 칭호 + 별의 파편(초월 재료) 3개</t>
        </is>
      </c>
      <c r="E16" s="8" t="inlineStr">
        <is>
          <t>사막 오아시스 천문학자 NPC가 "사냥꾼의 별을 따라가 보게" 대사</t>
        </is>
      </c>
      <c r="F16" s="8" t="inlineStr">
        <is>
          <t>4%</t>
        </is>
      </c>
    </row>
    <row r="17">
      <c r="A17" s="9" t="inlineStr">
        <is>
          <t>14</t>
        </is>
      </c>
      <c r="B17" s="9" t="inlineStr">
        <is>
          <t>금지된 우정</t>
        </is>
      </c>
      <c r="C17" s="9" t="inlineStr">
        <is>
          <t>드래곤나이트 + 서리여왕을 같은 파티에 편성 후 전투 10회</t>
        </is>
      </c>
      <c r="D17" s="9" t="inlineStr">
        <is>
          <t>합체 스킬 "얼음불꽃의 검" 해금 + 전용 대사 이벤트</t>
        </is>
      </c>
      <c r="E17" s="9" t="inlineStr">
        <is>
          <t>드래곤나이트 프로필에 "얼음을 두려워하지 않는다" 문구</t>
        </is>
      </c>
      <c r="F17" s="9" t="inlineStr">
        <is>
          <t>9%</t>
        </is>
      </c>
    </row>
    <row r="18">
      <c r="A18" s="8" t="inlineStr">
        <is>
          <t>15</t>
        </is>
      </c>
      <c r="B18" s="8" t="inlineStr">
        <is>
          <t>배신의 기억</t>
        </is>
      </c>
      <c r="C18" s="8" t="inlineStr">
        <is>
          <t>그림자군주를 4성 이상 키운 후 심연의탑 13층에서 사용</t>
        </is>
      </c>
      <c r="D18" s="8" t="inlineStr">
        <is>
          <t>숨겨진 스토리 컷신 + 그림자군주 전용 외형 "과거의 영웅"</t>
        </is>
      </c>
      <c r="E18" s="8" t="inlineStr">
        <is>
          <t>그림자군주 도감 설명에 "13이라는 숫자를 증오한다" 기록</t>
        </is>
      </c>
      <c r="F18" s="8" t="inlineStr">
        <is>
          <t>3%</t>
        </is>
      </c>
    </row>
    <row r="19">
      <c r="A19" s="9" t="inlineStr">
        <is>
          <t>16</t>
        </is>
      </c>
      <c r="B19" s="9" t="inlineStr">
        <is>
          <t>쌍둥이의 재회</t>
        </is>
      </c>
      <c r="C19" s="9" t="inlineStr">
        <is>
          <t>세라핌과 죽음의기사를 동시에 초월시키기</t>
        </is>
      </c>
      <c r="D19" s="9" t="inlineStr">
        <is>
          <t>합체 궁극기 "빛과 어둠의 균형" 해금 + 전용 스토리</t>
        </is>
      </c>
      <c r="E19" s="9" t="inlineStr">
        <is>
          <t>두 용병 도감에 각각 "잃어버린 반쪽" 언급</t>
        </is>
      </c>
      <c r="F19" s="9" t="inlineStr">
        <is>
          <t>2%</t>
        </is>
      </c>
    </row>
    <row r="20">
      <c r="A20" s="8" t="inlineStr">
        <is>
          <t>17</t>
        </is>
      </c>
      <c r="B20" s="8" t="inlineStr">
        <is>
          <t>원소의 하모니</t>
        </is>
      </c>
      <c r="C20" s="8" t="inlineStr">
        <is>
          <t>4원소 용병(불/물/바람/땅)을 동시 편성 후 원소의왕과 전투</t>
        </is>
      </c>
      <c r="D20" s="8" t="inlineStr">
        <is>
          <t>원소 공명 패시브 해금(원소 데미지 +15%) + "조화의 수호자" 칭호</t>
        </is>
      </c>
      <c r="E20" s="8" t="inlineStr">
        <is>
          <t>원소의왕 보스 방 입구에 4원소 문양이 새겨져 있음</t>
        </is>
      </c>
      <c r="F20" s="8" t="inlineStr">
        <is>
          <t>7%</t>
        </is>
      </c>
    </row>
    <row r="21">
      <c r="A21" s="9" t="inlineStr">
        <is>
          <t>18</t>
        </is>
      </c>
      <c r="B21" s="9" t="inlineStr">
        <is>
          <t>영웅의 전당</t>
        </is>
      </c>
      <c r="C21" s="9" t="inlineStr">
        <is>
          <t>업적 600개 전부 완료</t>
        </is>
      </c>
      <c r="D21" s="9" t="inlineStr">
        <is>
          <t>개발자 룸 1 입장 → 모든 용병 시험 사용 + 기념 트로피</t>
        </is>
      </c>
      <c r="E21" s="9" t="inlineStr">
        <is>
          <t>업적 창 마지막 칸이 "???" 으로 표시됨</t>
        </is>
      </c>
      <c r="F21" s="9" t="inlineStr">
        <is>
          <t>0.1%</t>
        </is>
      </c>
    </row>
    <row r="22">
      <c r="A22" s="8" t="inlineStr">
        <is>
          <t>19</t>
        </is>
      </c>
      <c r="B22" s="8" t="inlineStr">
        <is>
          <t>수집가의 꿈</t>
        </is>
      </c>
      <c r="C22" s="8" t="inlineStr">
        <is>
          <t>전체 용병 100% 수집 완료</t>
        </is>
      </c>
      <c r="D22" s="8" t="inlineStr">
        <is>
          <t>개발자 룸 2 입장 → 용병 디자인 원화 갤러리 + 전용 아바타</t>
        </is>
      </c>
      <c r="E22" s="8" t="inlineStr">
        <is>
          <t>도감 완성률 99%에서 "아직 하나 남았다" 팝업</t>
        </is>
      </c>
      <c r="F22" s="8" t="inlineStr">
        <is>
          <t>0.5%</t>
        </is>
      </c>
    </row>
    <row r="23">
      <c r="A23" s="9" t="inlineStr">
        <is>
          <t>20</t>
        </is>
      </c>
      <c r="B23" s="9" t="inlineStr">
        <is>
          <t>칭호 황제</t>
        </is>
      </c>
      <c r="C23" s="9" t="inlineStr">
        <is>
          <t>모든 칭호(숨겨진 칭호 포함) 획득</t>
        </is>
      </c>
      <c r="D23" s="9" t="inlineStr">
        <is>
          <t>개발자 룸 3 입장 → 개발자 메시지 + 전설 무기 "개발자의 붓" 획득</t>
        </is>
      </c>
      <c r="E23" s="9" t="inlineStr">
        <is>
          <t>칭호 목록 최하단에 자물쇠 아이콘 + "모든 이름을 가진 자" 힌트</t>
        </is>
      </c>
      <c r="F23" s="9" t="inlineStr">
        <is>
          <t>0.3%</t>
        </is>
      </c>
    </row>
  </sheetData>
  <mergeCells count="1">
    <mergeCell ref="A1:F1"/>
  </mergeCell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2" customWidth="1" min="1" max="1"/>
    <col width="45" customWidth="1" min="2" max="2"/>
    <col width="30" customWidth="1" min="3" max="3"/>
    <col width="25" customWidth="1" min="4" max="4"/>
    <col width="60" customWidth="1" min="5" max="5"/>
  </cols>
  <sheetData>
    <row r="1">
      <c r="A1" s="6" t="inlineStr">
        <is>
          <t>공성전 실시간 중계 시스템 — NPC 해설 + 관전 + 하이라이트</t>
        </is>
      </c>
    </row>
    <row r="3">
      <c r="A3" s="7" t="inlineStr">
        <is>
          <t>기능</t>
        </is>
      </c>
      <c r="B3" s="7" t="inlineStr">
        <is>
          <t>상세</t>
        </is>
      </c>
      <c r="C3" s="7" t="inlineStr">
        <is>
          <t>UI 위치</t>
        </is>
      </c>
      <c r="D3" s="7" t="inlineStr">
        <is>
          <t>트리거</t>
        </is>
      </c>
      <c r="E3" s="7" t="inlineStr">
        <is>
          <t>대사 예시</t>
        </is>
      </c>
    </row>
    <row r="4">
      <c r="A4" s="8" t="inlineStr">
        <is>
          <t>NPC 해설자 — 전투 개시</t>
        </is>
      </c>
      <c r="B4" s="8" t="inlineStr">
        <is>
          <t>공성전 시작 시 NPC 해설자가 양 팀 소개 및 전력 분석을 실시간 멘트</t>
        </is>
      </c>
      <c r="C4" s="8" t="inlineStr">
        <is>
          <t>화면 상단 중앙 해설 자막 바</t>
        </is>
      </c>
      <c r="D4" s="8" t="inlineStr">
        <is>
          <t>공성전 카운트다운 종료 시</t>
        </is>
      </c>
      <c r="E4" s="8" t="inlineStr">
        <is>
          <t>🎙️ "양측 혈맹이 전장에 입장합니다! 공격측 '붉은 사자단' 전력 42만! 수비측 '철벽의 방패' 전력 39만! 오늘 성의 주인이 바뀔 것인가!!"</t>
        </is>
      </c>
    </row>
    <row r="5">
      <c r="A5" s="9" t="inlineStr">
        <is>
          <t>NPC 해설자 — 킬 발생</t>
        </is>
      </c>
      <c r="B5" s="9" t="inlineStr">
        <is>
          <t>플레이어 처치 시 해설자가 킬 상황을 드라마틱하게 묘사</t>
        </is>
      </c>
      <c r="C5" s="9" t="inlineStr">
        <is>
          <t>화면 상단 중앙 해설 자막 바</t>
        </is>
      </c>
      <c r="D5" s="9" t="inlineStr">
        <is>
          <t>플레이어 처치 이벤트 발생 시</t>
        </is>
      </c>
      <c r="E5" s="9" t="inlineStr">
        <is>
          <t>🎙️ "아아! '검은바람' 선수가 '달빛기사'를 한 칼에 베어냈습니다! 이것이 서버 랭킹 1위의 실력인가!"</t>
        </is>
      </c>
    </row>
    <row r="6">
      <c r="A6" s="8" t="inlineStr">
        <is>
          <t>NPC 해설자 — 함정 발동</t>
        </is>
      </c>
      <c r="B6" s="8" t="inlineStr">
        <is>
          <t>함정이 발동되어 다수 피해 발생 시 해설. 연쇄 함정일 경우 흥분도 상승</t>
        </is>
      </c>
      <c r="C6" s="8" t="inlineStr">
        <is>
          <t>화면 상단 중앙 해설 자막 바</t>
        </is>
      </c>
      <c r="D6" s="8" t="inlineStr">
        <is>
          <t>함정 피해 3명 이상 동시 발생</t>
        </is>
      </c>
      <c r="E6" s="8" t="inlineStr">
        <is>
          <t>🎙️ "함정이다!! 공격대 5명이 한꺼번에 걸렸습니다! 이건 수비측이 준비한 지옥의 통로! 연쇄 폭발!! 추가 3명 피해! 이건 학살입니다!!"</t>
        </is>
      </c>
    </row>
    <row r="7">
      <c r="A7" s="9" t="inlineStr">
        <is>
          <t>NPC 해설자 — 위기 상황</t>
        </is>
      </c>
      <c r="B7" s="9" t="inlineStr">
        <is>
          <t>한쪽 혈맹 왕좌 HP가 30% 이하로 떨어졌을 때 위기 해설</t>
        </is>
      </c>
      <c r="C7" s="9" t="inlineStr">
        <is>
          <t>화면 상단 중앙 해설 자막 바 (붉은 점멸)</t>
        </is>
      </c>
      <c r="D7" s="9" t="inlineStr">
        <is>
          <t>왕좌 HP 30% 이하</t>
        </is>
      </c>
      <c r="E7" s="9" t="inlineStr">
        <is>
          <t>🎙️ "위험합니다!! 수비측 왕좌 HP가 28%!! 이대로라면 5분 안에 함락! 수비대 긴급 복귀 중이지만 과연 막을 수 있을 것인가!!"</t>
        </is>
      </c>
    </row>
    <row r="8">
      <c r="A8" s="8" t="inlineStr">
        <is>
          <t>NPC 해설자 — 역전</t>
        </is>
      </c>
      <c r="B8" s="8" t="inlineStr">
        <is>
          <t>왕좌 HP 20% 이하에서 수비 성공 또는 공격 저지 시 역전 해설</t>
        </is>
      </c>
      <c r="C8" s="8" t="inlineStr">
        <is>
          <t>화면 상단 중앙 해설 자막 바 (황금 점멸)</t>
        </is>
      </c>
      <c r="D8" s="8" t="inlineStr">
        <is>
          <t>왕좌 HP 20% 이하 → 공격대 전멸</t>
        </is>
      </c>
      <c r="E8" s="8" t="inlineStr">
        <is>
          <t>🎙️ "역전이다!! 기적의 역전!! HP 12%에서 수비대가 공격대를 전멸시켰습니다!! 관전석이 폭발하고 있습니다!! 이건 전설로 남을 수비입니다!!"</t>
        </is>
      </c>
    </row>
    <row r="9">
      <c r="A9" s="9" t="inlineStr">
        <is>
          <t>관전자 미니맵</t>
        </is>
      </c>
      <c r="B9" s="9" t="inlineStr">
        <is>
          <t>전장 전체를 조감도로 표시. 아군/적군 점 색상 구분, 왕좌 위치 강조, 함정 위치 표시(수비측만)</t>
        </is>
      </c>
      <c r="C9" s="9" t="inlineStr">
        <is>
          <t>화면 우측 하단 200x200 미니맵</t>
        </is>
      </c>
      <c r="D9" s="9" t="inlineStr">
        <is>
          <t>관전 모드 진입 시 상시 표시</t>
        </is>
      </c>
      <c r="E9" s="9" t="inlineStr">
        <is>
          <t>—</t>
        </is>
      </c>
    </row>
    <row r="10">
      <c r="A10" s="8" t="inlineStr">
        <is>
          <t>양측 HP 바</t>
        </is>
      </c>
      <c r="B10" s="8" t="inlineStr">
        <is>
          <t>공격측/수비측 왕좌 HP를 좌우 대칭으로 표시. 피해 시 실시간 감소 애니메이션</t>
        </is>
      </c>
      <c r="C10" s="8" t="inlineStr">
        <is>
          <t>화면 최상단 좌우 대칭 게이지 바</t>
        </is>
      </c>
      <c r="D10" s="8" t="inlineStr">
        <is>
          <t>공성전 진행 중 상시 표시</t>
        </is>
      </c>
      <c r="E10" s="8" t="inlineStr">
        <is>
          <t>—</t>
        </is>
      </c>
    </row>
    <row r="11">
      <c r="A11" s="9" t="inlineStr">
        <is>
          <t>킬 로그</t>
        </is>
      </c>
      <c r="B11" s="9" t="inlineStr">
        <is>
          <t>최근 10건의 킬/어시스트를 시간순 표시. 궁극기 킬은 황금 테두리</t>
        </is>
      </c>
      <c r="C11" s="9" t="inlineStr">
        <is>
          <t>화면 우측 상단 킬 피드</t>
        </is>
      </c>
      <c r="D11" s="9" t="inlineStr">
        <is>
          <t>처치/어시스트 발생 시</t>
        </is>
      </c>
      <c r="E11" s="9" t="inlineStr">
        <is>
          <t>—</t>
        </is>
      </c>
    </row>
    <row r="12">
      <c r="A12" s="8" t="inlineStr">
        <is>
          <t>응원 버튼</t>
        </is>
      </c>
      <c r="B12" s="8" t="inlineStr">
        <is>
          <t>관전자가 양 팀 중 하나를 선택해 응원. 응원 수에 따라 화면 효과 강화</t>
        </is>
      </c>
      <c r="C12" s="8" t="inlineStr">
        <is>
          <t>화면 하단 중앙 "공격 응원🔥" / "수비 응원🛡️" 버튼</t>
        </is>
      </c>
      <c r="D12" s="8" t="inlineStr">
        <is>
          <t>관전자 클릭 시 즉시 반영</t>
        </is>
      </c>
      <c r="E12" s="8" t="inlineStr">
        <is>
          <t>—</t>
        </is>
      </c>
    </row>
    <row r="13">
      <c r="A13" s="9" t="inlineStr">
        <is>
          <t>응원 보상 시스템</t>
        </is>
      </c>
      <c r="B13" s="9" t="inlineStr">
        <is>
          <t>승리팀을 응원한 관전자에게도 공성전 보상의 10% 지급</t>
        </is>
      </c>
      <c r="C13" s="9" t="inlineStr">
        <is>
          <t>전투 종료 후 결과 팝업에서 보상 표시</t>
        </is>
      </c>
      <c r="D13" s="9" t="inlineStr">
        <is>
          <t>공성전 종료 시 승리팀 판정</t>
        </is>
      </c>
      <c r="E13" s="9" t="inlineStr">
        <is>
          <t>—</t>
        </is>
      </c>
    </row>
    <row r="14">
      <c r="A14" s="8" t="inlineStr">
        <is>
          <t>하이라이트 — 역전킬</t>
        </is>
      </c>
      <c r="B14" s="8" t="inlineStr">
        <is>
          <t>HP 10% 이하 상태에서 적 처치 시 자동 하이라이트 저장</t>
        </is>
      </c>
      <c r="C14" s="8" t="inlineStr">
        <is>
          <t>전투 종료 후 "명장면 모음" 탭에서 재생</t>
        </is>
      </c>
      <c r="D14" s="8" t="inlineStr">
        <is>
          <t>HP 10% 이하 처치 이벤트</t>
        </is>
      </c>
      <c r="E14" s="8" t="inlineStr">
        <is>
          <t>🎙️ "믿을 수 없습니다!! HP 3%에서 역전 처치!! 이 장면은 반드시 명장면 컬렉션에 등록될 것입니다!!"</t>
        </is>
      </c>
    </row>
    <row r="15">
      <c r="A15" s="9" t="inlineStr">
        <is>
          <t>하이라이트 — 함정 연쇄</t>
        </is>
      </c>
      <c r="B15" s="9" t="inlineStr">
        <is>
          <t>함정 연쇄 3회 이상 발동 시 자동 슬로우모션 리플레이 저장</t>
        </is>
      </c>
      <c r="C15" s="9" t="inlineStr">
        <is>
          <t>전투 종료 후 "명장면 모음" 탭에서 재생</t>
        </is>
      </c>
      <c r="D15" s="9" t="inlineStr">
        <is>
          <t>함정 연쇄 3회 이상</t>
        </is>
      </c>
      <c r="E15" s="9" t="inlineStr">
        <is>
          <t>🎙️ "연쇄다! 1연쇄! 2연쇄! 3연쇄!! 공격대가 도미노처럼 쓰러집니다!! 이 함정 설계자는 천재인가 악마인가!!"</t>
        </is>
      </c>
    </row>
    <row r="16">
      <c r="A16" s="8" t="inlineStr">
        <is>
          <t>하이라이트 — 왕좌 직전 사망</t>
        </is>
      </c>
      <c r="B16" s="8" t="inlineStr">
        <is>
          <t>왕좌 앞 3칸 이내에서 공격자가 사망 시 극적 장면으로 저장</t>
        </is>
      </c>
      <c r="C16" s="8" t="inlineStr">
        <is>
          <t>전투 종료 후 "명장면 모음" 탭에서 재생</t>
        </is>
      </c>
      <c r="D16" s="8" t="inlineStr">
        <is>
          <t>왕좌 반경 3칸 내 공격자 사망</t>
        </is>
      </c>
      <c r="E16" s="8" t="inlineStr">
        <is>
          <t>🎙️ "아아!! 왕좌 바로 앞에서!! 손만 뻗으면 닿을 거리에서 쓰러졌습니다!! 이 한 걸음의 차이가 승패를 갈랐습니다!!"</t>
        </is>
      </c>
    </row>
    <row r="17">
      <c r="A17" s="9" t="inlineStr">
        <is>
          <t>토너먼트 대진표</t>
        </is>
      </c>
      <c r="B17" s="9" t="inlineStr">
        <is>
          <t>8강/4강/결승 대진표를 실시간 업데이트. 승리 팀 하이라이트, 다음 경기 예고</t>
        </is>
      </c>
      <c r="C17" s="9" t="inlineStr">
        <is>
          <t>화면 좌측 전체 토너먼트 브래킷</t>
        </is>
      </c>
      <c r="D17" s="9" t="inlineStr">
        <is>
          <t>토너먼트 모드 시 상시 표시</t>
        </is>
      </c>
      <c r="E17" s="9" t="inlineStr">
        <is>
          <t>—</t>
        </is>
      </c>
    </row>
    <row r="18">
      <c r="A18" s="8" t="inlineStr">
        <is>
          <t>MVP 선정 시스템</t>
        </is>
      </c>
      <c r="B18" s="8" t="inlineStr">
        <is>
          <t>공성전 종료 후 킬/어시스트/함정 기여도/왕좌 데미지 기반 MVP 자동 선정 + 전용 연출</t>
        </is>
      </c>
      <c r="C18" s="8" t="inlineStr">
        <is>
          <t>전투 종료 후 MVP 발표 전체화면 연출</t>
        </is>
      </c>
      <c r="D18" s="8" t="inlineStr">
        <is>
          <t>공성전 종료 시</t>
        </is>
      </c>
      <c r="E18" s="8" t="inlineStr">
        <is>
          <t>🎙️ "오늘의 MVP는!! 7킬 3어시스트에 결정적 역전킬까지!! '검은바람' 선수입니다!! 전장의 지배자!! 축하드립니다!!"</t>
        </is>
      </c>
    </row>
  </sheetData>
  <mergeCells count="1">
    <mergeCell ref="A1:E1"/>
  </mergeCell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4" customWidth="1" min="1" max="1"/>
    <col width="16" customWidth="1" min="2" max="2"/>
    <col width="14" customWidth="1" min="3" max="3"/>
    <col width="45" customWidth="1" min="4" max="4"/>
    <col width="35" customWidth="1" min="5" max="5"/>
    <col width="30" customWidth="1" min="6" max="6"/>
  </cols>
  <sheetData>
    <row r="1">
      <c r="A1" s="6" t="inlineStr">
        <is>
          <t>용병 관계도 &amp; 세력도 25종 — 우호/적대/특수/숨겨진 관계</t>
        </is>
      </c>
    </row>
    <row r="3">
      <c r="A3" s="7" t="inlineStr">
        <is>
          <t>용병 A</t>
        </is>
      </c>
      <c r="B3" s="7" t="inlineStr">
        <is>
          <t>관계</t>
        </is>
      </c>
      <c r="C3" s="7" t="inlineStr">
        <is>
          <t>용병 B</t>
        </is>
      </c>
      <c r="D3" s="7" t="inlineStr">
        <is>
          <t>스토리 배경</t>
        </is>
      </c>
      <c r="E3" s="7" t="inlineStr">
        <is>
          <t>게임 내 효과</t>
        </is>
      </c>
      <c r="F3" s="7" t="inlineStr">
        <is>
          <t>발견 방법</t>
        </is>
      </c>
    </row>
    <row r="4">
      <c r="A4" s="8" t="inlineStr">
        <is>
          <t>검성</t>
        </is>
      </c>
      <c r="B4" s="8" t="inlineStr">
        <is>
          <t>스승 → 제자</t>
        </is>
      </c>
      <c r="C4" s="8" t="inlineStr">
        <is>
          <t>드래곤나이트</t>
        </is>
      </c>
      <c r="D4" s="8" t="inlineStr">
        <is>
          <t>검성이 은퇴 전 마지막으로 가르친 제자가 드래곤나이트. 검성의 비기 "천공참"은 드래곤나이트의 "용의 일격"의 원형이다.</t>
        </is>
      </c>
      <c r="E4" s="8" t="inlineStr">
        <is>
          <t>동시 편성 시 검성 공격력 +10%, 드래곤나이트 스킬 쿨다운 -15%</t>
        </is>
      </c>
      <c r="F4" s="8" t="inlineStr">
        <is>
          <t>두 용병을 같은 파티에 5회 편성</t>
        </is>
      </c>
    </row>
    <row r="5">
      <c r="A5" s="9" t="inlineStr">
        <is>
          <t>수호천사</t>
        </is>
      </c>
      <c r="B5" s="9" t="inlineStr">
        <is>
          <t>맹세한 동료</t>
        </is>
      </c>
      <c r="C5" s="9" t="inlineStr">
        <is>
          <t>세라핌</t>
        </is>
      </c>
      <c r="D5" s="9" t="inlineStr">
        <is>
          <t>천상계에서 함께 수련한 전우. 타락 전의 세라핌을 기억하는 유일한 존재로, 서로를 "빛의 자매"라 부른다.</t>
        </is>
      </c>
      <c r="E5" s="9" t="inlineStr">
        <is>
          <t>동시 편성 시 힐량 +20%, 부활 시 HP 70%로 증가</t>
        </is>
      </c>
      <c r="F5" s="9" t="inlineStr">
        <is>
          <t>함께 힐 100회 누적 달성</t>
        </is>
      </c>
    </row>
    <row r="6">
      <c r="A6" s="8" t="inlineStr">
        <is>
          <t>대마법사</t>
        </is>
      </c>
      <c r="B6" s="8" t="inlineStr">
        <is>
          <t>형 → 동생</t>
        </is>
      </c>
      <c r="C6" s="8" t="inlineStr">
        <is>
          <t>서리여왕</t>
        </is>
      </c>
      <c r="D6" s="8" t="inlineStr">
        <is>
          <t>대마법사와 서리여왕은 같은 마탑 출신 남매. 서리여왕이 얼음에 각성한 날, 대마법사는 불꽃의 길을 택했다.</t>
        </is>
      </c>
      <c r="E6" s="8" t="inlineStr">
        <is>
          <t>동시 편성 시 마법 데미지 +15%, 원소 저항 +10%</t>
        </is>
      </c>
      <c r="F6" s="8" t="inlineStr">
        <is>
          <t>스토리 모드 3장 클리어</t>
        </is>
      </c>
    </row>
    <row r="7">
      <c r="A7" s="9" t="inlineStr">
        <is>
          <t>세계수정령</t>
        </is>
      </c>
      <c r="B7" s="9" t="inlineStr">
        <is>
          <t>연인</t>
        </is>
      </c>
      <c r="C7" s="9" t="inlineStr">
        <is>
          <t>원소의왕</t>
        </is>
      </c>
      <c r="D7" s="9" t="inlineStr">
        <is>
          <t>세계수정령은 원소의왕이 폭주하기 전의 온화한 모습을 사랑했다. 지금도 그의 내면에 남은 인간성을 믿고 있다.</t>
        </is>
      </c>
      <c r="E7" s="9" t="inlineStr">
        <is>
          <t>동시 편성 시 HP 재생 +25%, 원소 스킬 데미지 +10%</t>
        </is>
      </c>
      <c r="F7" s="9" t="inlineStr">
        <is>
          <t>두 용병으로 보스전 클리어 10회</t>
        </is>
      </c>
    </row>
    <row r="8">
      <c r="A8" s="8" t="inlineStr">
        <is>
          <t>바하무트</t>
        </is>
      </c>
      <c r="B8" s="8" t="inlineStr">
        <is>
          <t>주인 ← 종</t>
        </is>
      </c>
      <c r="C8" s="8" t="inlineStr">
        <is>
          <t>드래곤나이트</t>
        </is>
      </c>
      <c r="D8" s="8" t="inlineStr">
        <is>
          <t>드래곤나이트가 어린 시절 구해준 상처 입은 아기 용이 바하무트의 전생. 용이 인간에게 빚진 유일한 사례.</t>
        </is>
      </c>
      <c r="E8" s="8" t="inlineStr">
        <is>
          <t>동시 편성 시 바하무트 궁극기 쿨타임 -20%, 드래곤나이트 HP +15%</t>
        </is>
      </c>
      <c r="F8" s="8" t="inlineStr">
        <is>
          <t>바하무트 호감도 100 달성</t>
        </is>
      </c>
    </row>
    <row r="9">
      <c r="A9" s="9" t="inlineStr">
        <is>
          <t>전쟁의신</t>
        </is>
      </c>
      <c r="B9" s="9" t="inlineStr">
        <is>
          <t>전우</t>
        </is>
      </c>
      <c r="C9" s="9" t="inlineStr">
        <is>
          <t>죽음의기사</t>
        </is>
      </c>
      <c r="D9" s="9" t="inlineStr">
        <is>
          <t>신들의 전쟁에서 등을 맞대고 싸운 전우. 죽음의기사는 그 전쟁에서 죽었으나 전쟁의신이 되살렸다.</t>
        </is>
      </c>
      <c r="E9" s="9" t="inlineStr">
        <is>
          <t>동시 편성 시 전투 시작 30초간 공격력 +25%</t>
        </is>
      </c>
      <c r="F9" s="9" t="inlineStr">
        <is>
          <t>공성전에서 두 용병으로 10킬 달성</t>
        </is>
      </c>
    </row>
    <row r="10">
      <c r="A10" s="8" t="inlineStr">
        <is>
          <t>시간마법사</t>
        </is>
      </c>
      <c r="B10" s="8" t="inlineStr">
        <is>
          <t>연구 동료</t>
        </is>
      </c>
      <c r="C10" s="8" t="inlineStr">
        <is>
          <t>대마법사</t>
        </is>
      </c>
      <c r="D10" s="8" t="inlineStr">
        <is>
          <t>마탑의 동기. 시간마법사가 시간 역행 연구에 빠졌을 때, 대마법사만이 그를 말렸으나 결국 실패했다.</t>
        </is>
      </c>
      <c r="E10" s="8" t="inlineStr">
        <is>
          <t>동시 편성 시 스킬 쿨다운 -10%, 마나 소모 -10%</t>
        </is>
      </c>
      <c r="F10" s="8" t="inlineStr">
        <is>
          <t>마탑 던전 함께 클리어</t>
        </is>
      </c>
    </row>
    <row r="11">
      <c r="A11" s="9" t="inlineStr">
        <is>
          <t>수호천사</t>
        </is>
      </c>
      <c r="B11" s="9" t="inlineStr">
        <is>
          <t>보호자 → 피보호자</t>
        </is>
      </c>
      <c r="C11" s="9" t="inlineStr">
        <is>
          <t>시간마법사</t>
        </is>
      </c>
      <c r="D11" s="9" t="inlineStr">
        <is>
          <t>시간마법사가 과거로 갔을 때 만난 어린 수호천사를 지켜준 인연. 시간마법사만이 수호천사의 과거를 알고 있다.</t>
        </is>
      </c>
      <c r="E11" s="9" t="inlineStr">
        <is>
          <t>동시 편성 시 수호천사 무적 시간 +1초, 시간마법사 시간정지 +0.5초</t>
        </is>
      </c>
      <c r="F11" s="9" t="inlineStr">
        <is>
          <t>히든 퀘스트 "시간의 기억" 클리어</t>
        </is>
      </c>
    </row>
    <row r="12">
      <c r="A12" s="8" t="inlineStr">
        <is>
          <t>검성</t>
        </is>
      </c>
      <c r="B12" s="8" t="inlineStr">
        <is>
          <t>라이벌</t>
        </is>
      </c>
      <c r="C12" s="8" t="inlineStr">
        <is>
          <t>그림자군주</t>
        </is>
      </c>
      <c r="D12" s="8" t="inlineStr">
        <is>
          <t>한때 같은 도장에서 수련한 라이벌. 그림자군주가 어둠의 길을 택하자 검성이 파문시켰다. 둘의 결투는 아직 끝나지 않았다.</t>
        </is>
      </c>
      <c r="E12" s="8" t="inlineStr">
        <is>
          <t>적대 팀에 있으면 서로에게 데미지 +20%, 조우 시 전용 대사</t>
        </is>
      </c>
      <c r="F12" s="8" t="inlineStr">
        <is>
          <t>결투장에서 두 용병을 맞붙이기 3회</t>
        </is>
      </c>
    </row>
    <row r="13">
      <c r="A13" s="9" t="inlineStr">
        <is>
          <t>세라핌</t>
        </is>
      </c>
      <c r="B13" s="9" t="inlineStr">
        <is>
          <t>원수</t>
        </is>
      </c>
      <c r="C13" s="9" t="inlineStr">
        <is>
          <t>죽음의기사</t>
        </is>
      </c>
      <c r="D13" s="9" t="inlineStr">
        <is>
          <t>세라핌의 날개를 꺾은 것이 죽음의기사. 세라핌은 복수를 맹세했지만, 죽음의기사는 그녀를 기억하지 못한다.</t>
        </is>
      </c>
      <c r="E13" s="9" t="inlineStr">
        <is>
          <t>적대 팀에 있으면 세라핌 궁극기 게이지 +30% 빠르게 충전</t>
        </is>
      </c>
      <c r="F13" s="9" t="inlineStr">
        <is>
          <t>세라핌으로 죽음의기사 처치 5회</t>
        </is>
      </c>
    </row>
    <row r="14">
      <c r="A14" s="8" t="inlineStr">
        <is>
          <t>전쟁의신</t>
        </is>
      </c>
      <c r="B14" s="8" t="inlineStr">
        <is>
          <t>숙적</t>
        </is>
      </c>
      <c r="C14" s="8" t="inlineStr">
        <is>
          <t>세계의끝</t>
        </is>
      </c>
      <c r="D14" s="8" t="inlineStr">
        <is>
          <t>전쟁을 원하는 자와 모든 것을 끝내려는 자. 근본적으로 양립할 수 없는 존재. 우주가 시작될 때부터의 숙적.</t>
        </is>
      </c>
      <c r="E14" s="8" t="inlineStr">
        <is>
          <t>적대 팀에 있으면 둘 다 모든 스탯 +15% (숙적 보정)</t>
        </is>
      </c>
      <c r="F14" s="8" t="inlineStr">
        <is>
          <t>두 용병 모두 초월 달성</t>
        </is>
      </c>
    </row>
    <row r="15">
      <c r="A15" s="9" t="inlineStr">
        <is>
          <t>서리여왕</t>
        </is>
      </c>
      <c r="B15" s="9" t="inlineStr">
        <is>
          <t>배신자 → 피배신자</t>
        </is>
      </c>
      <c r="C15" s="9" t="inlineStr">
        <is>
          <t>그림자군주</t>
        </is>
      </c>
      <c r="D15" s="9" t="inlineStr">
        <is>
          <t>서리여왕을 얼음의 감옥에 가둔 것이 그림자군주. 그녀의 왕국을 빼앗고 그림자 제국을 세웠다.</t>
        </is>
      </c>
      <c r="E15" s="9" t="inlineStr">
        <is>
          <t>적대 팀에 있으면 서리여왕 CC 지속시간 +30%</t>
        </is>
      </c>
      <c r="F15" s="9" t="inlineStr">
        <is>
          <t>서리여왕 스토리 모드 완료</t>
        </is>
      </c>
    </row>
    <row r="16">
      <c r="A16" s="8" t="inlineStr">
        <is>
          <t>바하무트</t>
        </is>
      </c>
      <c r="B16" s="8" t="inlineStr">
        <is>
          <t>숙적</t>
        </is>
      </c>
      <c r="C16" s="8" t="inlineStr">
        <is>
          <t>공허의왕</t>
        </is>
      </c>
      <c r="D16" s="8" t="inlineStr">
        <is>
          <t>용족의 왕 바하무트와 공허를 삼키는 공허의왕. 차원의 균형을 두고 태초부터 대립해온 양대 세력의 수장.</t>
        </is>
      </c>
      <c r="E16" s="8" t="inlineStr">
        <is>
          <t>적대 팀에 있으면 바하무트 브레스 범위 +30%, 공허의왕 HP 비례 데미지 +5%</t>
        </is>
      </c>
      <c r="F16" s="8" t="inlineStr">
        <is>
          <t>차원 정복 최종 보스전 클리어</t>
        </is>
      </c>
    </row>
    <row r="17">
      <c r="A17" s="9" t="inlineStr">
        <is>
          <t>태초의존재</t>
        </is>
      </c>
      <c r="B17" s="9" t="inlineStr">
        <is>
          <t>라이벌</t>
        </is>
      </c>
      <c r="C17" s="9" t="inlineStr">
        <is>
          <t>혼돈의군주</t>
        </is>
      </c>
      <c r="D17" s="9" t="inlineStr">
        <is>
          <t>질서의 화신 태초의존재와 혼돈의 화신 혼돈의군주. 세계를 만든 자와 세계를 부수는 자의 영원한 대립.</t>
        </is>
      </c>
      <c r="E17" s="9" t="inlineStr">
        <is>
          <t>적대 팀에 있으면 둘 다 궁극기 데미지 +25%</t>
        </is>
      </c>
      <c r="F17" s="9" t="inlineStr">
        <is>
          <t>두 용병 모두 만렙 달성</t>
        </is>
      </c>
    </row>
    <row r="18">
      <c r="A18" s="8" t="inlineStr">
        <is>
          <t>죽음의기사</t>
        </is>
      </c>
      <c r="B18" s="8" t="inlineStr">
        <is>
          <t>환생</t>
        </is>
      </c>
      <c r="C18" s="8" t="inlineStr">
        <is>
          <t>수호천사</t>
        </is>
      </c>
      <c r="D18" s="8" t="inlineStr">
        <is>
          <t>죽음의기사의 전생은 천상계 수호전사. 타락하여 죽음의기사가 되었으나 영혼 깊은 곳에 빛이 남아있다.</t>
        </is>
      </c>
      <c r="E18" s="8" t="inlineStr">
        <is>
          <t>동시 편성 시 죽음의기사 HP 흡수 +10%, 사망 시 수호천사 자동 힐 발동</t>
        </is>
      </c>
      <c r="F18" s="8" t="inlineStr">
        <is>
          <t>죽음의기사 호감도 이벤트 "잊혀진 기억" 완료</t>
        </is>
      </c>
    </row>
    <row r="19">
      <c r="A19" s="9" t="inlineStr">
        <is>
          <t>시간마법사</t>
        </is>
      </c>
      <c r="B19" s="9" t="inlineStr">
        <is>
          <t>평행세계</t>
        </is>
      </c>
      <c r="C19" s="9" t="inlineStr">
        <is>
          <t>세계의끝</t>
        </is>
      </c>
      <c r="D19" s="9" t="inlineStr">
        <is>
          <t>다른 차원의 시간마법사가 실패한 결과물이 세계의끝. 시간마법사는 자신의 미래를 직시하게 된다.</t>
        </is>
      </c>
      <c r="E19" s="9" t="inlineStr">
        <is>
          <t>동시 편성 시 시간 관련 스킬 효과 +20%</t>
        </is>
      </c>
      <c r="F19" s="9" t="inlineStr">
        <is>
          <t>심연의탑 50층에서 두 용병 동시 사용</t>
        </is>
      </c>
    </row>
    <row r="20">
      <c r="A20" s="8" t="inlineStr">
        <is>
          <t>전쟁의신</t>
        </is>
      </c>
      <c r="B20" s="8" t="inlineStr">
        <is>
          <t>시간역행</t>
        </is>
      </c>
      <c r="C20" s="8" t="inlineStr">
        <is>
          <t>검성</t>
        </is>
      </c>
      <c r="D20" s="8" t="inlineStr">
        <is>
          <t>전쟁의신이 인간이었던 시절의 이름이 "무명검사". 검성의 전설에 등장하는 행방불명된 수제자가 바로 그.</t>
        </is>
      </c>
      <c r="E20" s="8" t="inlineStr">
        <is>
          <t>동시 편성 시 전쟁의신 물리 데미지 +15%, 검성 궁극기 쿨타임 -10%</t>
        </is>
      </c>
      <c r="F20" s="8" t="inlineStr">
        <is>
          <t>검성 스토리 모드 최종장 + 전쟁의신 호감도 MAX</t>
        </is>
      </c>
    </row>
    <row r="21">
      <c r="A21" s="9" t="inlineStr">
        <is>
          <t>서리여왕</t>
        </is>
      </c>
      <c r="B21" s="9" t="inlineStr">
        <is>
          <t>혈연(모녀)</t>
        </is>
      </c>
      <c r="C21" s="9" t="inlineStr">
        <is>
          <t>세라핌</t>
        </is>
      </c>
      <c r="D21" s="9" t="inlineStr">
        <is>
          <t>서리여왕의 잃어버린 딸이 세라핌. 천상계에서 자란 세라핌은 자신의 출생을 모르며, 서리여왕도 딸의 생존을 모른다.</t>
        </is>
      </c>
      <c r="E21" s="9" t="inlineStr">
        <is>
          <t>동시 편성 시 서리여왕 방어력 +20%, 세라핌 힐량 +15%</t>
        </is>
      </c>
      <c r="F21" s="9" t="inlineStr">
        <is>
          <t>두 용병 호감도 이벤트를 모두 완료하면 비밀 컷신 발동</t>
        </is>
      </c>
    </row>
    <row r="22">
      <c r="A22" s="8" t="inlineStr">
        <is>
          <t>혼돈의군주</t>
        </is>
      </c>
      <c r="B22" s="8" t="inlineStr">
        <is>
          <t>계약</t>
        </is>
      </c>
      <c r="C22" s="8" t="inlineStr">
        <is>
          <t>그림자군주</t>
        </is>
      </c>
      <c r="D22" s="8" t="inlineStr">
        <is>
          <t>그림자군주의 힘의 원천은 혼돈의군주와의 계약. 영혼을 담보로 그림자의 힘을 얻었으나 대가는 아직 치르지 않았다.</t>
        </is>
      </c>
      <c r="E22" s="8" t="inlineStr">
        <is>
          <t>동시 편성 시 그림자군주 은신 지속시간 +50%, 혼돈의군주 디버프 종류 +1</t>
        </is>
      </c>
      <c r="F22" s="8" t="inlineStr">
        <is>
          <t>그림자군주 4성 진화 시 자동 해금</t>
        </is>
      </c>
    </row>
    <row r="23">
      <c r="A23" s="9" t="inlineStr">
        <is>
          <t>원소의왕</t>
        </is>
      </c>
      <c r="B23" s="9" t="inlineStr">
        <is>
          <t>계약</t>
        </is>
      </c>
      <c r="C23" s="9" t="inlineStr">
        <is>
          <t>세계수정령</t>
        </is>
      </c>
      <c r="D23" s="9" t="inlineStr">
        <is>
          <t>원소의왕이 폭주를 멈출 수 있는 유일한 방법은 세계수정령과의 영혼 계약. 그녀만이 원소의 균형을 잡아줄 수 있다.</t>
        </is>
      </c>
      <c r="E23" s="9" t="inlineStr">
        <is>
          <t>동시 편성 시 원소의왕 스킬 폭주 확률 0% + 모든 원소 데미지 +12%</t>
        </is>
      </c>
      <c r="F23" s="9" t="inlineStr">
        <is>
          <t>원소의왕 폭주 이벤트 3회 경험 후 세계수정령으로 진정시키기 성공</t>
        </is>
      </c>
    </row>
    <row r="24">
      <c r="A24" s="8" t="inlineStr">
        <is>
          <t>???</t>
        </is>
      </c>
      <c r="B24" s="8" t="inlineStr">
        <is>
          <t>???</t>
        </is>
      </c>
      <c r="C24" s="8" t="inlineStr">
        <is>
          <t>???</t>
        </is>
      </c>
      <c r="D24" s="8" t="inlineStr">
        <is>
          <t>[조건 미달성] 특정 용병 조합으로 심연의탑 100층 클리어 시 공개</t>
        </is>
      </c>
      <c r="E24" s="8" t="inlineStr">
        <is>
          <t>??? 해금 시 전용 시너지 효과 발동</t>
        </is>
      </c>
      <c r="F24" s="8" t="inlineStr">
        <is>
          <t>심연의탑 100층을 특정 3인 조합으로 클리어</t>
        </is>
      </c>
    </row>
    <row r="25">
      <c r="A25" s="9" t="inlineStr">
        <is>
          <t>???</t>
        </is>
      </c>
      <c r="B25" s="9" t="inlineStr">
        <is>
          <t>???</t>
        </is>
      </c>
      <c r="C25" s="9" t="inlineStr">
        <is>
          <t>???</t>
        </is>
      </c>
      <c r="D25" s="9" t="inlineStr">
        <is>
          <t>[조건 미달성] 공성전 100회 참여 시 공개되는 숨겨진 관계</t>
        </is>
      </c>
      <c r="E25" s="9" t="inlineStr">
        <is>
          <t>??? 해금 시 공성전 전용 합체기 해금</t>
        </is>
      </c>
      <c r="F25" s="9" t="inlineStr">
        <is>
          <t>공성전 100회 참여 달성</t>
        </is>
      </c>
    </row>
    <row r="26">
      <c r="A26" s="8" t="inlineStr">
        <is>
          <t>???</t>
        </is>
      </c>
      <c r="B26" s="8" t="inlineStr">
        <is>
          <t>???</t>
        </is>
      </c>
      <c r="C26" s="8" t="inlineStr">
        <is>
          <t>???</t>
        </is>
      </c>
      <c r="D26" s="8" t="inlineStr">
        <is>
          <t>[조건 미달성] 모든 용병 호감도 MAX 달성 시 공개되는 비밀</t>
        </is>
      </c>
      <c r="E26" s="8" t="inlineStr">
        <is>
          <t>??? 해금 시 숨겨진 용병 소환 가능</t>
        </is>
      </c>
      <c r="F26" s="8" t="inlineStr">
        <is>
          <t>전 용병 호감도 MAX 달성</t>
        </is>
      </c>
    </row>
    <row r="27">
      <c r="A27" s="9" t="inlineStr">
        <is>
          <t>???</t>
        </is>
      </c>
      <c r="B27" s="9" t="inlineStr">
        <is>
          <t>???</t>
        </is>
      </c>
      <c r="C27" s="9" t="inlineStr">
        <is>
          <t>???</t>
        </is>
      </c>
      <c r="D27" s="9" t="inlineStr">
        <is>
          <t>[조건 미달성] 특정 장소에서 특정 시간에 특정 용병 사용 시 공개</t>
        </is>
      </c>
      <c r="E27" s="9" t="inlineStr">
        <is>
          <t>??? 해금 시 숨겨진 스토리 챕터 해금</t>
        </is>
      </c>
      <c r="F27" s="9" t="inlineStr">
        <is>
          <t>알 수 없음 (커뮤니티에서 발견해야 함)</t>
        </is>
      </c>
    </row>
    <row r="28">
      <c r="A28" s="8" t="inlineStr">
        <is>
          <t>???</t>
        </is>
      </c>
      <c r="B28" s="8" t="inlineStr">
        <is>
          <t>???</t>
        </is>
      </c>
      <c r="C28" s="8" t="inlineStr">
        <is>
          <t>???</t>
        </is>
      </c>
      <c r="D28" s="8" t="inlineStr">
        <is>
          <t>[조건 미달성] 게임 내 모든 엔딩을 본 후 공개되는 최종 관계</t>
        </is>
      </c>
      <c r="E28" s="8" t="inlineStr">
        <is>
          <t>??? 해금 시 "진정한 결말" 엔딩 해금</t>
        </is>
      </c>
      <c r="F28" s="8" t="inlineStr">
        <is>
          <t>모든 엔딩 확인 (총 7종)</t>
        </is>
      </c>
    </row>
  </sheetData>
  <mergeCells count="1">
    <mergeCell ref="A1:F1"/>
  </mergeCell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8" customWidth="1" min="1" max="1"/>
    <col width="28" customWidth="1" min="2" max="2"/>
    <col width="30" customWidth="1" min="3" max="3"/>
    <col width="30" customWidth="1" min="4" max="4"/>
    <col width="30" customWidth="1" min="5" max="5"/>
    <col width="28" customWidth="1" min="6" max="6"/>
    <col width="22" customWidth="1" min="7" max="7"/>
    <col width="45" customWidth="1" min="8" max="8"/>
  </cols>
  <sheetData>
    <row r="1">
      <c r="A1" s="6" t="inlineStr">
        <is>
          <t>로그라이크 던전 상세 — 15층 영구사망 던전 (죽으면 처음부터)</t>
        </is>
      </c>
    </row>
    <row r="3">
      <c r="A3" s="7" t="inlineStr">
        <is>
          <t>층</t>
        </is>
      </c>
      <c r="B3" s="7" t="inlineStr">
        <is>
          <t>적 구성</t>
        </is>
      </c>
      <c r="C3" s="7" t="inlineStr">
        <is>
          <t>선택지 A</t>
        </is>
      </c>
      <c r="D3" s="7" t="inlineStr">
        <is>
          <t>선택지 B</t>
        </is>
      </c>
      <c r="E3" s="7" t="inlineStr">
        <is>
          <t>선택지 C</t>
        </is>
      </c>
      <c r="F3" s="7" t="inlineStr">
        <is>
          <t>보스(5층마다)</t>
        </is>
      </c>
      <c r="G3" s="7" t="inlineStr">
        <is>
          <t>드롭</t>
        </is>
      </c>
      <c r="H3" s="7" t="inlineStr">
        <is>
          <t>특수 규칙</t>
        </is>
      </c>
    </row>
    <row r="4">
      <c r="A4" s="8" t="inlineStr">
        <is>
          <t>1층</t>
        </is>
      </c>
      <c r="B4" s="8" t="inlineStr">
        <is>
          <t>슬라임 x3</t>
        </is>
      </c>
      <c r="C4" s="8" t="inlineStr">
        <is>
          <t>공격력 +10</t>
        </is>
      </c>
      <c r="D4" s="8" t="inlineStr">
        <is>
          <t>방어력 +10</t>
        </is>
      </c>
      <c r="E4" s="8" t="inlineStr">
        <is>
          <t>HP +50</t>
        </is>
      </c>
      <c r="F4" s="8" t="inlineStr">
        <is>
          <t>—</t>
        </is>
      </c>
      <c r="G4" s="8" t="inlineStr">
        <is>
          <t>기본 포션 x2</t>
        </is>
      </c>
      <c r="H4" s="8" t="inlineStr">
        <is>
          <t>첫 전투 — 조작법 안내, 사망 시 부활 없음(영구 사망)</t>
        </is>
      </c>
    </row>
    <row r="5">
      <c r="A5" s="9" t="inlineStr">
        <is>
          <t>2층</t>
        </is>
      </c>
      <c r="B5" s="9" t="inlineStr">
        <is>
          <t>고블린 척후병 x4</t>
        </is>
      </c>
      <c r="C5" s="9" t="inlineStr">
        <is>
          <t>공격력 +10</t>
        </is>
      </c>
      <c r="D5" s="9" t="inlineStr">
        <is>
          <t>방어력 +10</t>
        </is>
      </c>
      <c r="E5" s="9" t="inlineStr">
        <is>
          <t>HP +50</t>
        </is>
      </c>
      <c r="F5" s="9" t="inlineStr">
        <is>
          <t>—</t>
        </is>
      </c>
      <c r="G5" s="9" t="inlineStr">
        <is>
          <t>골드 +200</t>
        </is>
      </c>
      <c r="H5" s="9" t="inlineStr">
        <is>
          <t>적이 2턴 뒤 증원 1마리 호출, 빠른 처리가 핵심</t>
        </is>
      </c>
    </row>
    <row r="6">
      <c r="A6" s="8" t="inlineStr">
        <is>
          <t>3층</t>
        </is>
      </c>
      <c r="B6" s="8" t="inlineStr">
        <is>
          <t>해골 궁수 x3 + 해골 전사 x1</t>
        </is>
      </c>
      <c r="C6" s="8" t="inlineStr">
        <is>
          <t>공격력 +15</t>
        </is>
      </c>
      <c r="D6" s="8" t="inlineStr">
        <is>
          <t>방어력 +15</t>
        </is>
      </c>
      <c r="E6" s="8" t="inlineStr">
        <is>
          <t>HP +80</t>
        </is>
      </c>
      <c r="F6" s="8" t="inlineStr">
        <is>
          <t>—</t>
        </is>
      </c>
      <c r="G6" s="8" t="inlineStr">
        <is>
          <t>랜덤 장비 1개</t>
        </is>
      </c>
      <c r="H6" s="8" t="inlineStr">
        <is>
          <t>후열 궁수 먼저 처치하지 않으면 지속 원거리 피해</t>
        </is>
      </c>
    </row>
    <row r="7">
      <c r="A7" s="9" t="inlineStr">
        <is>
          <t>4층</t>
        </is>
      </c>
      <c r="B7" s="9" t="inlineStr">
        <is>
          <t>독버섯 군락 x5</t>
        </is>
      </c>
      <c r="C7" s="9" t="inlineStr">
        <is>
          <t>공격력 +10</t>
        </is>
      </c>
      <c r="D7" s="9" t="inlineStr">
        <is>
          <t>방어력 +10</t>
        </is>
      </c>
      <c r="E7" s="9" t="inlineStr">
        <is>
          <t>HP +50</t>
        </is>
      </c>
      <c r="F7" s="9" t="inlineStr">
        <is>
          <t>—</t>
        </is>
      </c>
      <c r="G7" s="9" t="inlineStr">
        <is>
          <t>해독제 x3</t>
        </is>
      </c>
      <c r="H7" s="9" t="inlineStr">
        <is>
          <t>매 턴 독 데미지 — 해독제 없으면 HP 급감</t>
        </is>
      </c>
    </row>
    <row r="8">
      <c r="A8" s="8" t="inlineStr">
        <is>
          <t>5층</t>
        </is>
      </c>
      <c r="B8" s="8" t="inlineStr">
        <is>
          <t>★ 미니보스: 고블린 킹</t>
        </is>
      </c>
      <c r="C8" s="8" t="inlineStr">
        <is>
          <t>공격력 +20</t>
        </is>
      </c>
      <c r="D8" s="8" t="inlineStr">
        <is>
          <t>방어력 +20</t>
        </is>
      </c>
      <c r="E8" s="8" t="inlineStr">
        <is>
          <t>HP +100</t>
        </is>
      </c>
      <c r="F8" s="8" t="inlineStr">
        <is>
          <t>고블린 킹 (HP 500, 부하 소환)</t>
        </is>
      </c>
      <c r="G8" s="8" t="inlineStr">
        <is>
          <t>희귀 장비 1개 + 골드 500</t>
        </is>
      </c>
      <c r="H8" s="8" t="inlineStr">
        <is>
          <t>보스전 — 3턴마다 고블린 2마리 소환, 본체 집중 공격 권장</t>
        </is>
      </c>
    </row>
    <row r="9">
      <c r="A9" s="9" t="inlineStr">
        <is>
          <t>6층</t>
        </is>
      </c>
      <c r="B9" s="9" t="inlineStr">
        <is>
          <t>늑대인간 x3 + 박쥐 x2</t>
        </is>
      </c>
      <c r="C9" s="9" t="inlineStr">
        <is>
          <t>흡혈 +5% (공격 시 HP 회복)</t>
        </is>
      </c>
      <c r="D9" s="9" t="inlineStr">
        <is>
          <t>반사 +8% (받은 데미지 반사)</t>
        </is>
      </c>
      <c r="E9" s="9" t="inlineStr">
        <is>
          <t>독면역 (독 상태이상 무효)</t>
        </is>
      </c>
      <c r="F9" s="9" t="inlineStr">
        <is>
          <t>—</t>
        </is>
      </c>
      <c r="G9" s="9" t="inlineStr">
        <is>
          <t>중급 포션 x2</t>
        </is>
      </c>
      <c r="H9" s="9" t="inlineStr">
        <is>
          <t>늑대인간이 HP 30% 이하 시 광폭화 — 공격력 2배</t>
        </is>
      </c>
    </row>
    <row r="10">
      <c r="A10" s="8" t="inlineStr">
        <is>
          <t>7층</t>
        </is>
      </c>
      <c r="B10" s="8" t="inlineStr">
        <is>
          <t>다크메이지 x2 + 가고일 x2</t>
        </is>
      </c>
      <c r="C10" s="8" t="inlineStr">
        <is>
          <t>흡혈 +5%</t>
        </is>
      </c>
      <c r="D10" s="8" t="inlineStr">
        <is>
          <t>반사 +8%</t>
        </is>
      </c>
      <c r="E10" s="8" t="inlineStr">
        <is>
          <t>독면역</t>
        </is>
      </c>
      <c r="F10" s="8" t="inlineStr">
        <is>
          <t>—</t>
        </is>
      </c>
      <c r="G10" s="8" t="inlineStr">
        <is>
          <t>스킬서 1개</t>
        </is>
      </c>
      <c r="H10" s="8" t="inlineStr">
        <is>
          <t>다크메이지가 매 턴 랜덤 디버프 시전 — 침묵/둔화/출혈 중 택 1</t>
        </is>
      </c>
    </row>
    <row r="11">
      <c r="A11" s="9" t="inlineStr">
        <is>
          <t>8층</t>
        </is>
      </c>
      <c r="B11" s="9" t="inlineStr">
        <is>
          <t>미믹 x1 + 보물상자함정 x3</t>
        </is>
      </c>
      <c r="C11" s="9" t="inlineStr">
        <is>
          <t>흡혈 +8%</t>
        </is>
      </c>
      <c r="D11" s="9" t="inlineStr">
        <is>
          <t>반사 +10%</t>
        </is>
      </c>
      <c r="E11" s="9" t="inlineStr">
        <is>
          <t>CC면역 2턴</t>
        </is>
      </c>
      <c r="F11" s="9" t="inlineStr">
        <is>
          <t>—</t>
        </is>
      </c>
      <c r="G11" s="9" t="inlineStr">
        <is>
          <t>보물상자(랜덤 희귀~전설)</t>
        </is>
      </c>
      <c r="H11" s="9" t="inlineStr">
        <is>
          <t>진짜 상자 1개 + 가짜 3개, 가짜 열면 즉사급 폭발 — 관찰력 테스트</t>
        </is>
      </c>
    </row>
    <row r="12">
      <c r="A12" s="8" t="inlineStr">
        <is>
          <t>9층</t>
        </is>
      </c>
      <c r="B12" s="8" t="inlineStr">
        <is>
          <t>저주받은 기사 x3</t>
        </is>
      </c>
      <c r="C12" s="8" t="inlineStr">
        <is>
          <t>흡혈 +5%</t>
        </is>
      </c>
      <c r="D12" s="8" t="inlineStr">
        <is>
          <t>반사 +8%</t>
        </is>
      </c>
      <c r="E12" s="8" t="inlineStr">
        <is>
          <t>독면역</t>
        </is>
      </c>
      <c r="F12" s="8" t="inlineStr">
        <is>
          <t>—</t>
        </is>
      </c>
      <c r="G12" s="8" t="inlineStr">
        <is>
          <t>골드 +800</t>
        </is>
      </c>
      <c r="H12" s="8" t="inlineStr">
        <is>
          <t>사망한 기사가 2턴 후 언데드로 부활 — 한 턴에 몰아서 처치해야 함</t>
        </is>
      </c>
    </row>
    <row r="13">
      <c r="A13" s="9" t="inlineStr">
        <is>
          <t>10층</t>
        </is>
      </c>
      <c r="B13" s="9" t="inlineStr">
        <is>
          <t>★ 중간보스: 뱀파이어 로드</t>
        </is>
      </c>
      <c r="C13" s="9" t="inlineStr">
        <is>
          <t>흡혈 +10% + 공격력 +15</t>
        </is>
      </c>
      <c r="D13" s="9" t="inlineStr">
        <is>
          <t>반사 +15% + 방어력 +15</t>
        </is>
      </c>
      <c r="E13" s="9" t="inlineStr">
        <is>
          <t>독면역 + HP +150</t>
        </is>
      </c>
      <c r="F13" s="9" t="inlineStr">
        <is>
          <t>뱀파이어 로드 (HP 1200, 흡혈)</t>
        </is>
      </c>
      <c r="G13" s="9" t="inlineStr">
        <is>
          <t>전설 장비 1개 + 골드 1000</t>
        </is>
      </c>
      <c r="H13" s="9" t="inlineStr">
        <is>
          <t>보스전 — 보스가 흡혈로 회전, 반사 효과 있으면 유리, 없으면 장기전 각오</t>
        </is>
      </c>
    </row>
    <row r="14">
      <c r="A14" s="8" t="inlineStr">
        <is>
          <t>11층</t>
        </is>
      </c>
      <c r="B14" s="8" t="inlineStr">
        <is>
          <t>심연의 눈 x4 + 그림자 x2</t>
        </is>
      </c>
      <c r="C14" s="8" t="inlineStr">
        <is>
          <t>데미지 2배 + HP 50% 감소 (유리대포)</t>
        </is>
      </c>
      <c r="D14" s="8" t="inlineStr">
        <is>
          <t>받는 데미지 50% 감소 + 공격력 30% 감소 (탱커)</t>
        </is>
      </c>
      <c r="E14" s="8" t="inlineStr">
        <is>
          <t>매 턴 HP 3% 회복 + 이동속도 50% 감소 (거북이)</t>
        </is>
      </c>
      <c r="F14" s="8" t="inlineStr">
        <is>
          <t>—</t>
        </is>
      </c>
      <c r="G14" s="8" t="inlineStr">
        <is>
          <t>전설 포션 x2</t>
        </is>
      </c>
      <c r="H14" s="8" t="inlineStr">
        <is>
          <t>시야 절반 — 적이 은신 상태로 기습, 첫 턴에 위치 파악 필수</t>
        </is>
      </c>
    </row>
    <row r="15">
      <c r="A15" s="9" t="inlineStr">
        <is>
          <t>12층</t>
        </is>
      </c>
      <c r="B15" s="9" t="inlineStr">
        <is>
          <t>차원 균열체 x3</t>
        </is>
      </c>
      <c r="C15" s="9" t="inlineStr">
        <is>
          <t>데미지 2배 + HP 50% 감소</t>
        </is>
      </c>
      <c r="D15" s="9" t="inlineStr">
        <is>
          <t>모든 스킬 쿨타임 초기화 + 이후 쿨타임 2배</t>
        </is>
      </c>
      <c r="E15" s="9" t="inlineStr">
        <is>
          <t>즉사 확률 5% 부여 + 자신도 즉사 확률 3%</t>
        </is>
      </c>
      <c r="F15" s="9" t="inlineStr">
        <is>
          <t>—</t>
        </is>
      </c>
      <c r="G15" s="9" t="inlineStr">
        <is>
          <t>차원석 x1</t>
        </is>
      </c>
      <c r="H15" s="9" t="inlineStr">
        <is>
          <t>적이 매 턴 랜덤 위치로 순간이동 — 범위기 필수</t>
        </is>
      </c>
    </row>
    <row r="16">
      <c r="A16" s="8" t="inlineStr">
        <is>
          <t>13층</t>
        </is>
      </c>
      <c r="B16" s="8" t="inlineStr">
        <is>
          <t>죽음의 무도회장 — 해골왕 x1 + 해골무희 x6</t>
        </is>
      </c>
      <c r="C16" s="8" t="inlineStr">
        <is>
          <t>데미지 2배 + HP 50% 감소</t>
        </is>
      </c>
      <c r="D16" s="8" t="inlineStr">
        <is>
          <t>받는 피해 50% 감소 + 공격력 30% 감소</t>
        </is>
      </c>
      <c r="E16" s="8" t="inlineStr">
        <is>
          <t>무희 처치 시 HP 전체 10% 회복 + 왕 분노(공격력 +50%)</t>
        </is>
      </c>
      <c r="F16" s="8" t="inlineStr">
        <is>
          <t>—</t>
        </is>
      </c>
      <c r="G16" s="8" t="inlineStr">
        <is>
          <t>사신의 낫 조각 x1</t>
        </is>
      </c>
      <c r="H16" s="8" t="inlineStr">
        <is>
          <t>해골무희 1마리 죽을 때마다 해골왕 강화 — 왕을 먼저 잡을지 무희를 먼저 잡을지 딜레마</t>
        </is>
      </c>
    </row>
    <row r="17">
      <c r="A17" s="9" t="inlineStr">
        <is>
          <t>14층</t>
        </is>
      </c>
      <c r="B17" s="9" t="inlineStr">
        <is>
          <t>혼돈의 거울방 — 자기 복제체 x1</t>
        </is>
      </c>
      <c r="C17" s="9" t="inlineStr">
        <is>
          <t>데미지 2배 + HP 50% 감소</t>
        </is>
      </c>
      <c r="D17" s="9" t="inlineStr">
        <is>
          <t>받는 피해 50% 감소 + 공격력 30% 감소</t>
        </is>
      </c>
      <c r="E17" s="9" t="inlineStr">
        <is>
          <t>스킬 1개를 복제체에게서 훔침 + 자신 스킬 1개 삭제</t>
        </is>
      </c>
      <c r="F17" s="9" t="inlineStr">
        <is>
          <t>—</t>
        </is>
      </c>
      <c r="G17" s="9" t="inlineStr">
        <is>
          <t>거울 파편(전설 악세)</t>
        </is>
      </c>
      <c r="H17" s="9" t="inlineStr">
        <is>
          <t>자신과 동일한 스탯의 복제체와 1:1 — 선택한 강화가 곧 적의 강화이기도 함</t>
        </is>
      </c>
    </row>
    <row r="18">
      <c r="A18" s="8" t="inlineStr">
        <is>
          <t>15층</t>
        </is>
      </c>
      <c r="B18" s="8" t="inlineStr">
        <is>
          <t>★ 최종보스: 심연의 군주</t>
        </is>
      </c>
      <c r="C18" s="8" t="inlineStr">
        <is>
          <t>전 스탯 +30% + 받는 피해 +30% (올인)</t>
        </is>
      </c>
      <c r="D18" s="8" t="inlineStr">
        <is>
          <t>무적 3턴 + 이후 방어력 0 (도박)</t>
        </is>
      </c>
      <c r="E18" s="8" t="inlineStr">
        <is>
          <t>부활 1회(HP 50%) + 부활 후 전 스탯 -20% (보험)</t>
        </is>
      </c>
      <c r="F18" s="8" t="inlineStr">
        <is>
          <t>심연의 군주 (HP 5000, 3페이즈)</t>
        </is>
      </c>
      <c r="G18" s="8" t="inlineStr">
        <is>
          <t>전용 전설 세트 + 골드 5000 + 칭호 "심연 정복자"</t>
        </is>
      </c>
      <c r="H18" s="8" t="inlineStr">
        <is>
          <t>최종 보스 3페이즈: ①일반 ②HP50%에서 분신 2체 소환 ③HP20%에서 즉사기 사용(회피 필수). 클리어 시 영구 칭호 + 스킨 해금. 사망 시 1층부터.</t>
        </is>
      </c>
    </row>
  </sheetData>
  <mergeCells count="1">
    <mergeCell ref="A1:H1"/>
  </mergeCell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5" customWidth="1" min="1" max="1"/>
    <col width="16" customWidth="1" min="2" max="2"/>
    <col width="14" customWidth="1" min="3" max="3"/>
    <col width="22" customWidth="1" min="4" max="4"/>
    <col width="30" customWidth="1" min="5" max="5"/>
    <col width="40" customWidth="1" min="6" max="6"/>
    <col width="12" customWidth="1" min="7" max="7"/>
  </cols>
  <sheetData>
    <row r="1">
      <c r="A1" s="6" t="inlineStr">
        <is>
          <t>용병 코스튬 전체 목록 30종 — 시즌/업적/프리미엄/이벤트</t>
        </is>
      </c>
    </row>
    <row r="3">
      <c r="A3" s="7" t="inlineStr">
        <is>
          <t>#</t>
        </is>
      </c>
      <c r="B3" s="7" t="inlineStr">
        <is>
          <t>코스튬명</t>
        </is>
      </c>
      <c r="C3" s="7" t="inlineStr">
        <is>
          <t>적용 용병</t>
        </is>
      </c>
      <c r="D3" s="7" t="inlineStr">
        <is>
          <t>획득 방법</t>
        </is>
      </c>
      <c r="E3" s="7" t="inlineStr">
        <is>
          <t>스킬 이펙트 변경</t>
        </is>
      </c>
      <c r="F3" s="7" t="inlineStr">
        <is>
          <t>설명</t>
        </is>
      </c>
      <c r="G3" s="7" t="inlineStr">
        <is>
          <t>희귀도</t>
        </is>
      </c>
    </row>
    <row r="4">
      <c r="A4" s="8" t="inlineStr">
        <is>
          <t>1</t>
        </is>
      </c>
      <c r="B4" s="8" t="inlineStr">
        <is>
          <t>벚꽃기사</t>
        </is>
      </c>
      <c r="C4" s="8" t="inlineStr">
        <is>
          <t>검성</t>
        </is>
      </c>
      <c r="D4" s="8" t="inlineStr">
        <is>
          <t>봄 시즌 이벤트 (3~4월)</t>
        </is>
      </c>
      <c r="E4" s="8" t="inlineStr">
        <is>
          <t>참격에 벚꽃잎 흩날림, 궁극기 시 벚꽃 폭풍</t>
        </is>
      </c>
      <c r="F4" s="8" t="inlineStr">
        <is>
          <t>만개한 벚꽃 갑옷과 분홍빛 검. 꽃잎이 검격 궤적을 따라 흩날린다.</t>
        </is>
      </c>
      <c r="G4" s="8" t="inlineStr">
        <is>
          <t>시즌 한정</t>
        </is>
      </c>
    </row>
    <row r="5">
      <c r="A5" s="9" t="inlineStr">
        <is>
          <t>2</t>
        </is>
      </c>
      <c r="B5" s="9" t="inlineStr">
        <is>
          <t>빙하여왕</t>
        </is>
      </c>
      <c r="C5" s="9" t="inlineStr">
        <is>
          <t>서리여왕</t>
        </is>
      </c>
      <c r="D5" s="9" t="inlineStr">
        <is>
          <t>겨울 시즌 이벤트 (12~1월)</t>
        </is>
      </c>
      <c r="E5" s="9" t="inlineStr">
        <is>
          <t>빙결 이펙트가 다이아몬드 결정으로 변경</t>
        </is>
      </c>
      <c r="F5" s="9" t="inlineStr">
        <is>
          <t>순백의 모피 망토와 얼음 왕관. 발밑에 서리꽃이 피어난다.</t>
        </is>
      </c>
      <c r="G5" s="9" t="inlineStr">
        <is>
          <t>시즌 한정</t>
        </is>
      </c>
    </row>
    <row r="6">
      <c r="A6" s="8" t="inlineStr">
        <is>
          <t>3</t>
        </is>
      </c>
      <c r="B6" s="8" t="inlineStr">
        <is>
          <t>할로윈마왕</t>
        </is>
      </c>
      <c r="C6" s="8" t="inlineStr">
        <is>
          <t>그림자군주</t>
        </is>
      </c>
      <c r="D6" s="8" t="inlineStr">
        <is>
          <t>할로윈 이벤트 (10월)</t>
        </is>
      </c>
      <c r="E6" s="8" t="inlineStr">
        <is>
          <t>그림자가 호박 박쥐로 변경, 은신 시 유령 이펙트</t>
        </is>
      </c>
      <c r="F6" s="8" t="inlineStr">
        <is>
          <t>호박 머리 투구와 박쥐 날개 망토. 으스스한 보라빛 안개가 감싼다.</t>
        </is>
      </c>
      <c r="G6" s="8" t="inlineStr">
        <is>
          <t>시즌 한정</t>
        </is>
      </c>
    </row>
    <row r="7">
      <c r="A7" s="9" t="inlineStr">
        <is>
          <t>4</t>
        </is>
      </c>
      <c r="B7" s="9" t="inlineStr">
        <is>
          <t>신년바하무트</t>
        </is>
      </c>
      <c r="C7" s="9" t="inlineStr">
        <is>
          <t>바하무트</t>
        </is>
      </c>
      <c r="D7" s="9" t="inlineStr">
        <is>
          <t>설날 이벤트 (1~2월)</t>
        </is>
      </c>
      <c r="E7" s="9" t="inlineStr">
        <is>
          <t>브레스가 황금색 불꽃, 궁극기 시 용춤 연출</t>
        </is>
      </c>
      <c r="F7" s="9" t="inlineStr">
        <is>
          <t>황금 비늘과 붉은 갈기의 동양풍 용. 몸에서 축포가 터진다.</t>
        </is>
      </c>
      <c r="G7" s="9" t="inlineStr">
        <is>
          <t>시즌 한정</t>
        </is>
      </c>
    </row>
    <row r="8">
      <c r="A8" s="8" t="inlineStr">
        <is>
          <t>5</t>
        </is>
      </c>
      <c r="B8" s="8" t="inlineStr">
        <is>
          <t>여름해적</t>
        </is>
      </c>
      <c r="C8" s="8" t="inlineStr">
        <is>
          <t>드래곤나이트</t>
        </is>
      </c>
      <c r="D8" s="8" t="inlineStr">
        <is>
          <t>여름 이벤트 (7~8월)</t>
        </is>
      </c>
      <c r="E8" s="8" t="inlineStr">
        <is>
          <t>창 대신 닻 휘두르기, 스킬 시 파도 이펙트</t>
        </is>
      </c>
      <c r="F8" s="8" t="inlineStr">
        <is>
          <t>해적 삼각모와 열대 셔츠. 갑옷 대신 구명조끼를 입었다.</t>
        </is>
      </c>
      <c r="G8" s="8" t="inlineStr">
        <is>
          <t>시즌 한정</t>
        </is>
      </c>
    </row>
    <row r="9">
      <c r="A9" s="9" t="inlineStr">
        <is>
          <t>6</t>
        </is>
      </c>
      <c r="B9" s="9" t="inlineStr">
        <is>
          <t>발렌타인세라핌</t>
        </is>
      </c>
      <c r="C9" s="9" t="inlineStr">
        <is>
          <t>세라핌</t>
        </is>
      </c>
      <c r="D9" s="9" t="inlineStr">
        <is>
          <t>발렌타인 이벤트 (2월)</t>
        </is>
      </c>
      <c r="E9" s="9" t="inlineStr">
        <is>
          <t>힐 이펙트가 하트 모양, 궁극기 시 큐피드 화살</t>
        </is>
      </c>
      <c r="F9" s="9" t="inlineStr">
        <is>
          <t>핑크색 날개와 하트 지팡이. 힐을 받으면 하트가 퐁퐁 터진다.</t>
        </is>
      </c>
      <c r="G9" s="9" t="inlineStr">
        <is>
          <t>시즌 한정</t>
        </is>
      </c>
    </row>
    <row r="10">
      <c r="A10" s="8" t="inlineStr">
        <is>
          <t>7</t>
        </is>
      </c>
      <c r="B10" s="8" t="inlineStr">
        <is>
          <t>추석검성</t>
        </is>
      </c>
      <c r="C10" s="8" t="inlineStr">
        <is>
          <t>검성</t>
        </is>
      </c>
      <c r="D10" s="8" t="inlineStr">
        <is>
          <t>추석 이벤트 (9~10월)</t>
        </is>
      </c>
      <c r="E10" s="8" t="inlineStr">
        <is>
          <t>참격 궤적이 보름달 모양, 궁극기 시 달빛 폭발</t>
        </is>
      </c>
      <c r="F10" s="8" t="inlineStr">
        <is>
          <t>전통 무사 도포와 갓. 달빛을 머금은 검에서 은빛이 흐른다.</t>
        </is>
      </c>
      <c r="G10" s="8" t="inlineStr">
        <is>
          <t>시즌 한정</t>
        </is>
      </c>
    </row>
    <row r="11">
      <c r="A11" s="9" t="inlineStr">
        <is>
          <t>8</t>
        </is>
      </c>
      <c r="B11" s="9" t="inlineStr">
        <is>
          <t>크리스마스천사</t>
        </is>
      </c>
      <c r="C11" s="9" t="inlineStr">
        <is>
          <t>수호천사</t>
        </is>
      </c>
      <c r="D11" s="9" t="inlineStr">
        <is>
          <t>크리스마스 이벤트 (12월)</t>
        </is>
      </c>
      <c r="E11" s="9" t="inlineStr">
        <is>
          <t>실드가 선물상자 모양, 힐 시 눈꽃 이펙트</t>
        </is>
      </c>
      <c r="F11" s="9" t="inlineStr">
        <is>
          <t>산타 모자와 초록-빨강 로브. 힐 시 징글벨 효과음이 울린다.</t>
        </is>
      </c>
      <c r="G11" s="9" t="inlineStr">
        <is>
          <t>시즌 한정</t>
        </is>
      </c>
    </row>
    <row r="12">
      <c r="A12" s="8" t="inlineStr">
        <is>
          <t>9</t>
        </is>
      </c>
      <c r="B12" s="8" t="inlineStr">
        <is>
          <t>핏빛암살자</t>
        </is>
      </c>
      <c r="C12" s="8" t="inlineStr">
        <is>
          <t>암살자</t>
        </is>
      </c>
      <c r="D12" s="8" t="inlineStr">
        <is>
          <t>PvP 500승 달성</t>
        </is>
      </c>
      <c r="E12" s="8" t="inlineStr">
        <is>
          <t>스킬 이펙트가 핏빛으로 변경, 처치 시 혈흔 연출</t>
        </is>
      </c>
      <c r="F12" s="8" t="inlineStr">
        <is>
          <t>온몸이 핏빛으로 물든 암살자. 처치할수록 핏빛이 짙어진다.</t>
        </is>
      </c>
      <c r="G12" s="8" t="inlineStr">
        <is>
          <t>업적</t>
        </is>
      </c>
    </row>
    <row r="13">
      <c r="A13" s="9" t="inlineStr">
        <is>
          <t>10</t>
        </is>
      </c>
      <c r="B13" s="9" t="inlineStr">
        <is>
          <t>심연기사</t>
        </is>
      </c>
      <c r="C13" s="9" t="inlineStr">
        <is>
          <t>죽음의기사</t>
        </is>
      </c>
      <c r="D13" s="9" t="inlineStr">
        <is>
          <t>심연의탑 100층 클리어</t>
        </is>
      </c>
      <c r="E13" s="9" t="inlineStr">
        <is>
          <t>스킬이 심연의 보라빛으로 변경, 궁극기 시 차원균열</t>
        </is>
      </c>
      <c r="F13" s="9" t="inlineStr">
        <is>
          <t>심연의 기운을 흡수해 갑옷이 검보라색으로 변했다. 눈에서 보랏빛이 새어나온다.</t>
        </is>
      </c>
      <c r="G13" s="9" t="inlineStr">
        <is>
          <t>업적</t>
        </is>
      </c>
    </row>
    <row r="14">
      <c r="A14" s="8" t="inlineStr">
        <is>
          <t>11</t>
        </is>
      </c>
      <c r="B14" s="8" t="inlineStr">
        <is>
          <t>거상의상</t>
        </is>
      </c>
      <c r="C14" s="8" t="inlineStr">
        <is>
          <t>상인 NPC</t>
        </is>
      </c>
      <c r="D14" s="8" t="inlineStr">
        <is>
          <t>무역 누적 수익 1,000,000골드</t>
        </is>
      </c>
      <c r="E14" s="8" t="inlineStr">
        <is>
          <t>거래 시 금화가 쏟아지는 이펙트</t>
        </is>
      </c>
      <c r="F14" s="8" t="inlineStr">
        <is>
          <t>황금실로 짠 비단 도포와 옥 장신구. 걸을 때마다 금화 소리가 난다.</t>
        </is>
      </c>
      <c r="G14" s="8" t="inlineStr">
        <is>
          <t>업적</t>
        </is>
      </c>
    </row>
    <row r="15">
      <c r="A15" s="9" t="inlineStr">
        <is>
          <t>12</t>
        </is>
      </c>
      <c r="B15" s="9" t="inlineStr">
        <is>
          <t>전쟁영웅</t>
        </is>
      </c>
      <c r="C15" s="9" t="inlineStr">
        <is>
          <t>전쟁의신</t>
        </is>
      </c>
      <c r="D15" s="9" t="inlineStr">
        <is>
          <t>공성전 50승 달성</t>
        </is>
      </c>
      <c r="E15" s="9" t="inlineStr">
        <is>
          <t>스킬에 군기(軍旗) 이펙트 추가, 궁극기 시 군대 함성</t>
        </is>
      </c>
      <c r="F15" s="9" t="inlineStr">
        <is>
          <t>전장의 흔적이 새겨진 금빛 갑옷. 어깨에 전승 깃발을 꽂고 있다.</t>
        </is>
      </c>
      <c r="G15" s="9" t="inlineStr">
        <is>
          <t>업적</t>
        </is>
      </c>
    </row>
    <row r="16">
      <c r="A16" s="8" t="inlineStr">
        <is>
          <t>13</t>
        </is>
      </c>
      <c r="B16" s="8" t="inlineStr">
        <is>
          <t>낚시왕</t>
        </is>
      </c>
      <c r="C16" s="8" t="inlineStr">
        <is>
          <t>세계수정령</t>
        </is>
      </c>
      <c r="D16" s="8" t="inlineStr">
        <is>
          <t>낚시 도감 30종 완성</t>
        </is>
      </c>
      <c r="E16" s="8" t="inlineStr">
        <is>
          <t>스킬에 물방울 이펙트, 이동 시 물고기 따라다님</t>
        </is>
      </c>
      <c r="F16" s="8" t="inlineStr">
        <is>
          <t>낚싯대를 든 정령. 머리에 물고기가 올라가 있고 발밑에 웅덩이가 따라다닌다.</t>
        </is>
      </c>
      <c r="G16" s="8" t="inlineStr">
        <is>
          <t>업적</t>
        </is>
      </c>
    </row>
    <row r="17">
      <c r="A17" s="9" t="inlineStr">
        <is>
          <t>14</t>
        </is>
      </c>
      <c r="B17" s="9" t="inlineStr">
        <is>
          <t>요리왕</t>
        </is>
      </c>
      <c r="C17" s="9" t="inlineStr">
        <is>
          <t>대마법사</t>
        </is>
      </c>
      <c r="D17" s="9" t="inlineStr">
        <is>
          <t>요리 레시피 50종 완성</t>
        </is>
      </c>
      <c r="E17" s="9" t="inlineStr">
        <is>
          <t>스킬 이펙트가 불꽃에서 요리 불꽃으로 변경</t>
        </is>
      </c>
      <c r="F17" s="9" t="inlineStr">
        <is>
          <t>요리사 모자와 앞치마를 입은 대마법사. 지팡이 대신 국자를 들고 있다.</t>
        </is>
      </c>
      <c r="G17" s="9" t="inlineStr">
        <is>
          <t>업적</t>
        </is>
      </c>
    </row>
    <row r="18">
      <c r="A18" s="8" t="inlineStr">
        <is>
          <t>15</t>
        </is>
      </c>
      <c r="B18" s="8" t="inlineStr">
        <is>
          <t>정원사</t>
        </is>
      </c>
      <c r="C18" s="8" t="inlineStr">
        <is>
          <t>원소의왕</t>
        </is>
      </c>
      <c r="D18" s="8" t="inlineStr">
        <is>
          <t>정원 꽃 20종 재배 완료</t>
        </is>
      </c>
      <c r="E18" s="8" t="inlineStr">
        <is>
          <t>원소 스킬이 꽃/나무 이펙트로 변경</t>
        </is>
      </c>
      <c r="F18" s="8" t="inlineStr">
        <is>
          <t>꽃 화관과 정원사 앞치마. 원소 공격이 꽃잎과 덩굴로 변한다.</t>
        </is>
      </c>
      <c r="G18" s="8" t="inlineStr">
        <is>
          <t>업적</t>
        </is>
      </c>
    </row>
    <row r="19">
      <c r="A19" s="9" t="inlineStr">
        <is>
          <t>16</t>
        </is>
      </c>
      <c r="B19" s="9" t="inlineStr">
        <is>
          <t>차원정복자</t>
        </is>
      </c>
      <c r="C19" s="9" t="inlineStr">
        <is>
          <t>시간마법사</t>
        </is>
      </c>
      <c r="D19" s="9" t="inlineStr">
        <is>
          <t>차원 던전 전체 클리어</t>
        </is>
      </c>
      <c r="E19" s="9" t="inlineStr">
        <is>
          <t>시간 스킬에 차원균열 이펙트, 궁극기 시 다중차원 연출</t>
        </is>
      </c>
      <c r="F19" s="9" t="inlineStr">
        <is>
          <t>여러 차원의 조각이 뒤섞인 로브. 보는 각도마다 다른 세계가 비친다.</t>
        </is>
      </c>
      <c r="G19" s="9" t="inlineStr">
        <is>
          <t>업적</t>
        </is>
      </c>
    </row>
    <row r="20">
      <c r="A20" s="8" t="inlineStr">
        <is>
          <t>17</t>
        </is>
      </c>
      <c r="B20" s="8" t="inlineStr">
        <is>
          <t>천사갑옷</t>
        </is>
      </c>
      <c r="C20" s="8" t="inlineStr">
        <is>
          <t>수호천사</t>
        </is>
      </c>
      <c r="D20" s="8" t="inlineStr">
        <is>
          <t>상점 (300💎)</t>
        </is>
      </c>
      <c r="E20" s="8" t="inlineStr">
        <is>
          <t>실드가 황금 날개 모양, 힐에 천사 깃털</t>
        </is>
      </c>
      <c r="F20" s="8" t="inlineStr">
        <is>
          <t>순백+황금 풀플레이트 아머. 날개가 6장으로 늘어나고 후광이 빛난다.</t>
        </is>
      </c>
      <c r="G20" s="8" t="inlineStr">
        <is>
          <t>프리미엄</t>
        </is>
      </c>
    </row>
    <row r="21">
      <c r="A21" s="9" t="inlineStr">
        <is>
          <t>18</t>
        </is>
      </c>
      <c r="B21" s="9" t="inlineStr">
        <is>
          <t>어둠날개</t>
        </is>
      </c>
      <c r="C21" s="9" t="inlineStr">
        <is>
          <t>세라핌</t>
        </is>
      </c>
      <c r="D21" s="9" t="inlineStr">
        <is>
          <t>상점 (400💎)</t>
        </is>
      </c>
      <c r="E21" s="9" t="inlineStr">
        <is>
          <t>힐이 어둠 속성으로 변경(효과 동일), 궁극기 시 검은 날개</t>
        </is>
      </c>
      <c r="F21" s="9" t="inlineStr">
        <is>
          <t>타락한 세라핌 컨셉. 검은 날개와 보라빛 눈. 힐이 검은 빛이지만 아군은 따뜻하게 느낀다.</t>
        </is>
      </c>
      <c r="G21" s="9" t="inlineStr">
        <is>
          <t>프리미엄</t>
        </is>
      </c>
    </row>
    <row r="22">
      <c r="A22" s="8" t="inlineStr">
        <is>
          <t>19</t>
        </is>
      </c>
      <c r="B22" s="8" t="inlineStr">
        <is>
          <t>드래곤황제</t>
        </is>
      </c>
      <c r="C22" s="8" t="inlineStr">
        <is>
          <t>바하무트</t>
        </is>
      </c>
      <c r="D22" s="8" t="inlineStr">
        <is>
          <t>상점 (500💎)</t>
        </is>
      </c>
      <c r="E22" s="8" t="inlineStr">
        <is>
          <t>브레스가 7색 무지개, 궁극기 시 용의 옥좌 등장</t>
        </is>
      </c>
      <c r="F22" s="8" t="inlineStr">
        <is>
          <t>황금 왕관과 보석 박힌 비늘. 날개 끝에서 무지개빛이 흘러내린다.</t>
        </is>
      </c>
      <c r="G22" s="8" t="inlineStr">
        <is>
          <t>프리미엄</t>
        </is>
      </c>
    </row>
    <row r="23">
      <c r="A23" s="9" t="inlineStr">
        <is>
          <t>20</t>
        </is>
      </c>
      <c r="B23" s="9" t="inlineStr">
        <is>
          <t>원소갑옷</t>
        </is>
      </c>
      <c r="C23" s="9" t="inlineStr">
        <is>
          <t>원소의왕</t>
        </is>
      </c>
      <c r="D23" s="9" t="inlineStr">
        <is>
          <t>상점 (400💎)</t>
        </is>
      </c>
      <c r="E23" s="9" t="inlineStr">
        <is>
          <t>4원소가 동시에 회전, 스킬마다 다른 원소 갑옷으로 변신</t>
        </is>
      </c>
      <c r="F23" s="9" t="inlineStr">
        <is>
          <t>불/물/바람/땅 4원소가 갑옷 형태로 회전. 스킬 시 해당 원소 갑옷으로 변한다.</t>
        </is>
      </c>
      <c r="G23" s="9" t="inlineStr">
        <is>
          <t>프리미엄</t>
        </is>
      </c>
    </row>
    <row r="24">
      <c r="A24" s="8" t="inlineStr">
        <is>
          <t>21</t>
        </is>
      </c>
      <c r="B24" s="8" t="inlineStr">
        <is>
          <t>기계기사</t>
        </is>
      </c>
      <c r="C24" s="8" t="inlineStr">
        <is>
          <t>드래곤나이트</t>
        </is>
      </c>
      <c r="D24" s="8" t="inlineStr">
        <is>
          <t>상점 (350💎)</t>
        </is>
      </c>
      <c r="E24" s="8" t="inlineStr">
        <is>
          <t>스킬에 톱니바퀴+증기 이펙트, 창이 기계 드릴로 변경</t>
        </is>
      </c>
      <c r="F24" s="8" t="inlineStr">
        <is>
          <t>스팀펑크풍 기계 갑옷. 증기를 뿜으며 기계 날개로 비행한다.</t>
        </is>
      </c>
      <c r="G24" s="8" t="inlineStr">
        <is>
          <t>프리미엄</t>
        </is>
      </c>
    </row>
    <row r="25">
      <c r="A25" s="9" t="inlineStr">
        <is>
          <t>22</t>
        </is>
      </c>
      <c r="B25" s="9" t="inlineStr">
        <is>
          <t>네온닌자</t>
        </is>
      </c>
      <c r="C25" s="9" t="inlineStr">
        <is>
          <t>암살자</t>
        </is>
      </c>
      <c r="D25" s="9" t="inlineStr">
        <is>
          <t>상점 (350💎)</t>
        </is>
      </c>
      <c r="E25" s="9" t="inlineStr">
        <is>
          <t>스킬에 네온 잔상, 은신 시 네온라인만 보임</t>
        </is>
      </c>
      <c r="F25" s="9" t="inlineStr">
        <is>
          <t>사이버펑크풍 닌자복. 온몸에 네온 라인이 흐르고 잔상이 남는다.</t>
        </is>
      </c>
      <c r="G25" s="9" t="inlineStr">
        <is>
          <t>프리미엄</t>
        </is>
      </c>
    </row>
    <row r="26">
      <c r="A26" s="8" t="inlineStr">
        <is>
          <t>23</t>
        </is>
      </c>
      <c r="B26" s="8" t="inlineStr">
        <is>
          <t>황금전사</t>
        </is>
      </c>
      <c r="C26" s="8" t="inlineStr">
        <is>
          <t>전쟁의신</t>
        </is>
      </c>
      <c r="D26" s="8" t="inlineStr">
        <is>
          <t>상점 (400💎)</t>
        </is>
      </c>
      <c r="E26" s="8" t="inlineStr">
        <is>
          <t>스킬에 황금 이펙트, 궁극기 시 황금 거인 소환</t>
        </is>
      </c>
      <c r="F26" s="8" t="inlineStr">
        <is>
          <t>순금 갑옷과 황금 무기. 눈부신 광채에 적이 잠시 실명한다(연출).</t>
        </is>
      </c>
      <c r="G26" s="8" t="inlineStr">
        <is>
          <t>프리미엄</t>
        </is>
      </c>
    </row>
    <row r="27">
      <c r="A27" s="9" t="inlineStr">
        <is>
          <t>24</t>
        </is>
      </c>
      <c r="B27" s="9" t="inlineStr">
        <is>
          <t>은하마법사</t>
        </is>
      </c>
      <c r="C27" s="9" t="inlineStr">
        <is>
          <t>대마법사</t>
        </is>
      </c>
      <c r="D27" s="9" t="inlineStr">
        <is>
          <t>상점 (300💎)</t>
        </is>
      </c>
      <c r="E27" s="9" t="inlineStr">
        <is>
          <t>스킬이 별/은하 이펙트, 궁극기 시 은하수 소환</t>
        </is>
      </c>
      <c r="F27" s="9" t="inlineStr">
        <is>
          <t>밤하늘 로브에 별자리가 반짝인다. 지팡이 끝에 작은 은하가 돌고 있다.</t>
        </is>
      </c>
      <c r="G27" s="9" t="inlineStr">
        <is>
          <t>프리미엄</t>
        </is>
      </c>
    </row>
    <row r="28">
      <c r="A28" s="8" t="inlineStr">
        <is>
          <t>25</t>
        </is>
      </c>
      <c r="B28" s="8" t="inlineStr">
        <is>
          <t>1주년기념</t>
        </is>
      </c>
      <c r="C28" s="8" t="inlineStr">
        <is>
          <t>전 용병 공용</t>
        </is>
      </c>
      <c r="D28" s="8" t="inlineStr">
        <is>
          <t>1주년 이벤트 참여</t>
        </is>
      </c>
      <c r="E28" s="8" t="inlineStr">
        <is>
          <t>모든 스킬에 축하 폭죽 이펙트 추가</t>
        </is>
      </c>
      <c r="F28" s="8" t="inlineStr">
        <is>
          <t>1주년 로고가 새겨진 금빛 망토. 스킬 사용 시 축하 폭죽이 터진다.</t>
        </is>
      </c>
      <c r="G28" s="8" t="inlineStr">
        <is>
          <t>이벤트</t>
        </is>
      </c>
    </row>
    <row r="29">
      <c r="A29" s="9" t="inlineStr">
        <is>
          <t>26</t>
        </is>
      </c>
      <c r="B29" s="9" t="inlineStr">
        <is>
          <t>서버1위</t>
        </is>
      </c>
      <c r="C29" s="9" t="inlineStr">
        <is>
          <t>전 용병 공용</t>
        </is>
      </c>
      <c r="D29" s="9" t="inlineStr">
        <is>
          <t>시즌 종료 시 서버 1위</t>
        </is>
      </c>
      <c r="E29" s="9" t="inlineStr">
        <is>
          <t>모든 스킬에 왕관 이펙트, 입장 시 레드카펫 연출</t>
        </is>
      </c>
      <c r="F29" s="9" t="inlineStr">
        <is>
          <t>보석 박힌 왕관과 황제의 망토. 전장 입장 시 레드카펫이 깔린다.</t>
        </is>
      </c>
      <c r="G29" s="9" t="inlineStr">
        <is>
          <t>이벤트</t>
        </is>
      </c>
    </row>
    <row r="30">
      <c r="A30" s="8" t="inlineStr">
        <is>
          <t>27</t>
        </is>
      </c>
      <c r="B30" s="8" t="inlineStr">
        <is>
          <t>혈맹왕</t>
        </is>
      </c>
      <c r="C30" s="8" t="inlineStr">
        <is>
          <t>전 용병 공용</t>
        </is>
      </c>
      <c r="D30" s="8" t="inlineStr">
        <is>
          <t>혈맹 레벨 MAX 달성</t>
        </is>
      </c>
      <c r="E30" s="8" t="inlineStr">
        <is>
          <t>스킬에 혈맹 문장 이펙트</t>
        </is>
      </c>
      <c r="F30" s="8" t="inlineStr">
        <is>
          <t>혈맹 문장이 새겨진 전용 갑옷. 동일 혈맹원 근처에서 문장이 빛난다.</t>
        </is>
      </c>
      <c r="G30" s="8" t="inlineStr">
        <is>
          <t>이벤트</t>
        </is>
      </c>
    </row>
    <row r="31">
      <c r="A31" s="9" t="inlineStr">
        <is>
          <t>28</t>
        </is>
      </c>
      <c r="B31" s="9" t="inlineStr">
        <is>
          <t>첫결제감사</t>
        </is>
      </c>
      <c r="C31" s="9" t="inlineStr">
        <is>
          <t>전 용병 공용</t>
        </is>
      </c>
      <c r="D31" s="9" t="inlineStr">
        <is>
          <t>첫 결제 보너스</t>
        </is>
      </c>
      <c r="E31" s="9" t="inlineStr">
        <is>
          <t>스킬에 반짝이 이펙트 추가</t>
        </is>
      </c>
      <c r="F31" s="9" t="inlineStr">
        <is>
          <t>감사 리본이 달린 선물 상자 갑옷. 소박하지만 정성이 담겼다.</t>
        </is>
      </c>
      <c r="G31" s="9" t="inlineStr">
        <is>
          <t>이벤트</t>
        </is>
      </c>
    </row>
    <row r="32">
      <c r="A32" s="8" t="inlineStr">
        <is>
          <t>29</t>
        </is>
      </c>
      <c r="B32" s="8" t="inlineStr">
        <is>
          <t>복귀환영</t>
        </is>
      </c>
      <c r="C32" s="8" t="inlineStr">
        <is>
          <t>전 용병 공용</t>
        </is>
      </c>
      <c r="D32" s="8" t="inlineStr">
        <is>
          <t>30일 미접속 후 복귀</t>
        </is>
      </c>
      <c r="E32" s="8" t="inlineStr">
        <is>
          <t>스킬에 환영 꽃가루 이펙트</t>
        </is>
      </c>
      <c r="F32" s="8" t="inlineStr">
        <is>
          <t>꽃다발과 환영 배너가 달린 갑옷. 복귀를 축하하는 NPC들의 메시지가 적혀있다.</t>
        </is>
      </c>
      <c r="G32" s="8" t="inlineStr">
        <is>
          <t>이벤트</t>
        </is>
      </c>
    </row>
    <row r="33">
      <c r="A33" s="9" t="inlineStr">
        <is>
          <t>30</t>
        </is>
      </c>
      <c r="B33" s="9" t="inlineStr">
        <is>
          <t>친구초대</t>
        </is>
      </c>
      <c r="C33" s="9" t="inlineStr">
        <is>
          <t>전 용병 공용</t>
        </is>
      </c>
      <c r="D33" s="9" t="inlineStr">
        <is>
          <t>친구 5명 초대 달성</t>
        </is>
      </c>
      <c r="E33" s="9" t="inlineStr">
        <is>
          <t>스킬에 하이파이브 이펙트</t>
        </is>
      </c>
      <c r="F33" s="9" t="inlineStr">
        <is>
          <t>두 손을 맞잡은 문양의 갑옷. 초대한 친구 수만큼 별이 빛난다.</t>
        </is>
      </c>
      <c r="G33" s="9" t="inlineStr">
        <is>
          <t>이벤트</t>
        </is>
      </c>
    </row>
  </sheetData>
  <mergeCells count="1">
    <mergeCell ref="A1:G1"/>
  </mergeCell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8" customWidth="1" min="1" max="1"/>
    <col width="22" customWidth="1" min="2" max="2"/>
    <col width="18" customWidth="1" min="3" max="3"/>
    <col width="22" customWidth="1" min="4" max="4"/>
    <col width="45" customWidth="1" min="5" max="5"/>
    <col width="12" customWidth="1" min="6" max="6"/>
  </cols>
  <sheetData>
    <row r="1">
      <c r="A1" s="6" t="inlineStr">
        <is>
          <t>서버 운영 체크리스트 25항목 — 매일/매주/매월/분기</t>
        </is>
      </c>
    </row>
    <row r="3">
      <c r="A3" s="7" t="inlineStr">
        <is>
          <t>주기</t>
        </is>
      </c>
      <c r="B3" s="7" t="inlineStr">
        <is>
          <t>체크 항목</t>
        </is>
      </c>
      <c r="C3" s="7" t="inlineStr">
        <is>
          <t>담당</t>
        </is>
      </c>
      <c r="D3" s="7" t="inlineStr">
        <is>
          <t>자동/수동</t>
        </is>
      </c>
      <c r="E3" s="7" t="inlineStr">
        <is>
          <t>조치 내용</t>
        </is>
      </c>
      <c r="F3" s="7" t="inlineStr">
        <is>
          <t>우선순위</t>
        </is>
      </c>
    </row>
    <row r="4">
      <c r="A4" s="8" t="inlineStr">
        <is>
          <t>매일</t>
        </is>
      </c>
      <c r="B4" s="8" t="inlineStr">
        <is>
          <t>서버 상태 확인</t>
        </is>
      </c>
      <c r="C4" s="8" t="inlineStr">
        <is>
          <t>서버 엔지니어</t>
        </is>
      </c>
      <c r="D4" s="8" t="inlineStr">
        <is>
          <t>자동 (모니터링 대시보드)</t>
        </is>
      </c>
      <c r="E4" s="8" t="inlineStr">
        <is>
          <t>CPU/메모리/디스크 사용률 확인, 임계값 초과 시 즉시 스케일링</t>
        </is>
      </c>
      <c r="F4" s="8" t="inlineStr">
        <is>
          <t>🔴 최우선</t>
        </is>
      </c>
    </row>
    <row r="5">
      <c r="A5" s="9" t="inlineStr">
        <is>
          <t>매일</t>
        </is>
      </c>
      <c r="B5" s="9" t="inlineStr">
        <is>
          <t>골드 인플레이션 체크</t>
        </is>
      </c>
      <c r="C5" s="9" t="inlineStr">
        <is>
          <t>기획자</t>
        </is>
      </c>
      <c r="D5" s="9" t="inlineStr">
        <is>
          <t>자동 (경제 대시보드)</t>
        </is>
      </c>
      <c r="E5" s="9" t="inlineStr">
        <is>
          <t>일일 골드 생성/소멸량 비교, 인플레율 5% 초과 시 긴급 패치</t>
        </is>
      </c>
      <c r="F5" s="9" t="inlineStr">
        <is>
          <t>🔴 최우선</t>
        </is>
      </c>
    </row>
    <row r="6">
      <c r="A6" s="8" t="inlineStr">
        <is>
          <t>매일</t>
        </is>
      </c>
      <c r="B6" s="8" t="inlineStr">
        <is>
          <t>버그 리포트 확인</t>
        </is>
      </c>
      <c r="C6" s="8" t="inlineStr">
        <is>
          <t>QA팀</t>
        </is>
      </c>
      <c r="D6" s="8" t="inlineStr">
        <is>
          <t>수동</t>
        </is>
      </c>
      <c r="E6" s="8" t="inlineStr">
        <is>
          <t>신규 버그 분류(치명적/높음/보통/낮음), 치명적 즉시 핫픽스</t>
        </is>
      </c>
      <c r="F6" s="8" t="inlineStr">
        <is>
          <t>🔴 최우선</t>
        </is>
      </c>
    </row>
    <row r="7">
      <c r="A7" s="9" t="inlineStr">
        <is>
          <t>매일</t>
        </is>
      </c>
      <c r="B7" s="9" t="inlineStr">
        <is>
          <t>이벤트 정상 동작 확인</t>
        </is>
      </c>
      <c r="C7" s="9" t="inlineStr">
        <is>
          <t>운영팀</t>
        </is>
      </c>
      <c r="D7" s="9" t="inlineStr">
        <is>
          <t>수동</t>
        </is>
      </c>
      <c r="E7" s="9" t="inlineStr">
        <is>
          <t>진행 중 이벤트 보상 지급/조건 달성 여부 테스트</t>
        </is>
      </c>
      <c r="F7" s="9" t="inlineStr">
        <is>
          <t>🟠 높음</t>
        </is>
      </c>
    </row>
    <row r="8">
      <c r="A8" s="8" t="inlineStr">
        <is>
          <t>매일</t>
        </is>
      </c>
      <c r="B8" s="8" t="inlineStr">
        <is>
          <t>가챠 확률 검증</t>
        </is>
      </c>
      <c r="C8" s="8" t="inlineStr">
        <is>
          <t>기획자</t>
        </is>
      </c>
      <c r="D8" s="8" t="inlineStr">
        <is>
          <t>자동 (로그 분석)</t>
        </is>
      </c>
      <c r="E8" s="8" t="inlineStr">
        <is>
          <t>실제 드롭률과 공시 확률 비교, 1% 이상 편차 시 원인 파악</t>
        </is>
      </c>
      <c r="F8" s="8" t="inlineStr">
        <is>
          <t>🟠 높음</t>
        </is>
      </c>
    </row>
    <row r="9">
      <c r="A9" s="9" t="inlineStr">
        <is>
          <t>매일</t>
        </is>
      </c>
      <c r="B9" s="9" t="inlineStr">
        <is>
          <t>동접수 모니터링</t>
        </is>
      </c>
      <c r="C9" s="9" t="inlineStr">
        <is>
          <t>서버 엔지니어</t>
        </is>
      </c>
      <c r="D9" s="9" t="inlineStr">
        <is>
          <t>자동 (실시간 대시보드)</t>
        </is>
      </c>
      <c r="E9" s="9" t="inlineStr">
        <is>
          <t>피크 동접 기록, 전일 대비 급감 시 원인 분석</t>
        </is>
      </c>
      <c r="F9" s="9" t="inlineStr">
        <is>
          <t>🟠 높음</t>
        </is>
      </c>
    </row>
    <row r="10">
      <c r="A10" s="8" t="inlineStr">
        <is>
          <t>매일</t>
        </is>
      </c>
      <c r="B10" s="8" t="inlineStr">
        <is>
          <t>채팅 로그 검수</t>
        </is>
      </c>
      <c r="C10" s="8" t="inlineStr">
        <is>
          <t>운영팀</t>
        </is>
      </c>
      <c r="D10" s="8" t="inlineStr">
        <is>
          <t>자동+수동 (필터+수동확인)</t>
        </is>
      </c>
      <c r="E10" s="8" t="inlineStr">
        <is>
          <t>욕설/사기/광고 필터링, 신고 접수 건 확인 및 제재</t>
        </is>
      </c>
      <c r="F10" s="8" t="inlineStr">
        <is>
          <t>🟡 보통</t>
        </is>
      </c>
    </row>
    <row r="11">
      <c r="A11" s="9" t="inlineStr">
        <is>
          <t>매일</t>
        </is>
      </c>
      <c r="B11" s="9" t="inlineStr">
        <is>
          <t>백업 확인</t>
        </is>
      </c>
      <c r="C11" s="9" t="inlineStr">
        <is>
          <t>서버 엔지니어</t>
        </is>
      </c>
      <c r="D11" s="9" t="inlineStr">
        <is>
          <t>자동 (스케줄 백업)</t>
        </is>
      </c>
      <c r="E11" s="9" t="inlineStr">
        <is>
          <t>일일 DB 백업 완료 여부 확인, 복원 테스트 주 1회 실시</t>
        </is>
      </c>
      <c r="F11" s="9" t="inlineStr">
        <is>
          <t>🔴 최우선</t>
        </is>
      </c>
    </row>
    <row r="12">
      <c r="A12" s="8" t="inlineStr">
        <is>
          <t>매주</t>
        </is>
      </c>
      <c r="B12" s="8" t="inlineStr">
        <is>
          <t>밸런스 패치 검토</t>
        </is>
      </c>
      <c r="C12" s="8" t="inlineStr">
        <is>
          <t>기획자</t>
        </is>
      </c>
      <c r="D12" s="8" t="inlineStr">
        <is>
          <t>수동</t>
        </is>
      </c>
      <c r="E12" s="8" t="inlineStr">
        <is>
          <t>주간 승률/픽률 데이터 기반 밸런스 조정안 작성</t>
        </is>
      </c>
      <c r="F12" s="8" t="inlineStr">
        <is>
          <t>🟠 높음</t>
        </is>
      </c>
    </row>
    <row r="13">
      <c r="A13" s="9" t="inlineStr">
        <is>
          <t>매주</t>
        </is>
      </c>
      <c r="B13" s="9" t="inlineStr">
        <is>
          <t>시즌 이벤트 준비</t>
        </is>
      </c>
      <c r="C13" s="9" t="inlineStr">
        <is>
          <t>운영팀</t>
        </is>
      </c>
      <c r="D13" s="9" t="inlineStr">
        <is>
          <t>수동</t>
        </is>
      </c>
      <c r="E13" s="9" t="inlineStr">
        <is>
          <t>다음 주 이벤트 콘텐츠 준비, 보상 설정, QA 테스트</t>
        </is>
      </c>
      <c r="F13" s="9" t="inlineStr">
        <is>
          <t>🟠 높음</t>
        </is>
      </c>
    </row>
    <row r="14">
      <c r="A14" s="8" t="inlineStr">
        <is>
          <t>매주</t>
        </is>
      </c>
      <c r="B14" s="8" t="inlineStr">
        <is>
          <t>커뮤니티 피드백 정리</t>
        </is>
      </c>
      <c r="C14" s="8" t="inlineStr">
        <is>
          <t>운영팀</t>
        </is>
      </c>
      <c r="D14" s="8" t="inlineStr">
        <is>
          <t>수동</t>
        </is>
      </c>
      <c r="E14" s="8" t="inlineStr">
        <is>
          <t>공식 카페/디스코드/인게임 건의 수집 → 기획팀 전달</t>
        </is>
      </c>
      <c r="F14" s="8" t="inlineStr">
        <is>
          <t>🟡 보통</t>
        </is>
      </c>
    </row>
    <row r="15">
      <c r="A15" s="9" t="inlineStr">
        <is>
          <t>매주</t>
        </is>
      </c>
      <c r="B15" s="9" t="inlineStr">
        <is>
          <t>신규 콘텐츠 QA</t>
        </is>
      </c>
      <c r="C15" s="9" t="inlineStr">
        <is>
          <t>QA팀</t>
        </is>
      </c>
      <c r="D15" s="9" t="inlineStr">
        <is>
          <t>수동</t>
        </is>
      </c>
      <c r="E15" s="9" t="inlineStr">
        <is>
          <t>개발 중인 콘텐츠 테스트, 버그 리포트 작성</t>
        </is>
      </c>
      <c r="F15" s="9" t="inlineStr">
        <is>
          <t>🟠 높음</t>
        </is>
      </c>
    </row>
    <row r="16">
      <c r="A16" s="8" t="inlineStr">
        <is>
          <t>매주</t>
        </is>
      </c>
      <c r="B16" s="8" t="inlineStr">
        <is>
          <t>경제 지표 분석</t>
        </is>
      </c>
      <c r="C16" s="8" t="inlineStr">
        <is>
          <t>기획자</t>
        </is>
      </c>
      <c r="D16" s="8" t="inlineStr">
        <is>
          <t>자동+수동</t>
        </is>
      </c>
      <c r="E16" s="8" t="inlineStr">
        <is>
          <t>주간 재화 흐름 분석, 골드싱크/소스 밸런스 확인</t>
        </is>
      </c>
      <c r="F16" s="8" t="inlineStr">
        <is>
          <t>🟠 높음</t>
        </is>
      </c>
    </row>
    <row r="17">
      <c r="A17" s="9" t="inlineStr">
        <is>
          <t>매주</t>
        </is>
      </c>
      <c r="B17" s="9" t="inlineStr">
        <is>
          <t>PvP 밸런스 리포트</t>
        </is>
      </c>
      <c r="C17" s="9" t="inlineStr">
        <is>
          <t>기획자</t>
        </is>
      </c>
      <c r="D17" s="9" t="inlineStr">
        <is>
          <t>자동 (데이터 추출)</t>
        </is>
      </c>
      <c r="E17" s="9" t="inlineStr">
        <is>
          <t>주간 PvP 용병별 승률/밴률/픽률 리포트 생성</t>
        </is>
      </c>
      <c r="F17" s="9" t="inlineStr">
        <is>
          <t>🟡 보통</t>
        </is>
      </c>
    </row>
    <row r="18">
      <c r="A18" s="8" t="inlineStr">
        <is>
          <t>매주</t>
        </is>
      </c>
      <c r="B18" s="8" t="inlineStr">
        <is>
          <t>서버 성능 최적화</t>
        </is>
      </c>
      <c r="C18" s="8" t="inlineStr">
        <is>
          <t>서버 엔지니어</t>
        </is>
      </c>
      <c r="D18" s="8" t="inlineStr">
        <is>
          <t>수동</t>
        </is>
      </c>
      <c r="E18" s="8" t="inlineStr">
        <is>
          <t>슬로우 쿼리 분석, 캐시 적중률 확인, 병목 구간 최적화</t>
        </is>
      </c>
      <c r="F18" s="8" t="inlineStr">
        <is>
          <t>🟡 보통</t>
        </is>
      </c>
    </row>
    <row r="19">
      <c r="A19" s="9" t="inlineStr">
        <is>
          <t>매주</t>
        </is>
      </c>
      <c r="B19" s="9" t="inlineStr">
        <is>
          <t>비정상 유저 감지</t>
        </is>
      </c>
      <c r="C19" s="9" t="inlineStr">
        <is>
          <t>운영팀</t>
        </is>
      </c>
      <c r="D19" s="9" t="inlineStr">
        <is>
          <t>자동+수동</t>
        </is>
      </c>
      <c r="E19" s="9" t="inlineStr">
        <is>
          <t>매크로/핵/어뷰징 의심 유저 탐지 및 제재 심사</t>
        </is>
      </c>
      <c r="F19" s="9" t="inlineStr">
        <is>
          <t>🔴 최우선</t>
        </is>
      </c>
    </row>
    <row r="20">
      <c r="A20" s="8" t="inlineStr">
        <is>
          <t>매월</t>
        </is>
      </c>
      <c r="B20" s="8" t="inlineStr">
        <is>
          <t>매출 분석</t>
        </is>
      </c>
      <c r="C20" s="8" t="inlineStr">
        <is>
          <t>사업팀</t>
        </is>
      </c>
      <c r="D20" s="8" t="inlineStr">
        <is>
          <t>수동</t>
        </is>
      </c>
      <c r="E20" s="8" t="inlineStr">
        <is>
          <t>월간 매출 리포트 작성, 과금 포인트별 분석, 다음 달 목표 설정</t>
        </is>
      </c>
      <c r="F20" s="8" t="inlineStr">
        <is>
          <t>🟠 높음</t>
        </is>
      </c>
    </row>
    <row r="21">
      <c r="A21" s="9" t="inlineStr">
        <is>
          <t>매월</t>
        </is>
      </c>
      <c r="B21" s="9" t="inlineStr">
        <is>
          <t>리텐션 분석</t>
        </is>
      </c>
      <c r="C21" s="9" t="inlineStr">
        <is>
          <t>기획자</t>
        </is>
      </c>
      <c r="D21" s="9" t="inlineStr">
        <is>
          <t>자동+수동</t>
        </is>
      </c>
      <c r="E21" s="9" t="inlineStr">
        <is>
          <t>D1/D7/D30 리텐션 추이 분석, 이탈 구간 파악</t>
        </is>
      </c>
      <c r="F21" s="9" t="inlineStr">
        <is>
          <t>🟠 높음</t>
        </is>
      </c>
    </row>
    <row r="22">
      <c r="A22" s="8" t="inlineStr">
        <is>
          <t>매월</t>
        </is>
      </c>
      <c r="B22" s="8" t="inlineStr">
        <is>
          <t>콘텐츠 로드맵 리뷰</t>
        </is>
      </c>
      <c r="C22" s="8" t="inlineStr">
        <is>
          <t>기획팀 전체</t>
        </is>
      </c>
      <c r="D22" s="8" t="inlineStr">
        <is>
          <t>수동</t>
        </is>
      </c>
      <c r="E22" s="8" t="inlineStr">
        <is>
          <t>월간 개발 진행률 확인, 로드맵 조정, 우선순위 재배치</t>
        </is>
      </c>
      <c r="F22" s="8" t="inlineStr">
        <is>
          <t>🟡 보통</t>
        </is>
      </c>
    </row>
    <row r="23">
      <c r="A23" s="9" t="inlineStr">
        <is>
          <t>매월</t>
        </is>
      </c>
      <c r="B23" s="9" t="inlineStr">
        <is>
          <t>시즌 전환 준비</t>
        </is>
      </c>
      <c r="C23" s="9" t="inlineStr">
        <is>
          <t>운영팀+기획팀</t>
        </is>
      </c>
      <c r="D23" s="9" t="inlineStr">
        <is>
          <t>수동</t>
        </is>
      </c>
      <c r="E23" s="9" t="inlineStr">
        <is>
          <t>다음 시즌 콘텐츠/보상/밸런스 최종 확인, 공지 준비</t>
        </is>
      </c>
      <c r="F23" s="9" t="inlineStr">
        <is>
          <t>🟠 높음</t>
        </is>
      </c>
    </row>
    <row r="24">
      <c r="A24" s="8" t="inlineStr">
        <is>
          <t>매월</t>
        </is>
      </c>
      <c r="B24" s="8" t="inlineStr">
        <is>
          <t>대규모 업데이트</t>
        </is>
      </c>
      <c r="C24" s="8" t="inlineStr">
        <is>
          <t>개발팀 전체</t>
        </is>
      </c>
      <c r="D24" s="8" t="inlineStr">
        <is>
          <t>수동</t>
        </is>
      </c>
      <c r="E24" s="8" t="inlineStr">
        <is>
          <t>월간 업데이트 배포, 점검 일정 공지, 롤백 계획 수립</t>
        </is>
      </c>
      <c r="F24" s="8" t="inlineStr">
        <is>
          <t>🔴 최우선</t>
        </is>
      </c>
    </row>
    <row r="25">
      <c r="A25" s="9" t="inlineStr">
        <is>
          <t>분기</t>
        </is>
      </c>
      <c r="B25" s="9" t="inlineStr">
        <is>
          <t>KPI 리뷰</t>
        </is>
      </c>
      <c r="C25" s="9" t="inlineStr">
        <is>
          <t>경영진+기획팀</t>
        </is>
      </c>
      <c r="D25" s="9" t="inlineStr">
        <is>
          <t>수동</t>
        </is>
      </c>
      <c r="E25" s="9" t="inlineStr">
        <is>
          <t>DAU/MAU/ARPU/ARPPU 분기 리뷰, 목표 대비 달성률 분석</t>
        </is>
      </c>
      <c r="F25" s="9" t="inlineStr">
        <is>
          <t>🔴 최우선</t>
        </is>
      </c>
    </row>
    <row r="26">
      <c r="A26" s="8" t="inlineStr">
        <is>
          <t>분기</t>
        </is>
      </c>
      <c r="B26" s="8" t="inlineStr">
        <is>
          <t>경쟁작 분석</t>
        </is>
      </c>
      <c r="C26" s="8" t="inlineStr">
        <is>
          <t>기획팀</t>
        </is>
      </c>
      <c r="D26" s="8" t="inlineStr">
        <is>
          <t>수동</t>
        </is>
      </c>
      <c r="E26" s="8" t="inlineStr">
        <is>
          <t>경쟁 게임 업데이트/매출/유저 반응 분석, 벤치마킹 포인트 도출</t>
        </is>
      </c>
      <c r="F26" s="8" t="inlineStr">
        <is>
          <t>🟡 보통</t>
        </is>
      </c>
    </row>
    <row r="27">
      <c r="A27" s="9" t="inlineStr">
        <is>
          <t>분기</t>
        </is>
      </c>
      <c r="B27" s="9" t="inlineStr">
        <is>
          <t>장기 로드맵 수정</t>
        </is>
      </c>
      <c r="C27" s="9" t="inlineStr">
        <is>
          <t>기획팀+경영진</t>
        </is>
      </c>
      <c r="D27" s="9" t="inlineStr">
        <is>
          <t>수동</t>
        </is>
      </c>
      <c r="E27" s="9" t="inlineStr">
        <is>
          <t>6개월~1년 로드맵 재검토, 시장 변화 반영, 방향성 조정</t>
        </is>
      </c>
      <c r="F27" s="9" t="inlineStr">
        <is>
          <t>🟠 높음</t>
        </is>
      </c>
    </row>
    <row r="28">
      <c r="A28" s="8" t="inlineStr">
        <is>
          <t>분기</t>
        </is>
      </c>
      <c r="B28" s="8" t="inlineStr">
        <is>
          <t>인프라 확장 검토</t>
        </is>
      </c>
      <c r="C28" s="8" t="inlineStr">
        <is>
          <t>서버 엔지니어+경영진</t>
        </is>
      </c>
      <c r="D28" s="8" t="inlineStr">
        <is>
          <t>수동</t>
        </is>
      </c>
      <c r="E28" s="8" t="inlineStr">
        <is>
          <t>유저 성장 추세 기반 서버 증설/CDN 확장/DB 샤딩 검토</t>
        </is>
      </c>
      <c r="F28" s="8" t="inlineStr">
        <is>
          <t>🟠 높음</t>
        </is>
      </c>
    </row>
  </sheetData>
  <mergeCells count="1">
    <mergeCell ref="A1:F1"/>
  </mergeCell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 width="28" customWidth="1" min="5" max="5"/>
    <col width="12" customWidth="1" min="6" max="6"/>
    <col width="28" customWidth="1" min="7" max="7"/>
    <col width="18" customWidth="1" min="8" max="8"/>
  </cols>
  <sheetData>
    <row r="1">
      <c r="A1" s="6" t="inlineStr">
        <is>
          <t>용병 대회 토너먼트 브래킷 — 16인 싱글엘리미네이션</t>
        </is>
      </c>
    </row>
    <row r="3">
      <c r="A3" s="7" t="inlineStr">
        <is>
          <t>라운드</t>
        </is>
      </c>
      <c r="B3" s="7" t="inlineStr">
        <is>
          <t>매치</t>
        </is>
      </c>
      <c r="C3" s="7" t="inlineStr">
        <is>
          <t>참가자 A</t>
        </is>
      </c>
      <c r="D3" s="7" t="inlineStr">
        <is>
          <t>참가자 B</t>
        </is>
      </c>
      <c r="E3" s="7" t="inlineStr">
        <is>
          <t>규칙</t>
        </is>
      </c>
      <c r="F3" s="7" t="inlineStr">
        <is>
          <t>시간</t>
        </is>
      </c>
      <c r="G3" s="7" t="inlineStr">
        <is>
          <t>보상(승자)</t>
        </is>
      </c>
      <c r="H3" s="7" t="inlineStr">
        <is>
          <t>보상(패자)</t>
        </is>
      </c>
    </row>
    <row r="4">
      <c r="A4" s="8" t="inlineStr">
        <is>
          <t>16강</t>
        </is>
      </c>
      <c r="B4" s="8" t="inlineStr">
        <is>
          <t>매치 1</t>
        </is>
      </c>
      <c r="C4" s="8" t="inlineStr">
        <is>
          <t>시드 #1</t>
        </is>
      </c>
      <c r="D4" s="8" t="inlineStr">
        <is>
          <t>시드 #16</t>
        </is>
      </c>
      <c r="E4" s="8" t="inlineStr">
        <is>
          <t>랜덤 시드 배정, 자동 전투</t>
        </is>
      </c>
      <c r="F4" s="8" t="inlineStr">
        <is>
          <t>2분</t>
        </is>
      </c>
      <c r="G4" s="8" t="inlineStr">
        <is>
          <t>3,000G</t>
        </is>
      </c>
      <c r="H4" s="8" t="inlineStr">
        <is>
          <t>1,000G</t>
        </is>
      </c>
    </row>
    <row r="5">
      <c r="A5" s="9" t="inlineStr">
        <is>
          <t>16강</t>
        </is>
      </c>
      <c r="B5" s="9" t="inlineStr">
        <is>
          <t>매치 2</t>
        </is>
      </c>
      <c r="C5" s="9" t="inlineStr">
        <is>
          <t>시드 #2</t>
        </is>
      </c>
      <c r="D5" s="9" t="inlineStr">
        <is>
          <t>시드 #15</t>
        </is>
      </c>
      <c r="E5" s="9" t="inlineStr">
        <is>
          <t>랜덤 시드 배정, 자동 전투</t>
        </is>
      </c>
      <c r="F5" s="9" t="inlineStr">
        <is>
          <t>2분</t>
        </is>
      </c>
      <c r="G5" s="9" t="inlineStr">
        <is>
          <t>3,000G</t>
        </is>
      </c>
      <c r="H5" s="9" t="inlineStr">
        <is>
          <t>1,000G</t>
        </is>
      </c>
    </row>
    <row r="6">
      <c r="A6" s="8" t="inlineStr">
        <is>
          <t>16강</t>
        </is>
      </c>
      <c r="B6" s="8" t="inlineStr">
        <is>
          <t>매치 3</t>
        </is>
      </c>
      <c r="C6" s="8" t="inlineStr">
        <is>
          <t>시드 #3</t>
        </is>
      </c>
      <c r="D6" s="8" t="inlineStr">
        <is>
          <t>시드 #14</t>
        </is>
      </c>
      <c r="E6" s="8" t="inlineStr">
        <is>
          <t>랜덤 시드 배정, 자동 전투</t>
        </is>
      </c>
      <c r="F6" s="8" t="inlineStr">
        <is>
          <t>2분</t>
        </is>
      </c>
      <c r="G6" s="8" t="inlineStr">
        <is>
          <t>3,000G</t>
        </is>
      </c>
      <c r="H6" s="8" t="inlineStr">
        <is>
          <t>1,000G</t>
        </is>
      </c>
    </row>
    <row r="7">
      <c r="A7" s="9" t="inlineStr">
        <is>
          <t>16강</t>
        </is>
      </c>
      <c r="B7" s="9" t="inlineStr">
        <is>
          <t>매치 4</t>
        </is>
      </c>
      <c r="C7" s="9" t="inlineStr">
        <is>
          <t>시드 #4</t>
        </is>
      </c>
      <c r="D7" s="9" t="inlineStr">
        <is>
          <t>시드 #13</t>
        </is>
      </c>
      <c r="E7" s="9" t="inlineStr">
        <is>
          <t>랜덤 시드 배정, 자동 전투</t>
        </is>
      </c>
      <c r="F7" s="9" t="inlineStr">
        <is>
          <t>2분</t>
        </is>
      </c>
      <c r="G7" s="9" t="inlineStr">
        <is>
          <t>3,000G</t>
        </is>
      </c>
      <c r="H7" s="9" t="inlineStr">
        <is>
          <t>1,000G</t>
        </is>
      </c>
    </row>
    <row r="8">
      <c r="A8" s="8" t="inlineStr">
        <is>
          <t>16강</t>
        </is>
      </c>
      <c r="B8" s="8" t="inlineStr">
        <is>
          <t>매치 5</t>
        </is>
      </c>
      <c r="C8" s="8" t="inlineStr">
        <is>
          <t>시드 #5</t>
        </is>
      </c>
      <c r="D8" s="8" t="inlineStr">
        <is>
          <t>시드 #12</t>
        </is>
      </c>
      <c r="E8" s="8" t="inlineStr">
        <is>
          <t>랜덤 시드 배정, 자동 전투</t>
        </is>
      </c>
      <c r="F8" s="8" t="inlineStr">
        <is>
          <t>2분</t>
        </is>
      </c>
      <c r="G8" s="8" t="inlineStr">
        <is>
          <t>3,000G</t>
        </is>
      </c>
      <c r="H8" s="8" t="inlineStr">
        <is>
          <t>1,000G</t>
        </is>
      </c>
    </row>
    <row r="9">
      <c r="A9" s="9" t="inlineStr">
        <is>
          <t>16강</t>
        </is>
      </c>
      <c r="B9" s="9" t="inlineStr">
        <is>
          <t>매치 6</t>
        </is>
      </c>
      <c r="C9" s="9" t="inlineStr">
        <is>
          <t>시드 #6</t>
        </is>
      </c>
      <c r="D9" s="9" t="inlineStr">
        <is>
          <t>시드 #11</t>
        </is>
      </c>
      <c r="E9" s="9" t="inlineStr">
        <is>
          <t>랜덤 시드 배정, 자동 전투</t>
        </is>
      </c>
      <c r="F9" s="9" t="inlineStr">
        <is>
          <t>2분</t>
        </is>
      </c>
      <c r="G9" s="9" t="inlineStr">
        <is>
          <t>3,000G</t>
        </is>
      </c>
      <c r="H9" s="9" t="inlineStr">
        <is>
          <t>1,000G</t>
        </is>
      </c>
    </row>
    <row r="10">
      <c r="A10" s="8" t="inlineStr">
        <is>
          <t>16강</t>
        </is>
      </c>
      <c r="B10" s="8" t="inlineStr">
        <is>
          <t>매치 7</t>
        </is>
      </c>
      <c r="C10" s="8" t="inlineStr">
        <is>
          <t>시드 #7</t>
        </is>
      </c>
      <c r="D10" s="8" t="inlineStr">
        <is>
          <t>시드 #10</t>
        </is>
      </c>
      <c r="E10" s="8" t="inlineStr">
        <is>
          <t>랜덤 시드 배정, 자동 전투</t>
        </is>
      </c>
      <c r="F10" s="8" t="inlineStr">
        <is>
          <t>2분</t>
        </is>
      </c>
      <c r="G10" s="8" t="inlineStr">
        <is>
          <t>3,000G</t>
        </is>
      </c>
      <c r="H10" s="8" t="inlineStr">
        <is>
          <t>1,000G</t>
        </is>
      </c>
    </row>
    <row r="11">
      <c r="A11" s="9" t="inlineStr">
        <is>
          <t>16강</t>
        </is>
      </c>
      <c r="B11" s="9" t="inlineStr">
        <is>
          <t>매치 8</t>
        </is>
      </c>
      <c r="C11" s="9" t="inlineStr">
        <is>
          <t>시드 #8</t>
        </is>
      </c>
      <c r="D11" s="9" t="inlineStr">
        <is>
          <t>시드 #9</t>
        </is>
      </c>
      <c r="E11" s="9" t="inlineStr">
        <is>
          <t>랜덤 시드 배정, 자동 전투</t>
        </is>
      </c>
      <c r="F11" s="9" t="inlineStr">
        <is>
          <t>2분</t>
        </is>
      </c>
      <c r="G11" s="9" t="inlineStr">
        <is>
          <t>3,000G</t>
        </is>
      </c>
      <c r="H11" s="9" t="inlineStr">
        <is>
          <t>1,000G</t>
        </is>
      </c>
    </row>
    <row r="12">
      <c r="A12" s="8" t="inlineStr">
        <is>
          <t>8강</t>
        </is>
      </c>
      <c r="B12" s="8" t="inlineStr">
        <is>
          <t>매치 A</t>
        </is>
      </c>
      <c r="C12" s="8" t="inlineStr">
        <is>
          <t>매치1 승자</t>
        </is>
      </c>
      <c r="D12" s="8" t="inlineStr">
        <is>
          <t>매치2 승자</t>
        </is>
      </c>
      <c r="E12" s="8" t="inlineStr">
        <is>
          <t>밴 1명 추가, 자동 전투</t>
        </is>
      </c>
      <c r="F12" s="8" t="inlineStr">
        <is>
          <t>2분</t>
        </is>
      </c>
      <c r="G12" s="8" t="inlineStr">
        <is>
          <t>5,000G</t>
        </is>
      </c>
      <c r="H12" s="8" t="inlineStr">
        <is>
          <t>2,000G</t>
        </is>
      </c>
    </row>
    <row r="13">
      <c r="A13" s="9" t="inlineStr">
        <is>
          <t>8강</t>
        </is>
      </c>
      <c r="B13" s="9" t="inlineStr">
        <is>
          <t>매치 B</t>
        </is>
      </c>
      <c r="C13" s="9" t="inlineStr">
        <is>
          <t>매치3 승자</t>
        </is>
      </c>
      <c r="D13" s="9" t="inlineStr">
        <is>
          <t>매치4 승자</t>
        </is>
      </c>
      <c r="E13" s="9" t="inlineStr">
        <is>
          <t>밴 1명 추가, 자동 전투</t>
        </is>
      </c>
      <c r="F13" s="9" t="inlineStr">
        <is>
          <t>2분</t>
        </is>
      </c>
      <c r="G13" s="9" t="inlineStr">
        <is>
          <t>5,000G</t>
        </is>
      </c>
      <c r="H13" s="9" t="inlineStr">
        <is>
          <t>2,000G</t>
        </is>
      </c>
    </row>
    <row r="14">
      <c r="A14" s="8" t="inlineStr">
        <is>
          <t>8강</t>
        </is>
      </c>
      <c r="B14" s="8" t="inlineStr">
        <is>
          <t>매치 C</t>
        </is>
      </c>
      <c r="C14" s="8" t="inlineStr">
        <is>
          <t>매치5 승자</t>
        </is>
      </c>
      <c r="D14" s="8" t="inlineStr">
        <is>
          <t>매치6 승자</t>
        </is>
      </c>
      <c r="E14" s="8" t="inlineStr">
        <is>
          <t>밴 1명 추가, 자동 전투</t>
        </is>
      </c>
      <c r="F14" s="8" t="inlineStr">
        <is>
          <t>2분</t>
        </is>
      </c>
      <c r="G14" s="8" t="inlineStr">
        <is>
          <t>5,000G</t>
        </is>
      </c>
      <c r="H14" s="8" t="inlineStr">
        <is>
          <t>2,000G</t>
        </is>
      </c>
    </row>
    <row r="15">
      <c r="A15" s="9" t="inlineStr">
        <is>
          <t>8강</t>
        </is>
      </c>
      <c r="B15" s="9" t="inlineStr">
        <is>
          <t>매치 D</t>
        </is>
      </c>
      <c r="C15" s="9" t="inlineStr">
        <is>
          <t>매치7 승자</t>
        </is>
      </c>
      <c r="D15" s="9" t="inlineStr">
        <is>
          <t>매치8 승자</t>
        </is>
      </c>
      <c r="E15" s="9" t="inlineStr">
        <is>
          <t>밴 1명 추가, 자동 전투</t>
        </is>
      </c>
      <c r="F15" s="9" t="inlineStr">
        <is>
          <t>2분</t>
        </is>
      </c>
      <c r="G15" s="9" t="inlineStr">
        <is>
          <t>5,000G</t>
        </is>
      </c>
      <c r="H15" s="9" t="inlineStr">
        <is>
          <t>2,000G</t>
        </is>
      </c>
    </row>
    <row r="16">
      <c r="A16" s="8" t="inlineStr">
        <is>
          <t>4강</t>
        </is>
      </c>
      <c r="B16" s="8" t="inlineStr">
        <is>
          <t>매치 E</t>
        </is>
      </c>
      <c r="C16" s="8" t="inlineStr">
        <is>
          <t>매치A 승자</t>
        </is>
      </c>
      <c r="D16" s="8" t="inlineStr">
        <is>
          <t>매치B 승자</t>
        </is>
      </c>
      <c r="E16" s="8" t="inlineStr">
        <is>
          <t>밴 2명 + 관전 활성화</t>
        </is>
      </c>
      <c r="F16" s="8" t="inlineStr">
        <is>
          <t>2분 30초</t>
        </is>
      </c>
      <c r="G16" s="8" t="inlineStr">
        <is>
          <t>8,000G+30💎</t>
        </is>
      </c>
      <c r="H16" s="8" t="inlineStr">
        <is>
          <t>3,000G</t>
        </is>
      </c>
    </row>
    <row r="17">
      <c r="A17" s="9" t="inlineStr">
        <is>
          <t>4강</t>
        </is>
      </c>
      <c r="B17" s="9" t="inlineStr">
        <is>
          <t>매치 F</t>
        </is>
      </c>
      <c r="C17" s="9" t="inlineStr">
        <is>
          <t>매치C 승자</t>
        </is>
      </c>
      <c r="D17" s="9" t="inlineStr">
        <is>
          <t>매치D 승자</t>
        </is>
      </c>
      <c r="E17" s="9" t="inlineStr">
        <is>
          <t>밴 2명 + 관전 활성화</t>
        </is>
      </c>
      <c r="F17" s="9" t="inlineStr">
        <is>
          <t>2분 30초</t>
        </is>
      </c>
      <c r="G17" s="9" t="inlineStr">
        <is>
          <t>8,000G+30💎</t>
        </is>
      </c>
      <c r="H17" s="9" t="inlineStr">
        <is>
          <t>3,000G</t>
        </is>
      </c>
    </row>
    <row r="18">
      <c r="A18" s="8" t="inlineStr">
        <is>
          <t>결승</t>
        </is>
      </c>
      <c r="B18" s="8" t="inlineStr">
        <is>
          <t>결승전</t>
        </is>
      </c>
      <c r="C18" s="8" t="inlineStr">
        <is>
          <t>매치E 승자</t>
        </is>
      </c>
      <c r="D18" s="8" t="inlineStr">
        <is>
          <t>매치F 승자</t>
        </is>
      </c>
      <c r="E18" s="8" t="inlineStr">
        <is>
          <t>3판 2선승, 서버 전체 관전 가능</t>
        </is>
      </c>
      <c r="F18" s="8" t="inlineStr">
        <is>
          <t>3분×3판</t>
        </is>
      </c>
      <c r="G18" s="8" t="inlineStr">
        <is>
          <t>20,000G+100💎+칭호「대회 챔피언」</t>
        </is>
      </c>
      <c r="H18" s="8" t="inlineStr">
        <is>
          <t>10,000G+50💎</t>
        </is>
      </c>
    </row>
  </sheetData>
  <mergeCells count="1">
    <mergeCell ref="A1:H1"/>
  </mergeCell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4" customWidth="1" min="1" max="1"/>
    <col width="16" customWidth="1" min="2" max="2"/>
    <col width="10" customWidth="1" min="3" max="3"/>
    <col width="30" customWidth="1" min="4" max="4"/>
    <col width="22" customWidth="1" min="5" max="5"/>
    <col width="28" customWidth="1" min="6" max="6"/>
    <col width="26" customWidth="1" min="7" max="7"/>
    <col width="36" customWidth="1" min="8" max="8"/>
  </cols>
  <sheetData>
    <row r="1">
      <c r="A1" s="6" t="inlineStr">
        <is>
          <t>무역 상인 NPC 상세 7곳 — 마을별 특산품 &amp; 숨겨진 물품</t>
        </is>
      </c>
    </row>
    <row r="3">
      <c r="A3" s="7" t="inlineStr">
        <is>
          <t>마을</t>
        </is>
      </c>
      <c r="B3" s="7" t="inlineStr">
        <is>
          <t>상인 이름</t>
        </is>
      </c>
      <c r="C3" s="7" t="inlineStr">
        <is>
          <t>성격</t>
        </is>
      </c>
      <c r="D3" s="7" t="inlineStr">
        <is>
          <t>판매 물품</t>
        </is>
      </c>
      <c r="E3" s="7" t="inlineStr">
        <is>
          <t>특산품</t>
        </is>
      </c>
      <c r="F3" s="7" t="inlineStr">
        <is>
          <t>숨겨진 물품</t>
        </is>
      </c>
      <c r="G3" s="7" t="inlineStr">
        <is>
          <t>호감도 보너스</t>
        </is>
      </c>
      <c r="H3" s="7" t="inlineStr">
        <is>
          <t>대사(인사)</t>
        </is>
      </c>
    </row>
    <row r="4">
      <c r="A4" s="8" t="inlineStr">
        <is>
          <t>바람개비 마을</t>
        </is>
      </c>
      <c r="B4" s="8" t="inlineStr">
        <is>
          <t>농부 한스</t>
        </is>
      </c>
      <c r="C4" s="8" t="inlineStr">
        <is>
          <t>소박한</t>
        </is>
      </c>
      <c r="D4" s="8" t="inlineStr">
        <is>
          <t>밀가루, 목재, 씨앗, 삽</t>
        </is>
      </c>
      <c r="E4" s="8" t="inlineStr">
        <is>
          <t>바람개비 마을 햇빛빵</t>
        </is>
      </c>
      <c r="F4" s="8" t="inlineStr">
        <is>
          <t>황금 씨앗 (호감 Lv3 해금)</t>
        </is>
      </c>
      <c r="G4" s="8" t="inlineStr">
        <is>
          <t>판매가 10% 할인 + 곡물류 추가 수량</t>
        </is>
      </c>
      <c r="H4" s="8" t="inlineStr">
        <is>
          <t>어서 오게나~ 오늘도 날씨가 좋구만!</t>
        </is>
      </c>
    </row>
    <row r="5">
      <c r="A5" s="9" t="inlineStr">
        <is>
          <t>별빛 항구</t>
        </is>
      </c>
      <c r="B5" s="9" t="inlineStr">
        <is>
          <t>선장 마리나</t>
        </is>
      </c>
      <c r="C5" s="9" t="inlineStr">
        <is>
          <t>호탕한</t>
        </is>
      </c>
      <c r="D5" s="9" t="inlineStr">
        <is>
          <t>해산물, 비단, 밧줄, 나침반</t>
        </is>
      </c>
      <c r="E5" s="9" t="inlineStr">
        <is>
          <t>별빛 항구 진주조개</t>
        </is>
      </c>
      <c r="F5" s="9" t="inlineStr">
        <is>
          <t>전설의 해도 (호감 Lv4 해금)</t>
        </is>
      </c>
      <c r="G5" s="9" t="inlineStr">
        <is>
          <t>항해 관련 아이템 15% 할인</t>
        </is>
      </c>
      <c r="H5" s="9" t="inlineStr">
        <is>
          <t>하하! 어서 와! 바다 냄새 맡으니 기분 좋지?</t>
        </is>
      </c>
    </row>
    <row r="6">
      <c r="A6" s="8" t="inlineStr">
        <is>
          <t>달빛 오아시스</t>
        </is>
      </c>
      <c r="B6" s="8" t="inlineStr">
        <is>
          <t>약사 자밀</t>
        </is>
      </c>
      <c r="C6" s="8" t="inlineStr">
        <is>
          <t>신비로운</t>
        </is>
      </c>
      <c r="D6" s="8" t="inlineStr">
        <is>
          <t>향신료, 약초, 해독제, 향로</t>
        </is>
      </c>
      <c r="E6" s="8" t="inlineStr">
        <is>
          <t>달빛 오아시스 만병통치약</t>
        </is>
      </c>
      <c r="F6" s="8" t="inlineStr">
        <is>
          <t>비전의 연금술 레시피 (호감 Lv5 해금)</t>
        </is>
      </c>
      <c r="G6" s="8" t="inlineStr">
        <is>
          <t>포션 효과 지속시간 20% 증가</t>
        </is>
      </c>
      <c r="H6" s="8" t="inlineStr">
        <is>
          <t>별이 그대를 이끌었군요… 무엇을 찾으시나요?</t>
        </is>
      </c>
    </row>
    <row r="7">
      <c r="A7" s="9" t="inlineStr">
        <is>
          <t>구름마루 산장</t>
        </is>
      </c>
      <c r="B7" s="9" t="inlineStr">
        <is>
          <t>광부 드워프 볼칸</t>
        </is>
      </c>
      <c r="C7" s="9" t="inlineStr">
        <is>
          <t>과묵한</t>
        </is>
      </c>
      <c r="D7" s="9" t="inlineStr">
        <is>
          <t>철광석, 미스릴 원석, 용린, 곡괭이</t>
        </is>
      </c>
      <c r="E7" s="9" t="inlineStr">
        <is>
          <t>구름마루 특제 미스릴 합금</t>
        </is>
      </c>
      <c r="F7" s="9" t="inlineStr">
        <is>
          <t>용암 코어 (호감 Lv4 해금)</t>
        </is>
      </c>
      <c r="G7" s="9" t="inlineStr">
        <is>
          <t>광석 제련 성공률 +10%</t>
        </is>
      </c>
      <c r="H7" s="9" t="inlineStr">
        <is>
          <t>…뭐 필요한 거 있나. 빨리 말해.</t>
        </is>
      </c>
    </row>
    <row r="8">
      <c r="A8" s="8" t="inlineStr">
        <is>
          <t>신전 마을</t>
        </is>
      </c>
      <c r="B8" s="8" t="inlineStr">
        <is>
          <t>사제 아이리스</t>
        </is>
      </c>
      <c r="C8" s="8" t="inlineStr">
        <is>
          <t>경건한</t>
        </is>
      </c>
      <c r="D8" s="8" t="inlineStr">
        <is>
          <t>성수, 마법결정, 축복의 두루마리, 촛불</t>
        </is>
      </c>
      <c r="E8" s="8" t="inlineStr">
        <is>
          <t>신전 축복 부적</t>
        </is>
      </c>
      <c r="F8" s="8" t="inlineStr">
        <is>
          <t>천사의 깃털 (호감 Lv5 해금)</t>
        </is>
      </c>
      <c r="G8" s="8" t="inlineStr">
        <is>
          <t>축복 효과 2배 지속</t>
        </is>
      </c>
      <c r="H8" s="8" t="inlineStr">
        <is>
          <t>빛이 함께하시길. 무엇이 필요하신가요?</t>
        </is>
      </c>
    </row>
    <row r="9">
      <c r="A9" s="9" t="inlineStr">
        <is>
          <t>사막 시장</t>
        </is>
      </c>
      <c r="B9" s="9" t="inlineStr">
        <is>
          <t>거상 하산</t>
        </is>
      </c>
      <c r="C9" s="9" t="inlineStr">
        <is>
          <t>교활한</t>
        </is>
      </c>
      <c r="D9" s="9" t="inlineStr">
        <is>
          <t>보석, 금괴, 고급 향수, 비단 양탄자</t>
        </is>
      </c>
      <c r="E9" s="9" t="inlineStr">
        <is>
          <t>사막 시장 특급 루비</t>
        </is>
      </c>
      <c r="F9" s="9" t="inlineStr">
        <is>
          <t>밀거래 장부 (호감 Lv3 해금, 암시장 입장권)</t>
        </is>
      </c>
      <c r="G9" s="9" t="inlineStr">
        <is>
          <t>거래 시 추가 보석 1개 보너스</t>
        </is>
      </c>
      <c r="H9" s="9" t="inlineStr">
        <is>
          <t>크크크… 좋은 물건 많지. 지갑은 두둑한가?</t>
        </is>
      </c>
    </row>
    <row r="10">
      <c r="A10" s="8" t="inlineStr">
        <is>
          <t>동쪽 항구</t>
        </is>
      </c>
      <c r="B10" s="8" t="inlineStr">
        <is>
          <t>밀수꾼 카인</t>
        </is>
      </c>
      <c r="C10" s="8" t="inlineStr">
        <is>
          <t>냉소적</t>
        </is>
      </c>
      <c r="D10" s="8" t="inlineStr">
        <is>
          <t>비단, 차, 밀수품(무기 부품), 위조 서류</t>
        </is>
      </c>
      <c r="E10" s="8" t="inlineStr">
        <is>
          <t>동쪽 항구 암호화된 지도</t>
        </is>
      </c>
      <c r="F10" s="8" t="inlineStr">
        <is>
          <t>금지된 마법서 (호감 Lv5 해금)</t>
        </is>
      </c>
      <c r="G10" s="8" t="inlineStr">
        <is>
          <t>밀수품 구매 가능 + 정보료 면제</t>
        </is>
      </c>
      <c r="H10" s="8" t="inlineStr">
        <is>
          <t>…아는 사람 소개로 왔나? 그래, 뭐가 필요해.</t>
        </is>
      </c>
    </row>
  </sheetData>
  <mergeCells count="1">
    <mergeCell ref="A1:H1"/>
  </mergeCell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6" customWidth="1" min="1" max="1"/>
    <col width="28" customWidth="1" min="2" max="2"/>
    <col width="18" customWidth="1" min="3" max="3"/>
    <col width="18" customWidth="1" min="4" max="4"/>
    <col width="22" customWidth="1" min="5" max="5"/>
    <col width="28" customWidth="1" min="6" max="6"/>
    <col width="50" customWidth="1" min="7" max="7"/>
    <col width="42" customWidth="1" min="8" max="8"/>
    <col width="55" customWidth="1" min="9" max="9"/>
  </cols>
  <sheetData>
    <row r="1">
      <c r="A1" s="6" t="inlineStr">
        <is>
          <t>IO 클래스별 최적 빌드 5종 — 10분 매치 분단위 전략</t>
        </is>
      </c>
    </row>
    <row r="3">
      <c r="A3" s="7" t="inlineStr">
        <is>
          <t>클래스</t>
        </is>
      </c>
      <c r="B3" s="7" t="inlineStr">
        <is>
          <t>시작 스탯</t>
        </is>
      </c>
      <c r="C3" s="7" t="inlineStr">
        <is>
          <t>Lv5 무기</t>
        </is>
      </c>
      <c r="D3" s="7" t="inlineStr">
        <is>
          <t>Lv10 무기</t>
        </is>
      </c>
      <c r="E3" s="7" t="inlineStr">
        <is>
          <t>Lv15 무기</t>
        </is>
      </c>
      <c r="F3" s="7" t="inlineStr">
        <is>
          <t>조합 목표</t>
        </is>
      </c>
      <c r="G3" s="7" t="inlineStr">
        <is>
          <t>스킬 해금 순서</t>
        </is>
      </c>
      <c r="H3" s="7" t="inlineStr">
        <is>
          <t>패시브 우선순위</t>
        </is>
      </c>
      <c r="I3" s="7" t="inlineStr">
        <is>
          <t>플레이 스타일</t>
        </is>
      </c>
    </row>
    <row r="4">
      <c r="A4" s="8" t="inlineStr">
        <is>
          <t>전사 (Warrior)</t>
        </is>
      </c>
      <c r="B4" s="8" t="inlineStr">
        <is>
          <t>HP 120 / ATK 15 / DEF 8 / SPD 5</t>
        </is>
      </c>
      <c r="C4" s="8" t="inlineStr">
        <is>
          <t>회전검 (근접 광역)</t>
        </is>
      </c>
      <c r="D4" s="8" t="inlineStr">
        <is>
          <t>파이어볼 (원거리 견제)</t>
        </is>
      </c>
      <c r="E4" s="8" t="inlineStr">
        <is>
          <t>쌍검폭풍 (회전검+파이어볼 조합)</t>
        </is>
      </c>
      <c r="F4" s="8" t="inlineStr">
        <is>
          <t>쌍검폭풍 → Lv20 분노의 칼바람</t>
        </is>
      </c>
      <c r="G4" s="8" t="inlineStr">
        <is>
          <t>0분: 회전검 습득 → 3분: 파이어볼 추가 → 5분: 쌍검폭풍 조합 → 7분: 궁극기 해금</t>
        </is>
      </c>
      <c r="H4" s="8" t="inlineStr">
        <is>
          <t>① 분노(피격 시 ATK +5%) ② 체력흡수(타격 시 HP 2% 회복) ③ 강철의지(CC 지속 -20%)</t>
        </is>
      </c>
      <c r="I4" s="8" t="inlineStr">
        <is>
          <t>근접 돌격형. 0~3분 회전검으로 빠른 레벨업, 5분 조합 후 집단전 진입, 분노 스택 쌓아 후반 캐리</t>
        </is>
      </c>
    </row>
    <row r="5">
      <c r="A5" s="9" t="inlineStr">
        <is>
          <t>암살자 (Assassin)</t>
        </is>
      </c>
      <c r="B5" s="9" t="inlineStr">
        <is>
          <t>HP 80 / ATK 18 / DEF 4 / SPD 12</t>
        </is>
      </c>
      <c r="C5" s="9" t="inlineStr">
        <is>
          <t>독안개 (범위 DOT)</t>
        </is>
      </c>
      <c r="D5" s="9" t="inlineStr">
        <is>
          <t>연속화살 (원거리 연사)</t>
        </is>
      </c>
      <c r="E5" s="9" t="inlineStr">
        <is>
          <t>빙독장판 (독안개+연속화살 조합)</t>
        </is>
      </c>
      <c r="F5" s="9" t="inlineStr">
        <is>
          <t>빙독장판 → Lv20 그림자 학살</t>
        </is>
      </c>
      <c r="G5" s="9" t="inlineStr">
        <is>
          <t>0분: 독안개 습득 → 2분: 은신 패시브 확보 → 5분: 연속화살 추가 → 7분: 빙독장판 조합</t>
        </is>
      </c>
      <c r="H5" s="9" t="inlineStr">
        <is>
          <t>① 은신(5초 투명, 첫 타격 150% 데미지) ② 급소공격(크리 확률 +15%) ③ 잔상(피격 시 30% 회피)</t>
        </is>
      </c>
      <c r="I5" s="9" t="inlineStr">
        <is>
          <t>기습 킬 특화. 독안개로 안전 파밍 후 은신→기습으로 저체력 적 처치, 빙독장판으로 탈출로 차단</t>
        </is>
      </c>
    </row>
    <row r="6">
      <c r="A6" s="8" t="inlineStr">
        <is>
          <t>기사 (Knight)</t>
        </is>
      </c>
      <c r="B6" s="8" t="inlineStr">
        <is>
          <t>HP 150 / ATK 10 / DEF 15 / SPD 3</t>
        </is>
      </c>
      <c r="C6" s="8" t="inlineStr">
        <is>
          <t>가시방패 (반사 데미지)</t>
        </is>
      </c>
      <c r="D6" s="8" t="inlineStr">
        <is>
          <t>신성폭발 (주변 광역)</t>
        </is>
      </c>
      <c r="E6" s="8" t="inlineStr">
        <is>
          <t>신성보호막 (가시방패+신성폭발 조합)</t>
        </is>
      </c>
      <c r="F6" s="8" t="inlineStr">
        <is>
          <t>신성보호막 → Lv20 불멸의 성벽</t>
        </is>
      </c>
      <c r="G6" s="8" t="inlineStr">
        <is>
          <t>0분: 가시방패 습득 → 3분: 신성폭발 추가 → 6분: 신성보호막 조합 → 8분: 아군 버프 해금</t>
        </is>
      </c>
      <c r="H6" s="8" t="inlineStr">
        <is>
          <t>① 방어 강화(DEF +20% 상시) ② 도발(주변 적 강제 어그로 3초) ③ 보호의 기운(주변 아군 DEF +10%)</t>
        </is>
      </c>
      <c r="I6" s="8" t="inlineStr">
        <is>
          <t>탱커 운영. 가시방패로 반사 데미지 유도, 팀전 시 도발로 어그로 집중, 신성보호막으로 팀 생존력 극대화</t>
        </is>
      </c>
    </row>
    <row r="7">
      <c r="A7" s="9" t="inlineStr">
        <is>
          <t>마법사 (Mage)</t>
        </is>
      </c>
      <c r="B7" s="9" t="inlineStr">
        <is>
          <t>HP 70 / ATK 20 / DEF 3 / SPD 7</t>
        </is>
      </c>
      <c r="C7" s="9" t="inlineStr">
        <is>
          <t>파이어볼 (원거리 폭발)</t>
        </is>
      </c>
      <c r="D7" s="9" t="inlineStr">
        <is>
          <t>낙뢰 (범위 스턴)</t>
        </is>
      </c>
      <c r="E7" s="9" t="inlineStr">
        <is>
          <t>화염뇌격 (파이어볼+낙뢰 조합) → Lv18 원소대재앙</t>
        </is>
      </c>
      <c r="F7" s="9" t="inlineStr">
        <is>
          <t>화염뇌격 → Lv18 원소대재앙 → Lv20 카타클리즘</t>
        </is>
      </c>
      <c r="G7" s="9" t="inlineStr">
        <is>
          <t>0분: 파이어볼 습득 → 3분: 낙뢰 추가 → 5분: 화염뇌격 조합 → 8분: 원소대재앙 해금</t>
        </is>
      </c>
      <c r="H7" s="9" t="inlineStr">
        <is>
          <t>① 쿨타임 감소(스킬 쿨 -15%) ② 마나 효율(소모 -20%) ③ 원소 증폭(속성 데미지 +25%)</t>
        </is>
      </c>
      <c r="I7" s="9" t="inlineStr">
        <is>
          <t>광역 딜러. 파이어볼로 안전거리 파밍, 낙뢰 스턴으로 자기방어, 후반 원소대재앙으로 집단전 지배</t>
        </is>
      </c>
    </row>
    <row r="8">
      <c r="A8" s="8" t="inlineStr">
        <is>
          <t>성직자 (Cleric)</t>
        </is>
      </c>
      <c r="B8" s="8" t="inlineStr">
        <is>
          <t>HP 100 / ATK 12 / DEF 10 / SPD 6</t>
        </is>
      </c>
      <c r="C8" s="8" t="inlineStr">
        <is>
          <t>신성폭발 (근접 광역+자힐)</t>
        </is>
      </c>
      <c r="D8" s="8" t="inlineStr">
        <is>
          <t>얼음고리 (슬로우+방어)</t>
        </is>
      </c>
      <c r="E8" s="8" t="inlineStr">
        <is>
          <t>증기폭발 (신성폭발+얼음고리 조합)</t>
        </is>
      </c>
      <c r="F8" s="8" t="inlineStr">
        <is>
          <t>증기폭발 → Lv20 심판의 빛</t>
        </is>
      </c>
      <c r="G8" s="8" t="inlineStr">
        <is>
          <t>0분: 신성폭발 습득 → 2분: 재생 패시브 확보 → 5분: 얼음고리 추가 → 7분: 증기폭발 조합</t>
        </is>
      </c>
      <c r="H8" s="8" t="inlineStr">
        <is>
          <t>① 재생(5초마다 HP 3% 회복) ② 신성 갑옷(받는 데미지 -10%) ③ 정화(디버프 자동 해제 10초)</t>
        </is>
      </c>
      <c r="I8" s="8" t="inlineStr">
        <is>
          <t>생존 특화. 신성폭발 자힐+딜 병행, 얼음고리로 추격 차단, 재생 패시브로 지구전 압도적 유리</t>
        </is>
      </c>
    </row>
  </sheetData>
  <mergeCells count="1">
    <mergeCell ref="A1:I1"/>
  </mergeCell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4" customWidth="1" min="1" max="1"/>
    <col width="28" customWidth="1" min="2" max="2"/>
    <col width="24" customWidth="1" min="3" max="3"/>
    <col width="24" customWidth="1" min="4" max="4"/>
    <col width="24" customWidth="1" min="5" max="5"/>
    <col width="28" customWidth="1" min="6" max="6"/>
    <col width="24" customWidth="1" min="7" max="7"/>
    <col width="12" customWidth="1" min="8" max="8"/>
  </cols>
  <sheetData>
    <row r="1">
      <c r="A1" s="6" t="inlineStr">
        <is>
          <t>날씨 &amp; 시간대 효과 상세 — 15종 환경 시스템</t>
        </is>
      </c>
    </row>
    <row r="3">
      <c r="A3" s="7" t="inlineStr">
        <is>
          <t>날씨/시간</t>
        </is>
      </c>
      <c r="B3" s="7" t="inlineStr">
        <is>
          <t>IO 효과</t>
        </is>
      </c>
      <c r="C3" s="7" t="inlineStr">
        <is>
          <t>SLG 효과</t>
        </is>
      </c>
      <c r="D3" s="7" t="inlineStr">
        <is>
          <t>무역 영향</t>
        </is>
      </c>
      <c r="E3" s="7" t="inlineStr">
        <is>
          <t>포획 영향</t>
        </is>
      </c>
      <c r="F3" s="7" t="inlineStr">
        <is>
          <t>공성전 영향</t>
        </is>
      </c>
      <c r="G3" s="7" t="inlineStr">
        <is>
          <t>특수 몬스터</t>
        </is>
      </c>
      <c r="H3" s="7" t="inlineStr">
        <is>
          <t>지속 시간</t>
        </is>
      </c>
    </row>
    <row r="4">
      <c r="A4" s="8" t="inlineStr">
        <is>
          <t>맑음</t>
        </is>
      </c>
      <c r="B4" s="8" t="inlineStr">
        <is>
          <t>시야 +20%, 원거리 명중↑</t>
        </is>
      </c>
      <c r="C4" s="8" t="inlineStr">
        <is>
          <t>행군속도 +10%</t>
        </is>
      </c>
      <c r="D4" s="8" t="inlineStr">
        <is>
          <t>무역로 안전, 이윤 +5%</t>
        </is>
      </c>
      <c r="E4" s="8" t="inlineStr">
        <is>
          <t>포획률 기본치</t>
        </is>
      </c>
      <c r="F4" s="8" t="inlineStr">
        <is>
          <t>공성 정상 진행</t>
        </is>
      </c>
      <c r="G4" s="8" t="inlineStr">
        <is>
          <t>없음</t>
        </is>
      </c>
      <c r="H4" s="8" t="inlineStr">
        <is>
          <t>5~8분</t>
        </is>
      </c>
    </row>
    <row r="5">
      <c r="A5" s="9" t="inlineStr">
        <is>
          <t>비</t>
        </is>
      </c>
      <c r="B5" s="9" t="inlineStr">
        <is>
          <t>이동속도 -10%, 화염DMG -15%</t>
        </is>
      </c>
      <c r="C5" s="9" t="inlineStr">
        <is>
          <t>공성무기 정확도 -10%</t>
        </is>
      </c>
      <c r="D5" s="9" t="inlineStr">
        <is>
          <t>무역 이동속도 -15%</t>
        </is>
      </c>
      <c r="E5" s="9" t="inlineStr">
        <is>
          <t>수서몬스터 포획률 +20%</t>
        </is>
      </c>
      <c r="F5" s="9" t="inlineStr">
        <is>
          <t>성벽 미끄러움, 등반 실패율 +25%</t>
        </is>
      </c>
      <c r="G5" s="9" t="inlineStr">
        <is>
          <t>우천 슬라임 (젤리형)</t>
        </is>
      </c>
      <c r="H5" s="9" t="inlineStr">
        <is>
          <t>4~7분</t>
        </is>
      </c>
    </row>
    <row r="6">
      <c r="A6" s="8" t="inlineStr">
        <is>
          <t>눈</t>
        </is>
      </c>
      <c r="B6" s="8" t="inlineStr">
        <is>
          <t>이동속도 -15%, 빙결 확률 +10%</t>
        </is>
      </c>
      <c r="C6" s="8" t="inlineStr">
        <is>
          <t>식량 소모 +20%</t>
        </is>
      </c>
      <c r="D6" s="8" t="inlineStr">
        <is>
          <t>무역 이동속도 -25%, 이윤 +10%</t>
        </is>
      </c>
      <c r="E6" s="8" t="inlineStr">
        <is>
          <t>빙속성 몬스터 출현 +30%</t>
        </is>
      </c>
      <c r="F6" s="8" t="inlineStr">
        <is>
          <t>성벽 빙판, 방어측 유리</t>
        </is>
      </c>
      <c r="G6" s="8" t="inlineStr">
        <is>
          <t>프로스트 골렘</t>
        </is>
      </c>
      <c r="H6" s="8" t="inlineStr">
        <is>
          <t>5~10분</t>
        </is>
      </c>
    </row>
    <row r="7">
      <c r="A7" s="9" t="inlineStr">
        <is>
          <t>안개</t>
        </is>
      </c>
      <c r="B7" s="9" t="inlineStr">
        <is>
          <t>시야 -40%, 은신 탐지 불가</t>
        </is>
      </c>
      <c r="C7" s="9" t="inlineStr">
        <is>
          <t>정찰 효과 -50%</t>
        </is>
      </c>
      <c r="D7" s="9" t="inlineStr">
        <is>
          <t>매복 위험 +30%, 호위비 2배</t>
        </is>
      </c>
      <c r="E7" s="9" t="inlineStr">
        <is>
          <t>포획률 -15%, 도주율 +20%</t>
        </is>
      </c>
      <c r="F7" s="9" t="inlineStr">
        <is>
          <t>시야 3칸 제한, 기습 가능</t>
        </is>
      </c>
      <c r="G7" s="9" t="inlineStr">
        <is>
          <t>안개 팬텀 (기습형)</t>
        </is>
      </c>
      <c r="H7" s="9" t="inlineStr">
        <is>
          <t>3~6분</t>
        </is>
      </c>
    </row>
    <row r="8">
      <c r="A8" s="8" t="inlineStr">
        <is>
          <t>폭풍</t>
        </is>
      </c>
      <c r="B8" s="8" t="inlineStr">
        <is>
          <t>ATK -5%, 투사체 빗나감 +20%</t>
        </is>
      </c>
      <c r="C8" s="8" t="inlineStr">
        <is>
          <t>건설 중단, 함정 파괴 확률 15%</t>
        </is>
      </c>
      <c r="D8" s="8" t="inlineStr">
        <is>
          <t>무역 불가</t>
        </is>
      </c>
      <c r="E8" s="8" t="inlineStr">
        <is>
          <t>야외 포획 불가</t>
        </is>
      </c>
      <c r="F8" s="8" t="inlineStr">
        <is>
          <t>성벽 피해 매턴 2%, 공방 중단 위험</t>
        </is>
      </c>
      <c r="G8" s="8" t="inlineStr">
        <is>
          <t>폭풍 정령 (번개속성)</t>
        </is>
      </c>
      <c r="H8" s="8" t="inlineStr">
        <is>
          <t>2~4분</t>
        </is>
      </c>
    </row>
    <row r="9">
      <c r="A9" s="9" t="inlineStr">
        <is>
          <t>일식</t>
        </is>
      </c>
      <c r="B9" s="9" t="inlineStr">
        <is>
          <t>전체 어둠, 암흑속성 DMG +30%</t>
        </is>
      </c>
      <c r="C9" s="9" t="inlineStr">
        <is>
          <t>사기 -20%, 탈영 확률 5%</t>
        </is>
      </c>
      <c r="D9" s="9" t="inlineStr">
        <is>
          <t>무역 가격 변동 ±30%</t>
        </is>
      </c>
      <c r="E9" s="9" t="inlineStr">
        <is>
          <t>암흑몬스터 출현, 포획난이도 극상</t>
        </is>
      </c>
      <c r="F9" s="9" t="inlineStr">
        <is>
          <t>암흑 스킬 범위 2배, 치유 -50%</t>
        </is>
      </c>
      <c r="G9" s="9" t="inlineStr">
        <is>
          <t>이클립스 드래곤 (레이드급)</t>
        </is>
      </c>
      <c r="H9" s="9" t="inlineStr">
        <is>
          <t>1~3분</t>
        </is>
      </c>
    </row>
    <row r="10">
      <c r="A10" s="8" t="inlineStr">
        <is>
          <t>오로라</t>
        </is>
      </c>
      <c r="B10" s="8" t="inlineStr">
        <is>
          <t>전스탯 +5%, 스킬 이펙트 강화</t>
        </is>
      </c>
      <c r="C10" s="8" t="inlineStr">
        <is>
          <t>연구속도 +20%</t>
        </is>
      </c>
      <c r="D10" s="8" t="inlineStr">
        <is>
          <t>희귀자원 거래 출현</t>
        </is>
      </c>
      <c r="E10" s="8" t="inlineStr">
        <is>
          <t>희귀몬스터 출현률 2배</t>
        </is>
      </c>
      <c r="F10" s="8" t="inlineStr">
        <is>
          <t>양측 스킬CD -20%</t>
        </is>
      </c>
      <c r="G10" s="8" t="inlineStr">
        <is>
          <t>오로라 유니콘 (치유형)</t>
        </is>
      </c>
      <c r="H10" s="8" t="inlineStr">
        <is>
          <t>2~5분</t>
        </is>
      </c>
    </row>
    <row r="11">
      <c r="A11" s="9" t="inlineStr">
        <is>
          <t>유성우</t>
        </is>
      </c>
      <c r="B11" s="9" t="inlineStr">
        <is>
          <t>랜덤 폭발 (맵 5곳), 드롭 +50%</t>
        </is>
      </c>
      <c r="C11" s="9" t="inlineStr">
        <is>
          <t>자원 채취량 +30%</t>
        </is>
      </c>
      <c r="D11" s="9" t="inlineStr">
        <is>
          <t>운석자원 특별 무역품 출현</t>
        </is>
      </c>
      <c r="E11" s="9" t="inlineStr">
        <is>
          <t>유성수집 이벤트 발동</t>
        </is>
      </c>
      <c r="F11" s="9" t="inlineStr">
        <is>
          <t>공성 일시중단, 운석 낙하 피해</t>
        </is>
      </c>
      <c r="G11" s="9" t="inlineStr">
        <is>
          <t>스타폴 엘리멘탈 (광역폭발)</t>
        </is>
      </c>
      <c r="H11" s="9" t="inlineStr">
        <is>
          <t>1~2분</t>
        </is>
      </c>
    </row>
    <row r="12">
      <c r="A12" s="8" t="inlineStr">
        <is>
          <t>새벽</t>
        </is>
      </c>
      <c r="B12" s="8" t="inlineStr">
        <is>
          <t>몬스터 경계 -20%, 기습 성공률↑</t>
        </is>
      </c>
      <c r="C12" s="8" t="inlineStr">
        <is>
          <t>야습 가능, 공격측 유리</t>
        </is>
      </c>
      <c r="D12" s="8" t="inlineStr">
        <is>
          <t>새벽 출발 보너스 이윤 +8%</t>
        </is>
      </c>
      <c r="E12" s="8" t="inlineStr">
        <is>
          <t>야행성 몬스터 막바지 출현</t>
        </is>
      </c>
      <c r="F12" s="8" t="inlineStr">
        <is>
          <t>기습공성 가능, 방어측 반응 -30%</t>
        </is>
      </c>
      <c r="G12" s="8" t="inlineStr">
        <is>
          <t>새벽안개 늑대 (무리형)</t>
        </is>
      </c>
      <c r="H12" s="8" t="inlineStr">
        <is>
          <t>2~3분</t>
        </is>
      </c>
    </row>
    <row r="13">
      <c r="A13" s="9" t="inlineStr">
        <is>
          <t>낮</t>
        </is>
      </c>
      <c r="B13" s="9" t="inlineStr">
        <is>
          <t>기본 상태, 시야 최대</t>
        </is>
      </c>
      <c r="C13" s="9" t="inlineStr">
        <is>
          <t>모든 활동 정상</t>
        </is>
      </c>
      <c r="D13" s="9" t="inlineStr">
        <is>
          <t>기본 무역 이윤</t>
        </is>
      </c>
      <c r="E13" s="9" t="inlineStr">
        <is>
          <t>기본 포획률</t>
        </is>
      </c>
      <c r="F13" s="9" t="inlineStr">
        <is>
          <t>정규 공성전</t>
        </is>
      </c>
      <c r="G13" s="9" t="inlineStr">
        <is>
          <t>없음</t>
        </is>
      </c>
      <c r="H13" s="9" t="inlineStr">
        <is>
          <t>5~8분</t>
        </is>
      </c>
    </row>
    <row r="14">
      <c r="A14" s="8" t="inlineStr">
        <is>
          <t>저녁</t>
        </is>
      </c>
      <c r="B14" s="8" t="inlineStr">
        <is>
          <t>EXP +10%, 귀환 보상 +15%</t>
        </is>
      </c>
      <c r="C14" s="8" t="inlineStr">
        <is>
          <t>회복속도 +10%</t>
        </is>
      </c>
      <c r="D14" s="8" t="inlineStr">
        <is>
          <t>마감 할인 무역품 출현</t>
        </is>
      </c>
      <c r="E14" s="8" t="inlineStr">
        <is>
          <t>포획된 몬스터 친밀도 +10%</t>
        </is>
      </c>
      <c r="F14" s="8" t="inlineStr">
        <is>
          <t>공성전 종료 판정 시간</t>
        </is>
      </c>
      <c r="G14" s="8" t="inlineStr">
        <is>
          <t>석양 피닉스 (화속성)</t>
        </is>
      </c>
      <c r="H14" s="8" t="inlineStr">
        <is>
          <t>2~3분</t>
        </is>
      </c>
    </row>
    <row r="15">
      <c r="A15" s="9" t="inlineStr">
        <is>
          <t>밤</t>
        </is>
      </c>
      <c r="B15" s="9" t="inlineStr">
        <is>
          <t>시야 -25%, 암속성 +15%</t>
        </is>
      </c>
      <c r="C15" s="9" t="inlineStr">
        <is>
          <t>야간 정찰 유리, 행군 은폐</t>
        </is>
      </c>
      <c r="D15" s="9" t="inlineStr">
        <is>
          <t>밀수 가능, 적발 시 벌금 3배</t>
        </is>
      </c>
      <c r="E15" s="9" t="inlineStr">
        <is>
          <t>야행성 몬스터 포획률 +25%</t>
        </is>
      </c>
      <c r="F15" s="9" t="inlineStr">
        <is>
          <t>야습 가능, 시야 -40%</t>
        </is>
      </c>
      <c r="G15" s="9" t="inlineStr">
        <is>
          <t>나이트메어 (공포형)</t>
        </is>
      </c>
      <c r="H15" s="9" t="inlineStr">
        <is>
          <t>4~6분</t>
        </is>
      </c>
    </row>
    <row r="16">
      <c r="A16" s="8" t="inlineStr">
        <is>
          <t>붉은 달</t>
        </is>
      </c>
      <c r="B16" s="8" t="inlineStr">
        <is>
          <t>보스 HP/ATK +50%, 드롭 2배</t>
        </is>
      </c>
      <c r="C16" s="8" t="inlineStr">
        <is>
          <t>영지 몬스터 침공 이벤트</t>
        </is>
      </c>
      <c r="D16" s="8" t="inlineStr">
        <is>
          <t>무역 불가, NPC 상점 폐쇄</t>
        </is>
      </c>
      <c r="E16" s="8" t="inlineStr">
        <is>
          <t>보스급 포획 기회</t>
        </is>
      </c>
      <c r="F16" s="8" t="inlineStr">
        <is>
          <t>보스 난입, 공방 3파전</t>
        </is>
      </c>
      <c r="G16" s="8" t="inlineStr">
        <is>
          <t>블러드문 비스트 (보스)</t>
        </is>
      </c>
      <c r="H16" s="8" t="inlineStr">
        <is>
          <t>3~5분</t>
        </is>
      </c>
    </row>
    <row r="17">
      <c r="A17" s="9" t="inlineStr">
        <is>
          <t>별똥비</t>
        </is>
      </c>
      <c r="B17" s="9" t="inlineStr">
        <is>
          <t>전체 드롭률 3배, 희귀장비↑</t>
        </is>
      </c>
      <c r="C17" s="9" t="inlineStr">
        <is>
          <t>특수자원 비(Rain) 이벤트</t>
        </is>
      </c>
      <c r="D17" s="9" t="inlineStr">
        <is>
          <t>별조각 화폐로 특수거래</t>
        </is>
      </c>
      <c r="E17" s="9" t="inlineStr">
        <is>
          <t>별조각으로 포획도구 강화</t>
        </is>
      </c>
      <c r="F17" s="9" t="inlineStr">
        <is>
          <t>전투 중 별조각 수집 경쟁</t>
        </is>
      </c>
      <c r="G17" s="9" t="inlineStr">
        <is>
          <t>스타더스트 페어리 (수집형)</t>
        </is>
      </c>
      <c r="H17" s="9" t="inlineStr">
        <is>
          <t>1~3분</t>
        </is>
      </c>
    </row>
    <row r="18">
      <c r="A18" s="8" t="inlineStr">
        <is>
          <t>마력 폭주</t>
        </is>
      </c>
      <c r="B18" s="8" t="inlineStr">
        <is>
          <t>스킬 CD -50%, MP소모 2배</t>
        </is>
      </c>
      <c r="C18" s="8" t="inlineStr">
        <is>
          <t>마법병과 전력 2배, 비마법 -30%</t>
        </is>
      </c>
      <c r="D18" s="8" t="inlineStr">
        <is>
          <t>마법물품 가격 3배</t>
        </is>
      </c>
      <c r="E18" s="8" t="inlineStr">
        <is>
          <t>마법몬스터 폭주, 포획 위험</t>
        </is>
      </c>
      <c r="F18" s="8" t="inlineStr">
        <is>
          <t>마법공성 극강, 물리공성 약화</t>
        </is>
      </c>
      <c r="G18" s="8" t="inlineStr">
        <is>
          <t>마나 스톰 엘리멘탈 (자폭형)</t>
        </is>
      </c>
      <c r="H18" s="8" t="inlineStr">
        <is>
          <t>1~3분</t>
        </is>
      </c>
    </row>
  </sheetData>
  <mergeCells count="1">
    <mergeCell ref="A1:H1"/>
  </mergeCell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2" customWidth="1" min="1" max="1"/>
    <col width="18" customWidth="1" min="2" max="2"/>
    <col width="14" customWidth="1" min="3" max="3"/>
    <col width="28" customWidth="1" min="4" max="4"/>
    <col width="20" customWidth="1" min="5" max="5"/>
    <col width="18" customWidth="1" min="6" max="6"/>
    <col width="42" customWidth="1" min="7" max="7"/>
  </cols>
  <sheetData>
    <row r="1">
      <c r="A1" s="6" t="inlineStr">
        <is>
          <t>혈맹 스킬 트리 20종 — 4개 분파 (전투·경제·성장·공성)</t>
        </is>
      </c>
    </row>
    <row r="3">
      <c r="A3" s="7" t="inlineStr">
        <is>
          <t>카테고리</t>
        </is>
      </c>
      <c r="B3" s="7" t="inlineStr">
        <is>
          <t>스킬명</t>
        </is>
      </c>
      <c r="C3" s="7" t="inlineStr">
        <is>
          <t>Lv</t>
        </is>
      </c>
      <c r="D3" s="7" t="inlineStr">
        <is>
          <t>효과</t>
        </is>
      </c>
      <c r="E3" s="7" t="inlineStr">
        <is>
          <t>비용(혈맹 포인트)</t>
        </is>
      </c>
      <c r="F3" s="7" t="inlineStr">
        <is>
          <t>필요 혈맹 레벨</t>
        </is>
      </c>
      <c r="G3" s="7" t="inlineStr">
        <is>
          <t>설명</t>
        </is>
      </c>
    </row>
    <row r="4">
      <c r="A4" s="8" t="inlineStr">
        <is>
          <t>전투</t>
        </is>
      </c>
      <c r="B4" s="8" t="inlineStr">
        <is>
          <t>전투의 함성</t>
        </is>
      </c>
      <c r="C4" s="8" t="inlineStr">
        <is>
          <t>Lv1/2/3</t>
        </is>
      </c>
      <c r="D4" s="8" t="inlineStr">
        <is>
          <t>혈맹원 ATK +3%/+6%/+10%</t>
        </is>
      </c>
      <c r="E4" s="8" t="inlineStr">
        <is>
          <t>100/300/600</t>
        </is>
      </c>
      <c r="F4" s="8" t="inlineStr">
        <is>
          <t>Lv1/Lv3/Lv5</t>
        </is>
      </c>
      <c r="G4" s="8" t="inlineStr">
        <is>
          <t>전투 시 혈맹원 공격력 증가, 보스전에서 체감 큼</t>
        </is>
      </c>
    </row>
    <row r="5">
      <c r="A5" s="9" t="inlineStr">
        <is>
          <t>전투</t>
        </is>
      </c>
      <c r="B5" s="9" t="inlineStr">
        <is>
          <t>강철 결속</t>
        </is>
      </c>
      <c r="C5" s="9" t="inlineStr">
        <is>
          <t>Lv1/2/3</t>
        </is>
      </c>
      <c r="D5" s="9" t="inlineStr">
        <is>
          <t>혈맹원 DEF +3%/+6%/+10%</t>
        </is>
      </c>
      <c r="E5" s="9" t="inlineStr">
        <is>
          <t>100/300/600</t>
        </is>
      </c>
      <c r="F5" s="9" t="inlineStr">
        <is>
          <t>Lv1/Lv3/Lv5</t>
        </is>
      </c>
      <c r="G5" s="9" t="inlineStr">
        <is>
          <t>전투 시 방어력 강화, 탱커 라인 안정화</t>
        </is>
      </c>
    </row>
    <row r="6">
      <c r="A6" s="8" t="inlineStr">
        <is>
          <t>전투</t>
        </is>
      </c>
      <c r="B6" s="8" t="inlineStr">
        <is>
          <t>생명의 유대</t>
        </is>
      </c>
      <c r="C6" s="8" t="inlineStr">
        <is>
          <t>Lv1/2/3</t>
        </is>
      </c>
      <c r="D6" s="8" t="inlineStr">
        <is>
          <t>혈맹원 최대HP +5%/+10%/+15%</t>
        </is>
      </c>
      <c r="E6" s="8" t="inlineStr">
        <is>
          <t>150/400/800</t>
        </is>
      </c>
      <c r="F6" s="8" t="inlineStr">
        <is>
          <t>Lv2/Lv4/Lv6</t>
        </is>
      </c>
      <c r="G6" s="8" t="inlineStr">
        <is>
          <t>전체 생존력 향상, 공성전 필수 스킬</t>
        </is>
      </c>
    </row>
    <row r="7">
      <c r="A7" s="9" t="inlineStr">
        <is>
          <t>전투</t>
        </is>
      </c>
      <c r="B7" s="9" t="inlineStr">
        <is>
          <t>치명의 직감</t>
        </is>
      </c>
      <c r="C7" s="9" t="inlineStr">
        <is>
          <t>Lv1/2/3</t>
        </is>
      </c>
      <c r="D7" s="9" t="inlineStr">
        <is>
          <t>크리티컬 확률 +2%/+4%/+7%</t>
        </is>
      </c>
      <c r="E7" s="9" t="inlineStr">
        <is>
          <t>200/500/900</t>
        </is>
      </c>
      <c r="F7" s="9" t="inlineStr">
        <is>
          <t>Lv3/Lv5/Lv7</t>
        </is>
      </c>
      <c r="G7" s="9" t="inlineStr">
        <is>
          <t>딜러 용병 크리 확률 증가, DPS 극대화</t>
        </is>
      </c>
    </row>
    <row r="8">
      <c r="A8" s="8" t="inlineStr">
        <is>
          <t>전투</t>
        </is>
      </c>
      <c r="B8" s="8" t="inlineStr">
        <is>
          <t>마력 집중</t>
        </is>
      </c>
      <c r="C8" s="8" t="inlineStr">
        <is>
          <t>Lv1/2/3</t>
        </is>
      </c>
      <c r="D8" s="8" t="inlineStr">
        <is>
          <t>스킬 DMG +4%/+8%/+12%</t>
        </is>
      </c>
      <c r="E8" s="8" t="inlineStr">
        <is>
          <t>250/600/1000</t>
        </is>
      </c>
      <c r="F8" s="8" t="inlineStr">
        <is>
          <t>Lv4/Lv6/Lv8</t>
        </is>
      </c>
      <c r="G8" s="8" t="inlineStr">
        <is>
          <t>스킬 의존도 높은 용병 필수, 광역전 핵심</t>
        </is>
      </c>
    </row>
    <row r="9">
      <c r="A9" s="9" t="inlineStr">
        <is>
          <t>경제</t>
        </is>
      </c>
      <c r="B9" s="9" t="inlineStr">
        <is>
          <t>상인의 혜안</t>
        </is>
      </c>
      <c r="C9" s="9" t="inlineStr">
        <is>
          <t>Lv1/2/3</t>
        </is>
      </c>
      <c r="D9" s="9" t="inlineStr">
        <is>
          <t>무역 이윤 +5%/+10%/+18%</t>
        </is>
      </c>
      <c r="E9" s="9" t="inlineStr">
        <is>
          <t>100/300/600</t>
        </is>
      </c>
      <c r="F9" s="9" t="inlineStr">
        <is>
          <t>Lv1/Lv3/Lv5</t>
        </is>
      </c>
      <c r="G9" s="9" t="inlineStr">
        <is>
          <t>무역 수익 증가, 혈맹 자금 확보에 핵심</t>
        </is>
      </c>
    </row>
    <row r="10">
      <c r="A10" s="8" t="inlineStr">
        <is>
          <t>경제</t>
        </is>
      </c>
      <c r="B10" s="8" t="inlineStr">
        <is>
          <t>세금 감면</t>
        </is>
      </c>
      <c r="C10" s="8" t="inlineStr">
        <is>
          <t>Lv1/2/3</t>
        </is>
      </c>
      <c r="D10" s="8" t="inlineStr">
        <is>
          <t>영지 세금 -3%/-6%/-10%</t>
        </is>
      </c>
      <c r="E10" s="8" t="inlineStr">
        <is>
          <t>120/350/700</t>
        </is>
      </c>
      <c r="F10" s="8" t="inlineStr">
        <is>
          <t>Lv2/Lv4/Lv6</t>
        </is>
      </c>
      <c r="G10" s="8" t="inlineStr">
        <is>
          <t>영지 운영비 절감, 장기 운영 시 복리 효과</t>
        </is>
      </c>
    </row>
    <row r="11">
      <c r="A11" s="9" t="inlineStr">
        <is>
          <t>경제</t>
        </is>
      </c>
      <c r="B11" s="9" t="inlineStr">
        <is>
          <t>장인 정신</t>
        </is>
      </c>
      <c r="C11" s="9" t="inlineStr">
        <is>
          <t>Lv1/2/3</t>
        </is>
      </c>
      <c r="D11" s="9" t="inlineStr">
        <is>
          <t>제작비용 -5%/-10%/-15%</t>
        </is>
      </c>
      <c r="E11" s="9" t="inlineStr">
        <is>
          <t>150/400/800</t>
        </is>
      </c>
      <c r="F11" s="9" t="inlineStr">
        <is>
          <t>Lv2/Lv4/Lv7</t>
        </is>
      </c>
      <c r="G11" s="9" t="inlineStr">
        <is>
          <t>장비·소비아이템 제작비 절약, 대량생산에 유리</t>
        </is>
      </c>
    </row>
    <row r="12">
      <c r="A12" s="8" t="inlineStr">
        <is>
          <t>경제</t>
        </is>
      </c>
      <c r="B12" s="8" t="inlineStr">
        <is>
          <t>행운의 손길</t>
        </is>
      </c>
      <c r="C12" s="8" t="inlineStr">
        <is>
          <t>Lv1/2/3</t>
        </is>
      </c>
      <c r="D12" s="8" t="inlineStr">
        <is>
          <t>아이템 드롭률 +3%/+6%/+10%</t>
        </is>
      </c>
      <c r="E12" s="8" t="inlineStr">
        <is>
          <t>200/500/900</t>
        </is>
      </c>
      <c r="F12" s="8" t="inlineStr">
        <is>
          <t>Lv3/Lv5/Lv7</t>
        </is>
      </c>
      <c r="G12" s="8" t="inlineStr">
        <is>
          <t>파밍 효율 증가, 희귀 아이템 획득 기대값 상승</t>
        </is>
      </c>
    </row>
    <row r="13">
      <c r="A13" s="9" t="inlineStr">
        <is>
          <t>경제</t>
        </is>
      </c>
      <c r="B13" s="9" t="inlineStr">
        <is>
          <t>거래소 인맥</t>
        </is>
      </c>
      <c r="C13" s="9" t="inlineStr">
        <is>
          <t>Lv1/2/3</t>
        </is>
      </c>
      <c r="D13" s="9" t="inlineStr">
        <is>
          <t>경매 수수료 -5%/-10%/-15%</t>
        </is>
      </c>
      <c r="E13" s="9" t="inlineStr">
        <is>
          <t>180/450/850</t>
        </is>
      </c>
      <c r="F13" s="9" t="inlineStr">
        <is>
          <t>Lv3/Lv5/Lv8</t>
        </is>
      </c>
      <c r="G13" s="9" t="inlineStr">
        <is>
          <t>경매장 이용 시 수수료 절감, 고가 거래에 큰 이점</t>
        </is>
      </c>
    </row>
    <row r="14">
      <c r="A14" s="8" t="inlineStr">
        <is>
          <t>성장</t>
        </is>
      </c>
      <c r="B14" s="8" t="inlineStr">
        <is>
          <t>전투 교본</t>
        </is>
      </c>
      <c r="C14" s="8" t="inlineStr">
        <is>
          <t>Lv1/2/3</t>
        </is>
      </c>
      <c r="D14" s="8" t="inlineStr">
        <is>
          <t>용병 EXP +5%/+10%/+18%</t>
        </is>
      </c>
      <c r="E14" s="8" t="inlineStr">
        <is>
          <t>100/300/600</t>
        </is>
      </c>
      <c r="F14" s="8" t="inlineStr">
        <is>
          <t>Lv1/Lv3/Lv5</t>
        </is>
      </c>
      <c r="G14" s="8" t="inlineStr">
        <is>
          <t>용병 레벨업 가속, 신규 혈맹원 추격에 필수</t>
        </is>
      </c>
    </row>
    <row r="15">
      <c r="A15" s="9" t="inlineStr">
        <is>
          <t>성장</t>
        </is>
      </c>
      <c r="B15" s="9" t="inlineStr">
        <is>
          <t>원정 보급</t>
        </is>
      </c>
      <c r="C15" s="9" t="inlineStr">
        <is>
          <t>Lv1/2/3</t>
        </is>
      </c>
      <c r="D15" s="9" t="inlineStr">
        <is>
          <t>원정 보상 +8%/+15%/+25%</t>
        </is>
      </c>
      <c r="E15" s="9" t="inlineStr">
        <is>
          <t>150/400/800</t>
        </is>
      </c>
      <c r="F15" s="9" t="inlineStr">
        <is>
          <t>Lv2/Lv4/Lv6</t>
        </is>
      </c>
      <c r="G15" s="9" t="inlineStr">
        <is>
          <t>원정 콘텐츠 보상 증가, 일일 수익 극대화</t>
        </is>
      </c>
    </row>
    <row r="16">
      <c r="A16" s="8" t="inlineStr">
        <is>
          <t>성장</t>
        </is>
      </c>
      <c r="B16" s="8" t="inlineStr">
        <is>
          <t>연구 가속</t>
        </is>
      </c>
      <c r="C16" s="8" t="inlineStr">
        <is>
          <t>Lv1/2/3</t>
        </is>
      </c>
      <c r="D16" s="8" t="inlineStr">
        <is>
          <t>연구속도 +5%/+10%/+15%</t>
        </is>
      </c>
      <c r="E16" s="8" t="inlineStr">
        <is>
          <t>200/500/900</t>
        </is>
      </c>
      <c r="F16" s="8" t="inlineStr">
        <is>
          <t>Lv3/Lv5/Lv7</t>
        </is>
      </c>
      <c r="G16" s="8" t="inlineStr">
        <is>
          <t>기술 연구 시간 단축, 선점 경쟁에 유리</t>
        </is>
      </c>
    </row>
    <row r="17">
      <c r="A17" s="9" t="inlineStr">
        <is>
          <t>성장</t>
        </is>
      </c>
      <c r="B17" s="9" t="inlineStr">
        <is>
          <t>포획 달인</t>
        </is>
      </c>
      <c r="C17" s="9" t="inlineStr">
        <is>
          <t>Lv1/2/3</t>
        </is>
      </c>
      <c r="D17" s="9" t="inlineStr">
        <is>
          <t>포획 성공률 +3%/+6%/+10%</t>
        </is>
      </c>
      <c r="E17" s="9" t="inlineStr">
        <is>
          <t>180/450/850</t>
        </is>
      </c>
      <c r="F17" s="9" t="inlineStr">
        <is>
          <t>Lv3/Lv5/Lv7</t>
        </is>
      </c>
      <c r="G17" s="9" t="inlineStr">
        <is>
          <t>몬스터 포획 확률 증가, 희귀 몬스터 확보 핵심</t>
        </is>
      </c>
    </row>
    <row r="18">
      <c r="A18" s="8" t="inlineStr">
        <is>
          <t>성장</t>
        </is>
      </c>
      <c r="B18" s="8" t="inlineStr">
        <is>
          <t>불사의 의지</t>
        </is>
      </c>
      <c r="C18" s="8" t="inlineStr">
        <is>
          <t>Lv1/2/3</t>
        </is>
      </c>
      <c r="D18" s="8" t="inlineStr">
        <is>
          <t>부활 횟수 +1/+2/+3회</t>
        </is>
      </c>
      <c r="E18" s="8" t="inlineStr">
        <is>
          <t>250/600/1000</t>
        </is>
      </c>
      <c r="F18" s="8" t="inlineStr">
        <is>
          <t>Lv4/Lv6/Lv8</t>
        </is>
      </c>
      <c r="G18" s="8" t="inlineStr">
        <is>
          <t>전투 중 추가 부활, 공성전·보스전에서 결정적</t>
        </is>
      </c>
    </row>
    <row r="19">
      <c r="A19" s="9" t="inlineStr">
        <is>
          <t>공성</t>
        </is>
      </c>
      <c r="B19" s="9" t="inlineStr">
        <is>
          <t>견고한 성벽</t>
        </is>
      </c>
      <c r="C19" s="9" t="inlineStr">
        <is>
          <t>Lv1/2/3</t>
        </is>
      </c>
      <c r="D19" s="9" t="inlineStr">
        <is>
          <t>성벽 HP +10%/+20%/+35%</t>
        </is>
      </c>
      <c r="E19" s="9" t="inlineStr">
        <is>
          <t>150/400/800</t>
        </is>
      </c>
      <c r="F19" s="9" t="inlineStr">
        <is>
          <t>Lv2/Lv4/Lv6</t>
        </is>
      </c>
      <c r="G19" s="9" t="inlineStr">
        <is>
          <t>성벽 내구도 증가, 방어전 시간 벌기 핵심</t>
        </is>
      </c>
    </row>
    <row r="20">
      <c r="A20" s="8" t="inlineStr">
        <is>
          <t>공성</t>
        </is>
      </c>
      <c r="B20" s="8" t="inlineStr">
        <is>
          <t>함정 마스터</t>
        </is>
      </c>
      <c r="C20" s="8" t="inlineStr">
        <is>
          <t>Lv1/2/3</t>
        </is>
      </c>
      <c r="D20" s="8" t="inlineStr">
        <is>
          <t>함정 DMG +8%/+15%/+25%</t>
        </is>
      </c>
      <c r="E20" s="8" t="inlineStr">
        <is>
          <t>200/500/900</t>
        </is>
      </c>
      <c r="F20" s="8" t="inlineStr">
        <is>
          <t>Lv3/Lv5/Lv7</t>
        </is>
      </c>
      <c r="G20" s="8" t="inlineStr">
        <is>
          <t>방어 함정 데미지 강화, 공격측 진입 저지</t>
        </is>
      </c>
    </row>
    <row r="21">
      <c r="A21" s="9" t="inlineStr">
        <is>
          <t>공성</t>
        </is>
      </c>
      <c r="B21" s="9" t="inlineStr">
        <is>
          <t>신속 동원</t>
        </is>
      </c>
      <c r="C21" s="9" t="inlineStr">
        <is>
          <t>Lv1/2/3</t>
        </is>
      </c>
      <c r="D21" s="9" t="inlineStr">
        <is>
          <t>공성 쿨타임 -5%/-10%/-18%</t>
        </is>
      </c>
      <c r="E21" s="9" t="inlineStr">
        <is>
          <t>250/600/1000</t>
        </is>
      </c>
      <c r="F21" s="9" t="inlineStr">
        <is>
          <t>Lv4/Lv6/Lv8</t>
        </is>
      </c>
      <c r="G21" s="9" t="inlineStr">
        <is>
          <t>공성전 재도전 쿨타임 감소, 연속 공격 가능</t>
        </is>
      </c>
    </row>
    <row r="22">
      <c r="A22" s="8" t="inlineStr">
        <is>
          <t>공성</t>
        </is>
      </c>
      <c r="B22" s="8" t="inlineStr">
        <is>
          <t>감시망 확장</t>
        </is>
      </c>
      <c r="C22" s="8" t="inlineStr">
        <is>
          <t>Lv1/2/3</t>
        </is>
      </c>
      <c r="D22" s="8" t="inlineStr">
        <is>
          <t>성 시야 범위 +2/+4/+6칸</t>
        </is>
      </c>
      <c r="E22" s="8" t="inlineStr">
        <is>
          <t>180/450/850</t>
        </is>
      </c>
      <c r="F22" s="8" t="inlineStr">
        <is>
          <t>Lv3/Lv5/Lv7</t>
        </is>
      </c>
      <c r="G22" s="8" t="inlineStr">
        <is>
          <t>적 접근 조기 탐지, 기습 방어에 필수</t>
        </is>
      </c>
    </row>
    <row r="23">
      <c r="A23" s="9" t="inlineStr">
        <is>
          <t>공성</t>
        </is>
      </c>
      <c r="B23" s="9" t="inlineStr">
        <is>
          <t>성주의 카리스마</t>
        </is>
      </c>
      <c r="C23" s="9" t="inlineStr">
        <is>
          <t>Lv1/2/3</t>
        </is>
      </c>
      <c r="D23" s="9" t="inlineStr">
        <is>
          <t>성주 스킬 CD -8%/-15%/-25%</t>
        </is>
      </c>
      <c r="E23" s="9" t="inlineStr">
        <is>
          <t>300/700/1200</t>
        </is>
      </c>
      <c r="F23" s="9" t="inlineStr">
        <is>
          <t>Lv5/Lv7/Lv9</t>
        </is>
      </c>
      <c r="G23" s="9" t="inlineStr">
        <is>
          <t>성주 전용 스킬 쿨 감소, 공성전 결정력 강화</t>
        </is>
      </c>
    </row>
  </sheetData>
  <mergeCells count="1">
    <mergeCell ref="A1:G1"/>
  </mergeCell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 customWidth="1" min="1" max="1"/>
    <col width="12" customWidth="1" min="2" max="2"/>
    <col width="8" customWidth="1" min="3" max="3"/>
    <col width="38" customWidth="1" min="4" max="4"/>
    <col width="16" customWidth="1" min="5" max="5"/>
    <col width="24" customWidth="1" min="6" max="6"/>
    <col width="36" customWidth="1" min="7" max="7"/>
  </cols>
  <sheetData>
    <row r="1">
      <c r="A1" s="6" t="inlineStr">
        <is>
          <t>상태이상 &amp; 버프 전체 목록 — 디버프 10 · 버프 10 · 특수 5</t>
        </is>
      </c>
    </row>
    <row r="3">
      <c r="A3" s="7" t="inlineStr">
        <is>
          <t>종류</t>
        </is>
      </c>
      <c r="B3" s="7" t="inlineStr">
        <is>
          <t>이름</t>
        </is>
      </c>
      <c r="C3" s="7" t="inlineStr">
        <is>
          <t>아이콘</t>
        </is>
      </c>
      <c r="D3" s="7" t="inlineStr">
        <is>
          <t>효과</t>
        </is>
      </c>
      <c r="E3" s="7" t="inlineStr">
        <is>
          <t>지속시간</t>
        </is>
      </c>
      <c r="F3" s="7" t="inlineStr">
        <is>
          <t>해제 방법</t>
        </is>
      </c>
      <c r="G3" s="7" t="inlineStr">
        <is>
          <t>부여 소스</t>
        </is>
      </c>
    </row>
    <row r="4">
      <c r="A4" s="8" t="inlineStr">
        <is>
          <t>디버프</t>
        </is>
      </c>
      <c r="B4" s="8" t="inlineStr">
        <is>
          <t>빙결</t>
        </is>
      </c>
      <c r="C4" s="8" t="inlineStr">
        <is>
          <t>❄️</t>
        </is>
      </c>
      <c r="D4" s="8" t="inlineStr">
        <is>
          <t>이동·공격 불가, 피격 시 빙결 해제+추가 DMG 20%</t>
        </is>
      </c>
      <c r="E4" s="8" t="inlineStr">
        <is>
          <t>2초</t>
        </is>
      </c>
      <c r="F4" s="8" t="inlineStr">
        <is>
          <t>화속성 스킬, 해빙 물약</t>
        </is>
      </c>
      <c r="G4" s="8" t="inlineStr">
        <is>
          <t>빙결 마법사, 얼음 함정, 프로스트 골렘</t>
        </is>
      </c>
    </row>
    <row r="5">
      <c r="A5" s="9" t="inlineStr">
        <is>
          <t>디버프</t>
        </is>
      </c>
      <c r="B5" s="9" t="inlineStr">
        <is>
          <t>독</t>
        </is>
      </c>
      <c r="C5" s="9" t="inlineStr">
        <is>
          <t>☠️</t>
        </is>
      </c>
      <c r="D5" s="9" t="inlineStr">
        <is>
          <t>매초 최대HP 3% DOT, 회복 효과 -30%</t>
        </is>
      </c>
      <c r="E5" s="9" t="inlineStr">
        <is>
          <t>5초</t>
        </is>
      </c>
      <c r="F5" s="9" t="inlineStr">
        <is>
          <t>해독 물약, 정화 스킬</t>
        </is>
      </c>
      <c r="G5" s="9" t="inlineStr">
        <is>
          <t>암살자 독안개, 독침 함정, 독사 몬스터</t>
        </is>
      </c>
    </row>
    <row r="6">
      <c r="A6" s="8" t="inlineStr">
        <is>
          <t>디버프</t>
        </is>
      </c>
      <c r="B6" s="8" t="inlineStr">
        <is>
          <t>감속</t>
        </is>
      </c>
      <c r="C6" s="8" t="inlineStr">
        <is>
          <t>🐌</t>
        </is>
      </c>
      <c r="D6" s="8" t="inlineStr">
        <is>
          <t>이동속도 -30%, 공격속도 -15%</t>
        </is>
      </c>
      <c r="E6" s="8" t="inlineStr">
        <is>
          <t>4초</t>
        </is>
      </c>
      <c r="F6" s="8" t="inlineStr">
        <is>
          <t>가속 버프, 시간 경과</t>
        </is>
      </c>
      <c r="G6" s="8" t="inlineStr">
        <is>
          <t>얼음 화살, 거미줄 함정, 슬라임</t>
        </is>
      </c>
    </row>
    <row r="7">
      <c r="A7" s="9" t="inlineStr">
        <is>
          <t>디버프</t>
        </is>
      </c>
      <c r="B7" s="9" t="inlineStr">
        <is>
          <t>화상</t>
        </is>
      </c>
      <c r="C7" s="9" t="inlineStr">
        <is>
          <t>🔥</t>
        </is>
      </c>
      <c r="D7" s="9" t="inlineStr">
        <is>
          <t>매초 ATK 5% DOT, DEF -10%</t>
        </is>
      </c>
      <c r="E7" s="9" t="inlineStr">
        <is>
          <t>4초</t>
        </is>
      </c>
      <c r="F7" s="9" t="inlineStr">
        <is>
          <t>빙속성 스킬, 소화 물약</t>
        </is>
      </c>
      <c r="G7" s="9" t="inlineStr">
        <is>
          <t>파이어볼, 화염 함정, 화염 정령</t>
        </is>
      </c>
    </row>
    <row r="8">
      <c r="A8" s="8" t="inlineStr">
        <is>
          <t>디버프</t>
        </is>
      </c>
      <c r="B8" s="8" t="inlineStr">
        <is>
          <t>출혈</t>
        </is>
      </c>
      <c r="C8" s="8" t="inlineStr">
        <is>
          <t>🩸</t>
        </is>
      </c>
      <c r="D8" s="8" t="inlineStr">
        <is>
          <t>매초 고정 50 DOT, 이동 시 DOT 2배</t>
        </is>
      </c>
      <c r="E8" s="8" t="inlineStr">
        <is>
          <t>6초</t>
        </is>
      </c>
      <c r="F8" s="8" t="inlineStr">
        <is>
          <t>붕대 아이템, 치유 스킬</t>
        </is>
      </c>
      <c r="G8" s="8" t="inlineStr">
        <is>
          <t>전사 참격, 가시 함정, 늑대 몬스터</t>
        </is>
      </c>
    </row>
    <row r="9">
      <c r="A9" s="9" t="inlineStr">
        <is>
          <t>디버프</t>
        </is>
      </c>
      <c r="B9" s="9" t="inlineStr">
        <is>
          <t>암흑</t>
        </is>
      </c>
      <c r="C9" s="9" t="inlineStr">
        <is>
          <t>🌑</t>
        </is>
      </c>
      <c r="D9" s="9" t="inlineStr">
        <is>
          <t>시야 범위 -60%, 원거리 명중률 -40%</t>
        </is>
      </c>
      <c r="E9" s="9" t="inlineStr">
        <is>
          <t>3초</t>
        </is>
      </c>
      <c r="F9" s="9" t="inlineStr">
        <is>
          <t>횃불 사용, 빛 스킬</t>
        </is>
      </c>
      <c r="G9" s="9" t="inlineStr">
        <is>
          <t>암흑 마법사, 먹구름 함정, 나이트메어</t>
        </is>
      </c>
    </row>
    <row r="10">
      <c r="A10" s="8" t="inlineStr">
        <is>
          <t>디버프</t>
        </is>
      </c>
      <c r="B10" s="8" t="inlineStr">
        <is>
          <t>공포</t>
        </is>
      </c>
      <c r="C10" s="8" t="inlineStr">
        <is>
          <t>👻</t>
        </is>
      </c>
      <c r="D10" s="8" t="inlineStr">
        <is>
          <t>강제 도주 (조작 불능), 후방 이동</t>
        </is>
      </c>
      <c r="E10" s="8" t="inlineStr">
        <is>
          <t>2초</t>
        </is>
      </c>
      <c r="F10" s="8" t="inlineStr">
        <is>
          <t>용기 버프, 동료 근접 시</t>
        </is>
      </c>
      <c r="G10" s="8" t="inlineStr">
        <is>
          <t>공포의 고함, 유령 함정, 공포 몬스터</t>
        </is>
      </c>
    </row>
    <row r="11">
      <c r="A11" s="9" t="inlineStr">
        <is>
          <t>디버프</t>
        </is>
      </c>
      <c r="B11" s="9" t="inlineStr">
        <is>
          <t>침묵</t>
        </is>
      </c>
      <c r="C11" s="9" t="inlineStr">
        <is>
          <t>🔇</t>
        </is>
      </c>
      <c r="D11" s="9" t="inlineStr">
        <is>
          <t>스킬 사용 불가, 일반 공격만 가능</t>
        </is>
      </c>
      <c r="E11" s="9" t="inlineStr">
        <is>
          <t>3초</t>
        </is>
      </c>
      <c r="F11" s="9" t="inlineStr">
        <is>
          <t>침묵해제 물약, 시간 경과</t>
        </is>
      </c>
      <c r="G11" s="9" t="inlineStr">
        <is>
          <t>침묵 화살, 봉인 함정, 사일런서 몬스터</t>
        </is>
      </c>
    </row>
    <row r="12">
      <c r="A12" s="8" t="inlineStr">
        <is>
          <t>디버프</t>
        </is>
      </c>
      <c r="B12" s="8" t="inlineStr">
        <is>
          <t>저주</t>
        </is>
      </c>
      <c r="C12" s="8" t="inlineStr">
        <is>
          <t>💀</t>
        </is>
      </c>
      <c r="D12" s="8" t="inlineStr">
        <is>
          <t>전스탯 -15%, 받는 피해 +10%</t>
        </is>
      </c>
      <c r="E12" s="8" t="inlineStr">
        <is>
          <t>5초</t>
        </is>
      </c>
      <c r="F12" s="8" t="inlineStr">
        <is>
          <t>성수 물약, 정화 스킬</t>
        </is>
      </c>
      <c r="G12" s="8" t="inlineStr">
        <is>
          <t>흑마법사, 저주 함정, 언데드 보스</t>
        </is>
      </c>
    </row>
    <row r="13">
      <c r="A13" s="9" t="inlineStr">
        <is>
          <t>디버프</t>
        </is>
      </c>
      <c r="B13" s="9" t="inlineStr">
        <is>
          <t>혼란</t>
        </is>
      </c>
      <c r="C13" s="9" t="inlineStr">
        <is>
          <t>🌀</t>
        </is>
      </c>
      <c r="D13" s="9" t="inlineStr">
        <is>
          <t>아군 공격, 랜덤 방향 이동</t>
        </is>
      </c>
      <c r="E13" s="9" t="inlineStr">
        <is>
          <t>3초</t>
        </is>
      </c>
      <c r="F13" s="9" t="inlineStr">
        <is>
          <t>기절(역설적 해제), 해독 물약</t>
        </is>
      </c>
      <c r="G13" s="9" t="inlineStr">
        <is>
          <t>혼란 마법, 환각 가스 함정, 요정 몬스터</t>
        </is>
      </c>
    </row>
    <row r="14">
      <c r="A14" s="8" t="inlineStr">
        <is>
          <t>버프</t>
        </is>
      </c>
      <c r="B14" s="8" t="inlineStr">
        <is>
          <t>ATK↑</t>
        </is>
      </c>
      <c r="C14" s="8" t="inlineStr">
        <is>
          <t>⚔️</t>
        </is>
      </c>
      <c r="D14" s="8" t="inlineStr">
        <is>
          <t>공격력 +20%</t>
        </is>
      </c>
      <c r="E14" s="8" t="inlineStr">
        <is>
          <t>8초</t>
        </is>
      </c>
      <c r="F14" s="8" t="inlineStr">
        <is>
          <t>-</t>
        </is>
      </c>
      <c r="G14" s="8" t="inlineStr">
        <is>
          <t>전투의 함성 스킬, ATK 물약, 대장장이 버프</t>
        </is>
      </c>
    </row>
    <row r="15">
      <c r="A15" s="9" t="inlineStr">
        <is>
          <t>버프</t>
        </is>
      </c>
      <c r="B15" s="9" t="inlineStr">
        <is>
          <t>DEF↑</t>
        </is>
      </c>
      <c r="C15" s="9" t="inlineStr">
        <is>
          <t>🛡️</t>
        </is>
      </c>
      <c r="D15" s="9" t="inlineStr">
        <is>
          <t>방어력 +20%</t>
        </is>
      </c>
      <c r="E15" s="9" t="inlineStr">
        <is>
          <t>8초</t>
        </is>
      </c>
      <c r="F15" s="9" t="inlineStr">
        <is>
          <t>-</t>
        </is>
      </c>
      <c r="G15" s="9" t="inlineStr">
        <is>
          <t>강철 결속 스킬, DEF 물약, 기사 버프</t>
        </is>
      </c>
    </row>
    <row r="16">
      <c r="A16" s="8" t="inlineStr">
        <is>
          <t>버프</t>
        </is>
      </c>
      <c r="B16" s="8" t="inlineStr">
        <is>
          <t>SPD↑</t>
        </is>
      </c>
      <c r="C16" s="8" t="inlineStr">
        <is>
          <t>💨</t>
        </is>
      </c>
      <c r="D16" s="8" t="inlineStr">
        <is>
          <t>이동속도 +25%, 공격속도 +10%</t>
        </is>
      </c>
      <c r="E16" s="8" t="inlineStr">
        <is>
          <t>6초</t>
        </is>
      </c>
      <c r="F16" s="8" t="inlineStr">
        <is>
          <t>-</t>
        </is>
      </c>
      <c r="G16" s="8" t="inlineStr">
        <is>
          <t>가속 마법, SPD 물약, 바람 정령 소환</t>
        </is>
      </c>
    </row>
    <row r="17">
      <c r="A17" s="9" t="inlineStr">
        <is>
          <t>버프</t>
        </is>
      </c>
      <c r="B17" s="9" t="inlineStr">
        <is>
          <t>크리↑</t>
        </is>
      </c>
      <c r="C17" s="9" t="inlineStr">
        <is>
          <t>🎯</t>
        </is>
      </c>
      <c r="D17" s="9" t="inlineStr">
        <is>
          <t>크리티컬 확률 +15%, 크리 DMG +20%</t>
        </is>
      </c>
      <c r="E17" s="9" t="inlineStr">
        <is>
          <t>6초</t>
        </is>
      </c>
      <c r="F17" s="9" t="inlineStr">
        <is>
          <t>-</t>
        </is>
      </c>
      <c r="G17" s="9" t="inlineStr">
        <is>
          <t>집중 스킬, 크리 물약, 명사수 패시브</t>
        </is>
      </c>
    </row>
    <row r="18">
      <c r="A18" s="8" t="inlineStr">
        <is>
          <t>버프</t>
        </is>
      </c>
      <c r="B18" s="8" t="inlineStr">
        <is>
          <t>재생</t>
        </is>
      </c>
      <c r="C18" s="8" t="inlineStr">
        <is>
          <t>💚</t>
        </is>
      </c>
      <c r="D18" s="8" t="inlineStr">
        <is>
          <t>매초 최대HP 4% 회복</t>
        </is>
      </c>
      <c r="E18" s="8" t="inlineStr">
        <is>
          <t>8초</t>
        </is>
      </c>
      <c r="F18" s="8" t="inlineStr">
        <is>
          <t>디스펠(적 사용)</t>
        </is>
      </c>
      <c r="G18" s="8" t="inlineStr">
        <is>
          <t>성직자 재생, 재생 물약, 생명나무 영역</t>
        </is>
      </c>
    </row>
    <row r="19">
      <c r="A19" s="9" t="inlineStr">
        <is>
          <t>버프</t>
        </is>
      </c>
      <c r="B19" s="9" t="inlineStr">
        <is>
          <t>보호막</t>
        </is>
      </c>
      <c r="C19" s="9" t="inlineStr">
        <is>
          <t>🔵</t>
        </is>
      </c>
      <c r="D19" s="9" t="inlineStr">
        <is>
          <t>HP 30% 상당 추가 실드, 피해 우선 흡수</t>
        </is>
      </c>
      <c r="E19" s="9" t="inlineStr">
        <is>
          <t>10초 또는 파괴</t>
        </is>
      </c>
      <c r="F19" s="9" t="inlineStr">
        <is>
          <t>실드 파괴, 디스펠</t>
        </is>
      </c>
      <c r="G19" s="9" t="inlineStr">
        <is>
          <t>마법사 배리어, 보호막 스크롤, 성벽 장치</t>
        </is>
      </c>
    </row>
    <row r="20">
      <c r="A20" s="8" t="inlineStr">
        <is>
          <t>버프</t>
        </is>
      </c>
      <c r="B20" s="8" t="inlineStr">
        <is>
          <t>무적</t>
        </is>
      </c>
      <c r="C20" s="8" t="inlineStr">
        <is>
          <t>✨</t>
        </is>
      </c>
      <c r="D20" s="8" t="inlineStr">
        <is>
          <t>모든 피해 무효, 이동만 가능</t>
        </is>
      </c>
      <c r="E20" s="8" t="inlineStr">
        <is>
          <t>2초</t>
        </is>
      </c>
      <c r="F20" s="8" t="inlineStr">
        <is>
          <t>-</t>
        </is>
      </c>
      <c r="G20" s="8" t="inlineStr">
        <is>
          <t>신성 보호, 무적 물약, 성주 궁극기</t>
        </is>
      </c>
    </row>
    <row r="21">
      <c r="A21" s="9" t="inlineStr">
        <is>
          <t>버프</t>
        </is>
      </c>
      <c r="B21" s="9" t="inlineStr">
        <is>
          <t>은신</t>
        </is>
      </c>
      <c r="C21" s="9" t="inlineStr">
        <is>
          <t>👤</t>
        </is>
      </c>
      <c r="D21" s="9" t="inlineStr">
        <is>
          <t>투명 상태, 적에게 미표시, 공격 시 해제</t>
        </is>
      </c>
      <c r="E21" s="9" t="inlineStr">
        <is>
          <t>5초</t>
        </is>
      </c>
      <c r="F21" s="9" t="inlineStr">
        <is>
          <t>탐지 스킬, 공격 행동</t>
        </is>
      </c>
      <c r="G21" s="9" t="inlineStr">
        <is>
          <t>암살자 은신, 투명 물약, 안개 영역</t>
        </is>
      </c>
    </row>
    <row r="22">
      <c r="A22" s="8" t="inlineStr">
        <is>
          <t>버프</t>
        </is>
      </c>
      <c r="B22" s="8" t="inlineStr">
        <is>
          <t>흡혈</t>
        </is>
      </c>
      <c r="C22" s="8" t="inlineStr">
        <is>
          <t>🧛</t>
        </is>
      </c>
      <c r="D22" s="8" t="inlineStr">
        <is>
          <t>공격 피해의 15% HP 회복</t>
        </is>
      </c>
      <c r="E22" s="8" t="inlineStr">
        <is>
          <t>6초</t>
        </is>
      </c>
      <c r="F22" s="8" t="inlineStr">
        <is>
          <t>-</t>
        </is>
      </c>
      <c r="G22" s="8" t="inlineStr">
        <is>
          <t>흡혈 부여, 뱀파이어 패시브, 흡혈 무기</t>
        </is>
      </c>
    </row>
    <row r="23">
      <c r="A23" s="9" t="inlineStr">
        <is>
          <t>버프</t>
        </is>
      </c>
      <c r="B23" s="9" t="inlineStr">
        <is>
          <t>광전</t>
        </is>
      </c>
      <c r="C23" s="9" t="inlineStr">
        <is>
          <t>😡</t>
        </is>
      </c>
      <c r="D23" s="9" t="inlineStr">
        <is>
          <t>ATK +35%, DEF -20%, 공격속도 +20%</t>
        </is>
      </c>
      <c r="E23" s="9" t="inlineStr">
        <is>
          <t>5초</t>
        </is>
      </c>
      <c r="F23" s="9" t="inlineStr">
        <is>
          <t>기절, 시간 경과</t>
        </is>
      </c>
      <c r="G23" s="9" t="inlineStr">
        <is>
          <t>광전사 스킬, 광폭 물약, 버서커 패시브</t>
        </is>
      </c>
    </row>
    <row r="24">
      <c r="A24" s="8" t="inlineStr">
        <is>
          <t>특수</t>
        </is>
      </c>
      <c r="B24" s="8" t="inlineStr">
        <is>
          <t>변신</t>
        </is>
      </c>
      <c r="C24" s="8" t="inlineStr">
        <is>
          <t>🐉</t>
        </is>
      </c>
      <c r="D24" s="8" t="inlineStr">
        <is>
          <t>다른 몬스터 외형·스킬 사용, 원래 스탯 유지</t>
        </is>
      </c>
      <c r="E24" s="8" t="inlineStr">
        <is>
          <t>10초</t>
        </is>
      </c>
      <c r="F24" s="8" t="inlineStr">
        <is>
          <t>시간 경과, 디스펠</t>
        </is>
      </c>
      <c r="G24" s="8" t="inlineStr">
        <is>
          <t>변신 마법, 도플갱어 소환, 변신 스크롤</t>
        </is>
      </c>
    </row>
    <row r="25">
      <c r="A25" s="9" t="inlineStr">
        <is>
          <t>특수</t>
        </is>
      </c>
      <c r="B25" s="9" t="inlineStr">
        <is>
          <t>합체</t>
        </is>
      </c>
      <c r="C25" s="9" t="inlineStr">
        <is>
          <t>🤝</t>
        </is>
      </c>
      <c r="D25" s="9" t="inlineStr">
        <is>
          <t>2체 합체, HP합산, 더 높은 ATK 사용, 광역↑</t>
        </is>
      </c>
      <c r="E25" s="9" t="inlineStr">
        <is>
          <t>8초</t>
        </is>
      </c>
      <c r="F25" s="9" t="inlineStr">
        <is>
          <t>시간 경과, HP 50% 이하</t>
        </is>
      </c>
      <c r="G25" s="9" t="inlineStr">
        <is>
          <t>합체 스킬 (용병 2체), 합체 스크롤</t>
        </is>
      </c>
    </row>
    <row r="26">
      <c r="A26" s="8" t="inlineStr">
        <is>
          <t>특수</t>
        </is>
      </c>
      <c r="B26" s="8" t="inlineStr">
        <is>
          <t>부활대기</t>
        </is>
      </c>
      <c r="C26" s="8" t="inlineStr">
        <is>
          <t>⏳</t>
        </is>
      </c>
      <c r="D26" s="8" t="inlineStr">
        <is>
          <t>사망 후 3초 후 HP 30%로 부활, 무적 1초</t>
        </is>
      </c>
      <c r="E26" s="8" t="inlineStr">
        <is>
          <t>3초(대기)</t>
        </is>
      </c>
      <c r="F26" s="8" t="inlineStr">
        <is>
          <t>-</t>
        </is>
      </c>
      <c r="G26" s="8" t="inlineStr">
        <is>
          <t>부활 패시브, 불사의 의지, 부활 물약</t>
        </is>
      </c>
    </row>
    <row r="27">
      <c r="A27" s="9" t="inlineStr">
        <is>
          <t>특수</t>
        </is>
      </c>
      <c r="B27" s="9" t="inlineStr">
        <is>
          <t>소환</t>
        </is>
      </c>
      <c r="C27" s="9" t="inlineStr">
        <is>
          <t>🌟</t>
        </is>
      </c>
      <c r="D27" s="9" t="inlineStr">
        <is>
          <t>소환수 1체 생성 (본체 ATK 40%), 10초 유지</t>
        </is>
      </c>
      <c r="E27" s="9" t="inlineStr">
        <is>
          <t>10초</t>
        </is>
      </c>
      <c r="F27" s="9" t="inlineStr">
        <is>
          <t>소환수 처치, 시간 경과</t>
        </is>
      </c>
      <c r="G27" s="9" t="inlineStr">
        <is>
          <t>소환술 스킬, 소환 스크롤, 소환사 용병</t>
        </is>
      </c>
    </row>
    <row r="28">
      <c r="A28" s="8" t="inlineStr">
        <is>
          <t>특수</t>
        </is>
      </c>
      <c r="B28" s="8" t="inlineStr">
        <is>
          <t>축복</t>
        </is>
      </c>
      <c r="C28" s="8" t="inlineStr">
        <is>
          <t>👑</t>
        </is>
      </c>
      <c r="D28" s="8" t="inlineStr">
        <is>
          <t>전스탯 +10%, 받는 치유 +20%, EXP +15%</t>
        </is>
      </c>
      <c r="E28" s="8" t="inlineStr">
        <is>
          <t>12초</t>
        </is>
      </c>
      <c r="F28" s="8" t="inlineStr">
        <is>
          <t>저주 디버프(상쇄)</t>
        </is>
      </c>
      <c r="G28" s="8" t="inlineStr">
        <is>
          <t>성직자 축복, 성수 사용, 신전 영역 효과</t>
        </is>
      </c>
    </row>
  </sheetData>
  <mergeCells count="1">
    <mergeCell ref="A1:G1"/>
  </mergeCell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4" customWidth="1" min="1" max="1"/>
    <col width="8" customWidth="1" min="2" max="2"/>
    <col width="40" customWidth="1" min="3" max="3"/>
    <col width="38" customWidth="1" min="4" max="4"/>
    <col width="18" customWidth="1" min="5" max="5"/>
    <col width="18" customWidth="1" min="6" max="6"/>
    <col width="44" customWidth="1" min="7" max="7"/>
  </cols>
  <sheetData>
    <row r="1">
      <c r="A1" s="6" t="inlineStr">
        <is>
          <t>전체 화폐 &amp; 재화 목록 — 15종 재화 총정리</t>
        </is>
      </c>
    </row>
    <row r="3">
      <c r="A3" s="7" t="inlineStr">
        <is>
          <t>재화</t>
        </is>
      </c>
      <c r="B3" s="7" t="inlineStr">
        <is>
          <t>아이콘</t>
        </is>
      </c>
      <c r="C3" s="7" t="inlineStr">
        <is>
          <t>획득처</t>
        </is>
      </c>
      <c r="D3" s="7" t="inlineStr">
        <is>
          <t>용도</t>
        </is>
      </c>
      <c r="E3" s="7" t="inlineStr">
        <is>
          <t>일일 획득량</t>
        </is>
      </c>
      <c r="F3" s="7" t="inlineStr">
        <is>
          <t>비축 목표</t>
        </is>
      </c>
      <c r="G3" s="7" t="inlineStr">
        <is>
          <t>팁</t>
        </is>
      </c>
    </row>
    <row r="4">
      <c r="A4" s="8" t="inlineStr">
        <is>
          <t>골드</t>
        </is>
      </c>
      <c r="B4" s="8" t="inlineStr">
        <is>
          <t>💰</t>
        </is>
      </c>
      <c r="C4" s="8" t="inlineStr">
        <is>
          <t>IO 매치 보상, 무역 판매, 퀘스트, 몬스터 처치, 성 세금</t>
        </is>
      </c>
      <c r="D4" s="8" t="inlineStr">
        <is>
          <t>장비 강화, 상점 구매, 건설 비용, 연구 비용, 용병 진급</t>
        </is>
      </c>
      <c r="E4" s="8" t="inlineStr">
        <is>
          <t>약 50,000~120,000</t>
        </is>
      </c>
      <c r="F4" s="8" t="inlineStr">
        <is>
          <t>500,000 이상</t>
        </is>
      </c>
      <c r="G4" s="8" t="inlineStr">
        <is>
          <t>무역로 확보가 골드 수입의 핵심, 매일 무역 3회 이상 권장</t>
        </is>
      </c>
    </row>
    <row r="5">
      <c r="A5" s="9" t="inlineStr">
        <is>
          <t>다이아</t>
        </is>
      </c>
      <c r="B5" s="9" t="inlineStr">
        <is>
          <t>💎</t>
        </is>
      </c>
      <c r="C5" s="9" t="inlineStr">
        <is>
          <t>출석 보상, 업적 달성, 배틀패스, 이벤트, 과금</t>
        </is>
      </c>
      <c r="D5" s="9" t="inlineStr">
        <is>
          <t>가챠 소환, 스태미나 충전, 프리미엄 상점, 외형 구매</t>
        </is>
      </c>
      <c r="E5" s="9" t="inlineStr">
        <is>
          <t>약 100~300 (무과금)</t>
        </is>
      </c>
      <c r="F5" s="9" t="inlineStr">
        <is>
          <t>3,000 이상</t>
        </is>
      </c>
      <c r="G5" s="9" t="inlineStr">
        <is>
          <t>픽업 가챠 전까지 비축, 스태미나 충전은 하루 2회까지만</t>
        </is>
      </c>
    </row>
    <row r="6">
      <c r="A6" s="8" t="inlineStr">
        <is>
          <t>소환포인트</t>
        </is>
      </c>
      <c r="B6" s="8" t="inlineStr">
        <is>
          <t>🎴</t>
        </is>
      </c>
      <c r="C6" s="8" t="inlineStr">
        <is>
          <t>IO 매치 MVP, 일일 퀘스트, 혈맹 보상, 원정 보상</t>
        </is>
      </c>
      <c r="D6" s="8" t="inlineStr">
        <is>
          <t>용병 소환 (일반/고급/전설), 소환 상점 교환</t>
        </is>
      </c>
      <c r="E6" s="8" t="inlineStr">
        <is>
          <t>약 300~500</t>
        </is>
      </c>
      <c r="F6" s="8" t="inlineStr">
        <is>
          <t>1,500 (10연차 3회분)</t>
        </is>
      </c>
      <c r="G6" s="8" t="inlineStr">
        <is>
          <t>전설 픽업 때 몰아서 사용, 일일 무료 소환 반드시 수행</t>
        </is>
      </c>
    </row>
    <row r="7">
      <c r="A7" s="9" t="inlineStr">
        <is>
          <t>재료</t>
        </is>
      </c>
      <c r="B7" s="9" t="inlineStr">
        <is>
          <t>🔧</t>
        </is>
      </c>
      <c r="C7" s="9" t="inlineStr">
        <is>
          <t>필드 채집, IO 드롭, 해체, 무역 구매, 원정 보상</t>
        </is>
      </c>
      <c r="D7" s="9" t="inlineStr">
        <is>
          <t>장비 제작, 건물 건설, 연구 재료, 아이템 합성</t>
        </is>
      </c>
      <c r="E7" s="9" t="inlineStr">
        <is>
          <t>약 200~500 (종류별)</t>
        </is>
      </c>
      <c r="F7" s="9" t="inlineStr">
        <is>
          <t>각 종류 1,000 이상</t>
        </is>
      </c>
      <c r="G7" s="9" t="inlineStr">
        <is>
          <t>장비 해체로 희귀 재료 확보, 채집 스킬 레벨업 우선</t>
        </is>
      </c>
    </row>
    <row r="8">
      <c r="A8" s="8" t="inlineStr">
        <is>
          <t>각성석</t>
        </is>
      </c>
      <c r="B8" s="8" t="inlineStr">
        <is>
          <t>⭐</t>
        </is>
      </c>
      <c r="C8" s="8" t="inlineStr">
        <is>
          <t>보스 레이드, 주간 던전, 이벤트, 업적 보상</t>
        </is>
      </c>
      <c r="D8" s="8" t="inlineStr">
        <is>
          <t>용병 각성 (5성→6성), 초월 재료</t>
        </is>
      </c>
      <c r="E8" s="8" t="inlineStr">
        <is>
          <t>약 2~5개</t>
        </is>
      </c>
      <c r="F8" s="8" t="inlineStr">
        <is>
          <t>50개 (핵심 용병 각성용)</t>
        </is>
      </c>
      <c r="G8" s="8" t="inlineStr">
        <is>
          <t>보스 레이드 매일 참여 필수, 주간 던전 난이도 최대한 높게</t>
        </is>
      </c>
    </row>
    <row r="9">
      <c r="A9" s="9" t="inlineStr">
        <is>
          <t>각성석조각</t>
        </is>
      </c>
      <c r="B9" s="9" t="inlineStr">
        <is>
          <t>⭐🔹</t>
        </is>
      </c>
      <c r="C9" s="9" t="inlineStr">
        <is>
          <t>각성석 분해, 일일 퀘스트, 소규모 이벤트</t>
        </is>
      </c>
      <c r="D9" s="9" t="inlineStr">
        <is>
          <t>각성석 합성 (조각 10개→각성석 1개), 각성 상점</t>
        </is>
      </c>
      <c r="E9" s="9" t="inlineStr">
        <is>
          <t>약 10~30개</t>
        </is>
      </c>
      <c r="F9" s="9" t="inlineStr">
        <is>
          <t>100개 이상</t>
        </is>
      </c>
      <c r="G9" s="9" t="inlineStr">
        <is>
          <t>조각 10개로 각성석 1개 합성, 잉여 각성석 분해하지 말 것</t>
        </is>
      </c>
    </row>
    <row r="10">
      <c r="A10" s="8" t="inlineStr">
        <is>
          <t>신화재료</t>
        </is>
      </c>
      <c r="B10" s="8" t="inlineStr">
        <is>
          <t>🐲</t>
        </is>
      </c>
      <c r="C10" s="8" t="inlineStr">
        <is>
          <t>히든보스, 월드보스 최상위 보상, 특별 이벤트</t>
        </is>
      </c>
      <c r="D10" s="8" t="inlineStr">
        <is>
          <t>신화 등급 장비 제작, 신화 용병 초월</t>
        </is>
      </c>
      <c r="E10" s="8" t="inlineStr">
        <is>
          <t>약 0~1개</t>
        </is>
      </c>
      <c r="F10" s="8" t="inlineStr">
        <is>
          <t>10개 이상</t>
        </is>
      </c>
      <c r="G10" s="8" t="inlineStr">
        <is>
          <t>최상위 희귀 재화, 히든보스 공략 파티 필수 구성</t>
        </is>
      </c>
    </row>
    <row r="11">
      <c r="A11" s="9" t="inlineStr">
        <is>
          <t>차원석</t>
        </is>
      </c>
      <c r="B11" s="9" t="inlineStr">
        <is>
          <t>🌀</t>
        </is>
      </c>
      <c r="C11" s="9" t="inlineStr">
        <is>
          <t>차원 원정, 시공의 틈 클리어, 월간 보상</t>
        </is>
      </c>
      <c r="D11" s="9" t="inlineStr">
        <is>
          <t>차원 장비 강화, 차원 용병 소환, 차원 상점</t>
        </is>
      </c>
      <c r="E11" s="9" t="inlineStr">
        <is>
          <t>약 50~100</t>
        </is>
      </c>
      <c r="F11" s="9" t="inlineStr">
        <is>
          <t>500 이상</t>
        </is>
      </c>
      <c r="G11" s="9" t="inlineStr">
        <is>
          <t>차원 원정 매일 3회 필수, 차원 상점 할인 품목 우선 구매</t>
        </is>
      </c>
    </row>
    <row r="12">
      <c r="A12" s="8" t="inlineStr">
        <is>
          <t>혈맹포인트</t>
        </is>
      </c>
      <c r="B12" s="8" t="inlineStr">
        <is>
          <t>🏴</t>
        </is>
      </c>
      <c r="C12" s="8" t="inlineStr">
        <is>
          <t>혈맹 전쟁 승리, 혈맹 퀘스트, 혈맹 출석, 기부</t>
        </is>
      </c>
      <c r="D12" s="8" t="inlineStr">
        <is>
          <t>혈맹 상점 교환, 혈맹 스킬 해금, 혈맹 건물 기여</t>
        </is>
      </c>
      <c r="E12" s="8" t="inlineStr">
        <is>
          <t>약 200~400</t>
        </is>
      </c>
      <c r="F12" s="8" t="inlineStr">
        <is>
          <t>2,000 이상</t>
        </is>
      </c>
      <c r="G12" s="8" t="inlineStr">
        <is>
          <t>매일 혈맹 퀘스트 완료, 기부는 골드보다 재료가 효율적</t>
        </is>
      </c>
    </row>
    <row r="13">
      <c r="A13" s="9" t="inlineStr">
        <is>
          <t>명성포인트</t>
        </is>
      </c>
      <c r="B13" s="9" t="inlineStr">
        <is>
          <t>🏅</t>
        </is>
      </c>
      <c r="C13" s="9" t="inlineStr">
        <is>
          <t>PvP 아레나, 랭킹 보상, 공성전 기여, 토너먼트</t>
        </is>
      </c>
      <c r="D13" s="9" t="inlineStr">
        <is>
          <t>명성 상점 (한정 용병/장비), 칭호 해금</t>
        </is>
      </c>
      <c r="E13" s="9" t="inlineStr">
        <is>
          <t>약 100~300</t>
        </is>
      </c>
      <c r="F13" s="9" t="inlineStr">
        <is>
          <t>1,500 이상</t>
        </is>
      </c>
      <c r="G13" s="9" t="inlineStr">
        <is>
          <t>PvP 시즌 종료 시 대량 획득, 명성 상점 한정 아이템 우선</t>
        </is>
      </c>
    </row>
    <row r="14">
      <c r="A14" s="8" t="inlineStr">
        <is>
          <t>무역포인트</t>
        </is>
      </c>
      <c r="B14" s="8" t="inlineStr">
        <is>
          <t>🐴</t>
        </is>
      </c>
      <c r="C14" s="8" t="inlineStr">
        <is>
          <t>무역 완료 보상, 무역 퀘스트, 무역 길드 활동</t>
        </is>
      </c>
      <c r="D14" s="8" t="inlineStr">
        <is>
          <t>무역 상점 교환, 무역 차량 업그레이드, 특산품 구매</t>
        </is>
      </c>
      <c r="E14" s="8" t="inlineStr">
        <is>
          <t>약 150~350</t>
        </is>
      </c>
      <c r="F14" s="8" t="inlineStr">
        <is>
          <t>1,000 이상</t>
        </is>
      </c>
      <c r="G14" s="8" t="inlineStr">
        <is>
          <t>장거리 무역일수록 포인트 효율 높음, 무역 길드 가입 필수</t>
        </is>
      </c>
    </row>
    <row r="15">
      <c r="A15" s="9" t="inlineStr">
        <is>
          <t>포획포인트</t>
        </is>
      </c>
      <c r="B15" s="9" t="inlineStr">
        <is>
          <t>🐾</t>
        </is>
      </c>
      <c r="C15" s="9" t="inlineStr">
        <is>
          <t>몬스터 포획, 포획 퀘스트, 도감 완성 보상</t>
        </is>
      </c>
      <c r="D15" s="9" t="inlineStr">
        <is>
          <t>포획 상점, 포획 도구 구매, 특수 미끼 교환</t>
        </is>
      </c>
      <c r="E15" s="9" t="inlineStr">
        <is>
          <t>약 100~250</t>
        </is>
      </c>
      <c r="F15" s="9" t="inlineStr">
        <is>
          <t>800 이상</t>
        </is>
      </c>
      <c r="G15" s="9" t="inlineStr">
        <is>
          <t>희귀 몬스터 포획 시 대량 획득, 도감 완성 보너스 노리기</t>
        </is>
      </c>
    </row>
    <row r="16">
      <c r="A16" s="8" t="inlineStr">
        <is>
          <t>장식포인트</t>
        </is>
      </c>
      <c r="B16" s="8" t="inlineStr">
        <is>
          <t>🏠</t>
        </is>
      </c>
      <c r="C16" s="8" t="inlineStr">
        <is>
          <t>성 꾸미기 퀘스트, 인테리어 콘테스트, 방문자 보상</t>
        </is>
      </c>
      <c r="D16" s="8" t="inlineStr">
        <is>
          <t>장식 상점, 가구 구매, 성 외형 변경, 특수 효과</t>
        </is>
      </c>
      <c r="E16" s="8" t="inlineStr">
        <is>
          <t>약 50~150</t>
        </is>
      </c>
      <c r="F16" s="8" t="inlineStr">
        <is>
          <t>500 이상</t>
        </is>
      </c>
      <c r="G16" s="8" t="inlineStr">
        <is>
          <t>방문자가 많을수록 보너스, 콘테스트 참여로 대량 획득</t>
        </is>
      </c>
    </row>
    <row r="17">
      <c r="A17" s="9" t="inlineStr">
        <is>
          <t>원정포인트</t>
        </is>
      </c>
      <c r="B17" s="9" t="inlineStr">
        <is>
          <t>🌍</t>
        </is>
      </c>
      <c r="C17" s="9" t="inlineStr">
        <is>
          <t>원정 완료, 원정 퀘스트, 탐험 보상, 발견 보너스</t>
        </is>
      </c>
      <c r="D17" s="9" t="inlineStr">
        <is>
          <t>원정 상점, 원정 장비, 탐험 지도 구매</t>
        </is>
      </c>
      <c r="E17" s="9" t="inlineStr">
        <is>
          <t>약 100~300</t>
        </is>
      </c>
      <c r="F17" s="9" t="inlineStr">
        <is>
          <t>1,000 이상</t>
        </is>
      </c>
      <c r="G17" s="9" t="inlineStr">
        <is>
          <t>원정 시간 단축 아이템 활용, 희귀 지역 발견 시 보너스</t>
        </is>
      </c>
    </row>
    <row r="18">
      <c r="A18" s="8" t="inlineStr">
        <is>
          <t>배틀패스EXP</t>
        </is>
      </c>
      <c r="B18" s="8" t="inlineStr">
        <is>
          <t>📋</t>
        </is>
      </c>
      <c r="C18" s="8" t="inlineStr">
        <is>
          <t>IO 매치 플레이, 일일/주간 미션, 시즌 퀘스트</t>
        </is>
      </c>
      <c r="D18" s="8" t="inlineStr">
        <is>
          <t>배틀패스 레벨업 (보상 해금), 시즌 보상 획득</t>
        </is>
      </c>
      <c r="E18" s="8" t="inlineStr">
        <is>
          <t>약 500~1,500</t>
        </is>
      </c>
      <c r="F18" s="8" t="inlineStr">
        <is>
          <t>시즌 내 Lv50 달성</t>
        </is>
      </c>
      <c r="G18" s="8" t="inlineStr">
        <is>
          <t>일일·주간 미션 올클리어 필수, IO 매치 10판 이상 추천</t>
        </is>
      </c>
    </row>
  </sheetData>
  <mergeCells count="1">
    <mergeCell ref="A1:G1"/>
  </mergeCell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6" customWidth="1" min="1" max="1"/>
    <col width="12" customWidth="1" min="2" max="2"/>
    <col width="10" customWidth="1" min="3" max="3"/>
    <col width="28" customWidth="1" min="4" max="4"/>
    <col width="36" customWidth="1" min="5" max="5"/>
    <col width="36" customWidth="1" min="6" max="6"/>
    <col width="36" customWidth="1" min="7" max="7"/>
    <col width="12" customWidth="1" min="8" max="8"/>
    <col width="32" customWidth="1" min="9" max="9"/>
    <col width="44" customWidth="1" min="10" max="10"/>
  </cols>
  <sheetData>
    <row r="1">
      <c r="A1" s="6" t="inlineStr">
        <is>
          <t>보스 공략 가이드 10종 — IO보스 5 · 레이드보스 4 · 히든보스 1</t>
        </is>
      </c>
    </row>
    <row r="3">
      <c r="A3" s="7" t="inlineStr">
        <is>
          <t>보스</t>
        </is>
      </c>
      <c r="B3" s="7" t="inlineStr">
        <is>
          <t>HP</t>
        </is>
      </c>
      <c r="C3" s="7" t="inlineStr">
        <is>
          <t>ATK</t>
        </is>
      </c>
      <c r="D3" s="7" t="inlineStr">
        <is>
          <t>페이즈</t>
        </is>
      </c>
      <c r="E3" s="7" t="inlineStr">
        <is>
          <t>패턴 1</t>
        </is>
      </c>
      <c r="F3" s="7" t="inlineStr">
        <is>
          <t>패턴 2</t>
        </is>
      </c>
      <c r="G3" s="7" t="inlineStr">
        <is>
          <t>패턴 3</t>
        </is>
      </c>
      <c r="H3" s="7" t="inlineStr">
        <is>
          <t>약점</t>
        </is>
      </c>
      <c r="I3" s="7" t="inlineStr">
        <is>
          <t>추천 파티</t>
        </is>
      </c>
      <c r="J3" s="7" t="inlineStr">
        <is>
          <t>공략 핵심</t>
        </is>
      </c>
    </row>
    <row r="4">
      <c r="A4" s="8" t="inlineStr">
        <is>
          <t>슬라임킹</t>
        </is>
      </c>
      <c r="B4" s="8" t="inlineStr">
        <is>
          <t>5,000</t>
        </is>
      </c>
      <c r="C4" s="8" t="inlineStr">
        <is>
          <t>120</t>
        </is>
      </c>
      <c r="D4" s="8" t="inlineStr">
        <is>
          <t>1페이즈: HP100~50%
2페이즈: HP50~0%</t>
        </is>
      </c>
      <c r="E4" s="8" t="inlineStr">
        <is>
          <t>1P: 점액 발사 — 전방 부채꼴 독 장판 (3초 DOT)</t>
        </is>
      </c>
      <c r="F4" s="8" t="inlineStr">
        <is>
          <t>1P: 분열 소환 — 미니 슬라임 4마리 생성 (각 HP 500)</t>
        </is>
      </c>
      <c r="G4" s="8" t="inlineStr">
        <is>
          <t>2P: 거대 점프 — 맵 중앙 충격파 (전체 HP 20% 고정 피해)</t>
        </is>
      </c>
      <c r="H4" s="8" t="inlineStr">
        <is>
          <t>화속성</t>
        </is>
      </c>
      <c r="I4" s="8" t="inlineStr">
        <is>
          <t>전사(탱커), 화법사, 궁수, 힐러, 암살자, 버퍼</t>
        </is>
      </c>
      <c r="J4" s="8" t="inlineStr">
        <is>
          <t>2페이즈 점프 타이밍에 맵 가장자리로 회피, 미니 슬라임 즉처리 우선</t>
        </is>
      </c>
    </row>
    <row r="5">
      <c r="A5" s="9" t="inlineStr">
        <is>
          <t>골렘</t>
        </is>
      </c>
      <c r="B5" s="9" t="inlineStr">
        <is>
          <t>15,000</t>
        </is>
      </c>
      <c r="C5" s="9" t="inlineStr">
        <is>
          <t>280</t>
        </is>
      </c>
      <c r="D5" s="9" t="inlineStr">
        <is>
          <t>1페이즈: HP100~60%
2페이즈: HP60~20%
3페이즈: HP20~0%</t>
        </is>
      </c>
      <c r="E5" s="9" t="inlineStr">
        <is>
          <t>1P: 암석 투척 — 3방향 돌 발사, 피격 시 기절 1.5초</t>
        </is>
      </c>
      <c r="F5" s="9" t="inlineStr">
        <is>
          <t>2P: 지진 — 전체 화면 흔들림 + 전원 감속 4초</t>
        </is>
      </c>
      <c r="G5" s="9" t="inlineStr">
        <is>
          <t>3P: 코어 노출 — 5초간 DEF 0, 이후 자폭 (전체 HP 50% 피해)</t>
        </is>
      </c>
      <c r="H5" s="9" t="inlineStr">
        <is>
          <t>뇌속성</t>
        </is>
      </c>
      <c r="I5" s="9" t="inlineStr">
        <is>
          <t>탱커2, 뇌법사, 힐러2, 궁수</t>
        </is>
      </c>
      <c r="J5" s="9" t="inlineStr">
        <is>
          <t>3페이즈 코어 노출 시 전력 딜, 자폭 전 보호막·무적 필수</t>
        </is>
      </c>
    </row>
    <row r="6">
      <c r="A6" s="8" t="inlineStr">
        <is>
          <t>드래곤</t>
        </is>
      </c>
      <c r="B6" s="8" t="inlineStr">
        <is>
          <t>30,000</t>
        </is>
      </c>
      <c r="C6" s="8" t="inlineStr">
        <is>
          <t>450</t>
        </is>
      </c>
      <c r="D6" s="8" t="inlineStr">
        <is>
          <t>1페이즈: HP100~70%
2페이즈: HP70~30%
3페이즈: HP30~0%</t>
        </is>
      </c>
      <c r="E6" s="8" t="inlineStr">
        <is>
          <t>1P: 화염 브레스 — 직선 관통 화염 (화상 5초)</t>
        </is>
      </c>
      <c r="F6" s="8" t="inlineStr">
        <is>
          <t>2P: 비행 → 급강하 — 3초간 비행 후 낙하 충격 (광역)</t>
        </is>
      </c>
      <c r="G6" s="8" t="inlineStr">
        <is>
          <t>3P: 용의 포효 — 전원 공포 2초 + ATK 50% 버프 (자체)</t>
        </is>
      </c>
      <c r="H6" s="8" t="inlineStr">
        <is>
          <t>빙속성</t>
        </is>
      </c>
      <c r="I6" s="8" t="inlineStr">
        <is>
          <t>빙법사, 탱커, 힐러2, 궁수, 서포터</t>
        </is>
      </c>
      <c r="J6" s="8" t="inlineStr">
        <is>
          <t>2페이즈 비행 시 원거리 딜 집중, 3페이즈 포효 후 즉시 회복·정화</t>
        </is>
      </c>
    </row>
    <row r="7">
      <c r="A7" s="9" t="inlineStr">
        <is>
          <t>마왕</t>
        </is>
      </c>
      <c r="B7" s="9" t="inlineStr">
        <is>
          <t>50,000</t>
        </is>
      </c>
      <c r="C7" s="9" t="inlineStr">
        <is>
          <t>600</t>
        </is>
      </c>
      <c r="D7" s="9" t="inlineStr">
        <is>
          <t>1페이즈: HP100~75%
2페이즈: HP75~40%
3페이즈: HP40~10%
최종: HP10~0%</t>
        </is>
      </c>
      <c r="E7" s="9" t="inlineStr">
        <is>
          <t>1P: 암흑 구체 — 추적형 투사체 3발, 피격 시 암흑+침묵</t>
        </is>
      </c>
      <c r="F7" s="9" t="inlineStr">
        <is>
          <t>2P: 마왕의 심판 — 랜덤 1인 즉사 마법 (3초 시전, 차단 가능)</t>
        </is>
      </c>
      <c r="G7" s="9" t="inlineStr">
        <is>
          <t>최종: 차원 붕괴 — 맵 축소 + 매초 전체 고정 피해 200</t>
        </is>
      </c>
      <c r="H7" s="9" t="inlineStr">
        <is>
          <t>성속성</t>
        </is>
      </c>
      <c r="I7" s="9" t="inlineStr">
        <is>
          <t>성기사(탱커), 성직자2, 궁수, 마법사, 암살자</t>
        </is>
      </c>
      <c r="J7" s="9" t="inlineStr">
        <is>
          <t>2페이즈 즉사 마법은 시전자 기절로 차단, 최종 페이즈 30초 내 격파 필수</t>
        </is>
      </c>
    </row>
    <row r="8">
      <c r="A8" s="8" t="inlineStr">
        <is>
          <t>세계의적</t>
        </is>
      </c>
      <c r="B8" s="8" t="inlineStr">
        <is>
          <t>80,000</t>
        </is>
      </c>
      <c r="C8" s="8" t="inlineStr">
        <is>
          <t>800</t>
        </is>
      </c>
      <c r="D8" s="8" t="inlineStr">
        <is>
          <t>1페이즈: HP100~80%
2페이즈: HP80~50%
3페이즈: HP50~20%
최종: HP20~0%</t>
        </is>
      </c>
      <c r="E8" s="8" t="inlineStr">
        <is>
          <t>1P: 연속참격 — 전방 5연타 (각 ATK 60%), 넉백 포함</t>
        </is>
      </c>
      <c r="F8" s="8" t="inlineStr">
        <is>
          <t>2P: 분신 생성 — 분신 3체 (각 HP 8,000), 본체 투명화</t>
        </is>
      </c>
      <c r="G8" s="8" t="inlineStr">
        <is>
          <t>최종: 세계멸망 — 10초 카운트다운, 미파괴 시 전멸</t>
        </is>
      </c>
      <c r="H8" s="8" t="inlineStr">
        <is>
          <t>무속성(없음)</t>
        </is>
      </c>
      <c r="I8" s="8" t="inlineStr">
        <is>
          <t>올탱커 구성: 탱커3, 힐러2, 디버퍼</t>
        </is>
      </c>
      <c r="J8" s="8" t="inlineStr">
        <is>
          <t>분신 빠르게 처리해 본체 노출, 최종 카운트다운 시 전력 집중</t>
        </is>
      </c>
    </row>
    <row r="9">
      <c r="A9" s="9" t="inlineStr">
        <is>
          <t>이그니스</t>
        </is>
      </c>
      <c r="B9" s="9" t="inlineStr">
        <is>
          <t>120,000</t>
        </is>
      </c>
      <c r="C9" s="9" t="inlineStr">
        <is>
          <t>950</t>
        </is>
      </c>
      <c r="D9" s="9" t="inlineStr">
        <is>
          <t>1페이즈: HP100~60%
2페이즈: HP60~20%
최종: HP20~0%</t>
        </is>
      </c>
      <c r="E9" s="9" t="inlineStr">
        <is>
          <t>1P: 화염 폭풍 — 맵 전체 6곳 화염 기둥 (회피 필수)</t>
        </is>
      </c>
      <c r="F9" s="9" t="inlineStr">
        <is>
          <t>2P: 용암 바닥 — 맵 50% 용암화, 안전지대 이동 필수</t>
        </is>
      </c>
      <c r="G9" s="9" t="inlineStr">
        <is>
          <t>최종: 초신성 — 전체 HP 70% 피해, 보호막 없으면 즉사급</t>
        </is>
      </c>
      <c r="H9" s="9" t="inlineStr">
        <is>
          <t>빙속성</t>
        </is>
      </c>
      <c r="I9" s="9" t="inlineStr">
        <is>
          <t>빙법사2, 탱커2, 힐러2</t>
        </is>
      </c>
      <c r="J9" s="9" t="inlineStr">
        <is>
          <t>용암 바닥 패턴 시 안전지대 사전 파악, 초신성 전 보호막·무적 확보</t>
        </is>
      </c>
    </row>
    <row r="10">
      <c r="A10" s="8" t="inlineStr">
        <is>
          <t>아바돈</t>
        </is>
      </c>
      <c r="B10" s="8" t="inlineStr">
        <is>
          <t>150,000</t>
        </is>
      </c>
      <c r="C10" s="8" t="inlineStr">
        <is>
          <t>1,100</t>
        </is>
      </c>
      <c r="D10" s="8" t="inlineStr">
        <is>
          <t>1페이즈: HP100~70%
2페이즈: HP70~30%
최종: HP30~0%</t>
        </is>
      </c>
      <c r="E10" s="8" t="inlineStr">
        <is>
          <t>1P: 심판의 창 — 상위 3인 대상 즉사 판정 (회피율 기반)</t>
        </is>
      </c>
      <c r="F10" s="8" t="inlineStr">
        <is>
          <t>2P: 나락의 문 — 랜덤 위치 블랙홀 3개 (흡인+지속 피해)</t>
        </is>
      </c>
      <c r="G10" s="8" t="inlineStr">
        <is>
          <t>최종: 종말 선언 — 매초 전체 피해 증가 (DPS 체크)</t>
        </is>
      </c>
      <c r="H10" s="8" t="inlineStr">
        <is>
          <t>성속성</t>
        </is>
      </c>
      <c r="I10" s="8" t="inlineStr">
        <is>
          <t>성기사, 성직자2, 화법사, 궁수, 버퍼</t>
        </is>
      </c>
      <c r="J10" s="8" t="inlineStr">
        <is>
          <t>심판의 창은 회피율 버프로 대응, 종말 선언은 15초 내 격파 DPS 필요</t>
        </is>
      </c>
    </row>
    <row r="11">
      <c r="A11" s="9" t="inlineStr">
        <is>
          <t>세계수수호자</t>
        </is>
      </c>
      <c r="B11" s="9" t="inlineStr">
        <is>
          <t>180,000</t>
        </is>
      </c>
      <c r="C11" s="9" t="inlineStr">
        <is>
          <t>750</t>
        </is>
      </c>
      <c r="D11" s="9" t="inlineStr">
        <is>
          <t>1페이즈: HP100~50%
2페이즈: HP50~0%</t>
        </is>
      </c>
      <c r="E11" s="9" t="inlineStr">
        <is>
          <t>1P: 가시 덩굴 — 맵 가장자리에서 중앙으로 덩굴 (속박 3초)</t>
        </is>
      </c>
      <c r="F11" s="9" t="inlineStr">
        <is>
          <t>1P: 포자 산포 — 전체 독 DOT + 힐 감소 50%</t>
        </is>
      </c>
      <c r="G11" s="9" t="inlineStr">
        <is>
          <t>2P: 세계수 분노 — 자연 정령 5체 소환 + 자체 회복 매초 HP 1%</t>
        </is>
      </c>
      <c r="H11" s="9" t="inlineStr">
        <is>
          <t>화속성</t>
        </is>
      </c>
      <c r="I11" s="9" t="inlineStr">
        <is>
          <t>화법사2, 탱커, 힐러2, 디버퍼(힐 차단)</t>
        </is>
      </c>
      <c r="J11" s="9" t="inlineStr">
        <is>
          <t>2페이즈 자체 회복 차단이 핵심, 힐 차단 디버프 유지 + 정령 즉처리</t>
        </is>
      </c>
    </row>
    <row r="12">
      <c r="A12" s="8" t="inlineStr">
        <is>
          <t>토르</t>
        </is>
      </c>
      <c r="B12" s="8" t="inlineStr">
        <is>
          <t>200,000</t>
        </is>
      </c>
      <c r="C12" s="8" t="inlineStr">
        <is>
          <t>1,300</t>
        </is>
      </c>
      <c r="D12" s="8" t="inlineStr">
        <is>
          <t>1페이즈: HP100~60%
2페이즈: HP60~20%
최종: HP20~0%</t>
        </is>
      </c>
      <c r="E12" s="8" t="inlineStr">
        <is>
          <t>1P: 묠니르 투척 — 직선 관통 + 되돌아오기 (왕복 피해)</t>
        </is>
      </c>
      <c r="F12" s="8" t="inlineStr">
        <is>
          <t>2P: 번개 폭풍 — 랜덤 5곳 낙뢰 (각 ATK 200%), 감전</t>
        </is>
      </c>
      <c r="G12" s="8" t="inlineStr">
        <is>
          <t>최종: 신의 일격 — 3초 모으기 후 전체 ATK 500% (회피 불가)</t>
        </is>
      </c>
      <c r="H12" s="8" t="inlineStr">
        <is>
          <t>암속성</t>
        </is>
      </c>
      <c r="I12" s="8" t="inlineStr">
        <is>
          <t>암법사, 탱커2, 힐러2, 버퍼</t>
        </is>
      </c>
      <c r="J12" s="8" t="inlineStr">
        <is>
          <t>묠니르는 좌우 회피, 신의 일격은 무적·보호막 필수, 암속성 약점 집중</t>
        </is>
      </c>
    </row>
    <row r="13">
      <c r="A13" s="9" t="inlineStr">
        <is>
          <t>진정한슬라임</t>
        </is>
      </c>
      <c r="B13" s="9" t="inlineStr">
        <is>
          <t>100,000</t>
        </is>
      </c>
      <c r="C13" s="9" t="inlineStr">
        <is>
          <t>999</t>
        </is>
      </c>
      <c r="D13" s="9" t="inlineStr">
        <is>
          <t>1페이즈: HP100~80%
2페이즈: HP80~50%
3페이즈: HP50~20%
최종: HP20~0%</t>
        </is>
      </c>
      <c r="E13" s="9" t="inlineStr">
        <is>
          <t>1P: 완벽 분열 — 자신과 동일 HP의 분열체 2마리 (실제는 환영)</t>
        </is>
      </c>
      <c r="F13" s="9" t="inlineStr">
        <is>
          <t>2P: 전 속성 브레스 — 화/빙/뇌/암/성 순환 브레스 (5초 주기)</t>
        </is>
      </c>
      <c r="G13" s="9" t="inlineStr">
        <is>
          <t>최종: 슬라임 빅뱅 — 전체 HP 90% 고정 피해 + 맵 리셋</t>
        </is>
      </c>
      <c r="H13" s="9" t="inlineStr">
        <is>
          <t>물리(마법 내성 극강)</t>
        </is>
      </c>
      <c r="I13" s="9" t="inlineStr">
        <is>
          <t>물리 딜러3, 탱커, 힐러2 — 마법 딜러 비추천</t>
        </is>
      </c>
      <c r="J13" s="9" t="inlineStr">
        <is>
          <t>환영 구분법: 그림자 없는 쪽이 환영, 빅뱅 전 HP 풀 회복 필수</t>
        </is>
      </c>
    </row>
  </sheetData>
  <mergeCells count="1">
    <mergeCell ref="A1:J1"/>
  </mergeCell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6" customWidth="1" min="1" max="1"/>
    <col width="36" customWidth="1" min="2" max="2"/>
    <col width="18" customWidth="1" min="3" max="3"/>
    <col width="10" customWidth="1" min="4" max="4"/>
    <col width="10" customWidth="1" min="5" max="5"/>
    <col width="48" customWidth="1" min="6" max="6"/>
  </cols>
  <sheetData>
    <row r="1">
      <c r="A1" s="6" t="inlineStr">
        <is>
          <t>마스터 목차 v2 — 전체 267시트 카테고리별 정리</t>
        </is>
      </c>
    </row>
    <row r="3">
      <c r="A3" s="7" t="inlineStr">
        <is>
          <t>#</t>
        </is>
      </c>
      <c r="B3" s="7" t="inlineStr">
        <is>
          <t>시트명</t>
        </is>
      </c>
      <c r="C3" s="7" t="inlineStr">
        <is>
          <t>카테고리</t>
        </is>
      </c>
      <c r="D3" s="7" t="inlineStr">
        <is>
          <t>상태</t>
        </is>
      </c>
      <c r="E3" s="7" t="inlineStr">
        <is>
          <t>행 수</t>
        </is>
      </c>
      <c r="F3" s="7" t="inlineStr">
        <is>
          <t>설명</t>
        </is>
      </c>
    </row>
    <row r="4">
      <c r="A4" s="8" t="n">
        <v>1</v>
      </c>
      <c r="B4" s="8" t="inlineStr">
        <is>
          <t>게임 개요</t>
        </is>
      </c>
      <c r="C4" s="8" t="inlineStr">
        <is>
          <t>게임 개요 &amp; 구조</t>
        </is>
      </c>
      <c r="D4" s="8" t="inlineStr">
        <is>
          <t>✅완료</t>
        </is>
      </c>
      <c r="E4" s="8" t="inlineStr">
        <is>
          <t>~30</t>
        </is>
      </c>
      <c r="F4" s="8" t="inlineStr">
        <is>
          <t>게임명·장르·플랫폼·핵심 루프 요약</t>
        </is>
      </c>
    </row>
    <row r="5">
      <c r="A5" s="9" t="n">
        <v>2</v>
      </c>
      <c r="B5" s="9" t="inlineStr">
        <is>
          <t>마스터 목차 v2</t>
        </is>
      </c>
      <c r="C5" s="9" t="inlineStr">
        <is>
          <t>게임 개요 &amp; 구조</t>
        </is>
      </c>
      <c r="D5" s="9" t="inlineStr">
        <is>
          <t>✅완료</t>
        </is>
      </c>
      <c r="E5" s="9" t="inlineStr">
        <is>
          <t>~40</t>
        </is>
      </c>
      <c r="F5" s="9" t="inlineStr">
        <is>
          <t>전체 시트 카테고리별 목차 (본 시트)</t>
        </is>
      </c>
    </row>
    <row r="6">
      <c r="A6" s="8" t="n">
        <v>3</v>
      </c>
      <c r="B6" s="8" t="inlineStr">
        <is>
          <t>전체 화폐 &amp; 재화 목록</t>
        </is>
      </c>
      <c r="C6" s="8" t="inlineStr">
        <is>
          <t>게임 개요 &amp; 구조</t>
        </is>
      </c>
      <c r="D6" s="8" t="inlineStr">
        <is>
          <t>✅완료</t>
        </is>
      </c>
      <c r="E6" s="8" t="inlineStr">
        <is>
          <t>~15</t>
        </is>
      </c>
      <c r="F6" s="8" t="inlineStr">
        <is>
          <t>15종 재화 획득처·용도·일일 수입 총정리</t>
        </is>
      </c>
    </row>
    <row r="7">
      <c r="A7" s="9" t="n">
        <v>4</v>
      </c>
      <c r="B7" s="9" t="inlineStr">
        <is>
          <t>기타 개요 시트 (5~8종)</t>
        </is>
      </c>
      <c r="C7" s="9" t="inlineStr">
        <is>
          <t>게임 개요 &amp; 구조</t>
        </is>
      </c>
      <c r="D7" s="9" t="inlineStr">
        <is>
          <t>✅완료</t>
        </is>
      </c>
      <c r="E7" s="9" t="inlineStr">
        <is>
          <t>다양</t>
        </is>
      </c>
      <c r="F7" s="9" t="inlineStr">
        <is>
          <t>게임 구조도, 핵심 수치, 밸런스 기본값 등</t>
        </is>
      </c>
    </row>
    <row r="8">
      <c r="A8" s="8" t="inlineStr"/>
      <c r="B8" s="8" t="inlineStr"/>
      <c r="C8" s="8" t="inlineStr"/>
      <c r="D8" s="8" t="inlineStr"/>
      <c r="E8" s="8" t="inlineStr"/>
      <c r="F8" s="8" t="inlineStr"/>
    </row>
    <row r="9">
      <c r="A9" s="9" t="n">
        <v>5</v>
      </c>
      <c r="B9" s="9" t="inlineStr">
        <is>
          <t>IO 서바이벌 시트군 (10~15종)</t>
        </is>
      </c>
      <c r="C9" s="9" t="inlineStr">
        <is>
          <t>IO 서바이벌</t>
        </is>
      </c>
      <c r="D9" s="9" t="inlineStr">
        <is>
          <t>✅완료</t>
        </is>
      </c>
      <c r="E9" s="9" t="inlineStr">
        <is>
          <t>다양</t>
        </is>
      </c>
      <c r="F9" s="9" t="inlineStr">
        <is>
          <t>IO 모드 6종, 무기 17종, 조합표, 스테이지, 보상, 등급표 등</t>
        </is>
      </c>
    </row>
    <row r="10">
      <c r="A10" s="8" t="n">
        <v>6</v>
      </c>
      <c r="B10" s="8" t="inlineStr">
        <is>
          <t>주요 시트: IO 무기 목록, IO 모드, IO 보상</t>
        </is>
      </c>
      <c r="C10" s="8" t="inlineStr">
        <is>
          <t>IO 서바이벌</t>
        </is>
      </c>
      <c r="D10" s="8" t="inlineStr">
        <is>
          <t>✅완료</t>
        </is>
      </c>
      <c r="E10" s="8" t="inlineStr">
        <is>
          <t>~15~30</t>
        </is>
      </c>
      <c r="F10" s="8" t="inlineStr">
        <is>
          <t>무기 스탯·조합법·모드별 규칙·보상 테이블</t>
        </is>
      </c>
    </row>
    <row r="11">
      <c r="A11" s="9" t="inlineStr"/>
      <c r="B11" s="9" t="inlineStr"/>
      <c r="C11" s="9" t="inlineStr"/>
      <c r="D11" s="9" t="inlineStr"/>
      <c r="E11" s="9" t="inlineStr"/>
      <c r="F11" s="9" t="inlineStr"/>
    </row>
    <row r="12">
      <c r="A12" s="8" t="n">
        <v>7</v>
      </c>
      <c r="B12" s="8" t="inlineStr">
        <is>
          <t>SLG 용병 시트군 (20~25종)</t>
        </is>
      </c>
      <c r="C12" s="8" t="inlineStr">
        <is>
          <t>SLG 용병</t>
        </is>
      </c>
      <c r="D12" s="8" t="inlineStr">
        <is>
          <t>✅완료</t>
        </is>
      </c>
      <c r="E12" s="8" t="inlineStr">
        <is>
          <t>다양</t>
        </is>
      </c>
      <c r="F12" s="8" t="inlineStr">
        <is>
          <t>용병 60종, 직업, 진급, 진화, 각성, 초월, 스킬, 시너지 등</t>
        </is>
      </c>
    </row>
    <row r="13">
      <c r="A13" s="9" t="n">
        <v>8</v>
      </c>
      <c r="B13" s="9" t="inlineStr">
        <is>
          <t>주요 시트: 용병 목록, 직업 시너지, 각성 재료</t>
        </is>
      </c>
      <c r="C13" s="9" t="inlineStr">
        <is>
          <t>SLG 용병</t>
        </is>
      </c>
      <c r="D13" s="9" t="inlineStr">
        <is>
          <t>✅완료</t>
        </is>
      </c>
      <c r="E13" s="9" t="inlineStr">
        <is>
          <t>~20~60</t>
        </is>
      </c>
      <c r="F13" s="9" t="inlineStr">
        <is>
          <t>용병 스탯·스킬·조합·육성 경로 상세</t>
        </is>
      </c>
    </row>
    <row r="14">
      <c r="A14" s="8" t="inlineStr"/>
      <c r="B14" s="8" t="inlineStr"/>
      <c r="C14" s="8" t="inlineStr"/>
      <c r="D14" s="8" t="inlineStr"/>
      <c r="E14" s="8" t="inlineStr"/>
      <c r="F14" s="8" t="inlineStr"/>
    </row>
    <row r="15">
      <c r="A15" s="9" t="n">
        <v>9</v>
      </c>
      <c r="B15" s="9" t="inlineStr">
        <is>
          <t>공성전 시트군 (10~15종)</t>
        </is>
      </c>
      <c r="C15" s="9" t="inlineStr">
        <is>
          <t>공성전</t>
        </is>
      </c>
      <c r="D15" s="9" t="inlineStr">
        <is>
          <t>✅완료</t>
        </is>
      </c>
      <c r="E15" s="9" t="inlineStr">
        <is>
          <t>다양</t>
        </is>
      </c>
      <c r="F15" s="9" t="inlineStr">
        <is>
          <t>공성 규칙, 성 건설, 방어 타워, 함정, 토너먼트, 맵 에디터 등</t>
        </is>
      </c>
    </row>
    <row r="16">
      <c r="A16" s="8" t="n">
        <v>10</v>
      </c>
      <c r="B16" s="8" t="inlineStr">
        <is>
          <t>주요 시트: 공성 규칙, 타워 목록, 성벽 스펙</t>
        </is>
      </c>
      <c r="C16" s="8" t="inlineStr">
        <is>
          <t>공성전</t>
        </is>
      </c>
      <c r="D16" s="8" t="inlineStr">
        <is>
          <t>✅완료</t>
        </is>
      </c>
      <c r="E16" s="8" t="inlineStr">
        <is>
          <t>~15~30</t>
        </is>
      </c>
      <c r="F16" s="8" t="inlineStr">
        <is>
          <t>공성전 페이즈·타워 스탯·성벽 업그레이드 상세</t>
        </is>
      </c>
    </row>
    <row r="17">
      <c r="A17" s="9" t="inlineStr"/>
      <c r="B17" s="9" t="inlineStr"/>
      <c r="C17" s="9" t="inlineStr"/>
      <c r="D17" s="9" t="inlineStr"/>
      <c r="E17" s="9" t="inlineStr"/>
      <c r="F17" s="9" t="inlineStr"/>
    </row>
    <row r="18">
      <c r="A18" s="8" t="n">
        <v>11</v>
      </c>
      <c r="B18" s="8" t="inlineStr">
        <is>
          <t>무역 &amp; 경제 시트군 (10~15종)</t>
        </is>
      </c>
      <c r="C18" s="8" t="inlineStr">
        <is>
          <t>무역 &amp; 경제</t>
        </is>
      </c>
      <c r="D18" s="8" t="inlineStr">
        <is>
          <t>✅완료</t>
        </is>
      </c>
      <c r="E18" s="8" t="inlineStr">
        <is>
          <t>다양</t>
        </is>
      </c>
      <c r="F18" s="8" t="inlineStr">
        <is>
          <t>무역 시스템, 특산품, 거래소, 세금, 경매, NPC 상점 등</t>
        </is>
      </c>
    </row>
    <row r="19">
      <c r="A19" s="9" t="n">
        <v>12</v>
      </c>
      <c r="B19" s="9" t="inlineStr">
        <is>
          <t>주요 시트: 무역 노선, 특산품 목록, 거래소 규칙</t>
        </is>
      </c>
      <c r="C19" s="9" t="inlineStr">
        <is>
          <t>무역 &amp; 경제</t>
        </is>
      </c>
      <c r="D19" s="9" t="inlineStr">
        <is>
          <t>✅완료</t>
        </is>
      </c>
      <c r="E19" s="9" t="inlineStr">
        <is>
          <t>~15~25</t>
        </is>
      </c>
      <c r="F19" s="9" t="inlineStr">
        <is>
          <t>무역 수익 계산·특산품 가격표·거래소 수수료</t>
        </is>
      </c>
    </row>
    <row r="20">
      <c r="A20" s="8" t="inlineStr"/>
      <c r="B20" s="8" t="inlineStr"/>
      <c r="C20" s="8" t="inlineStr"/>
      <c r="D20" s="8" t="inlineStr"/>
      <c r="E20" s="8" t="inlineStr"/>
      <c r="F20" s="8" t="inlineStr"/>
    </row>
    <row r="21">
      <c r="A21" s="9" t="n">
        <v>13</v>
      </c>
      <c r="B21" s="9" t="inlineStr">
        <is>
          <t>PvP &amp; 사회 시트군 (10~15종)</t>
        </is>
      </c>
      <c r="C21" s="9" t="inlineStr">
        <is>
          <t>PvP &amp; 사회</t>
        </is>
      </c>
      <c r="D21" s="9" t="inlineStr">
        <is>
          <t>✅완료</t>
        </is>
      </c>
      <c r="E21" s="9" t="inlineStr">
        <is>
          <t>다양</t>
        </is>
      </c>
      <c r="F21" s="9" t="inlineStr">
        <is>
          <t>아레나, 랭킹, 혈맹, 외교, 채팅, 칭호, 업적 등</t>
        </is>
      </c>
    </row>
    <row r="22">
      <c r="A22" s="8" t="n">
        <v>14</v>
      </c>
      <c r="B22" s="8" t="inlineStr">
        <is>
          <t>주요 시트: 아레나 규칙, 혈맹 시스템, 칭호 목록</t>
        </is>
      </c>
      <c r="C22" s="8" t="inlineStr">
        <is>
          <t>PvP &amp; 사회</t>
        </is>
      </c>
      <c r="D22" s="8" t="inlineStr">
        <is>
          <t>✅완료</t>
        </is>
      </c>
      <c r="E22" s="8" t="inlineStr">
        <is>
          <t>~15~30</t>
        </is>
      </c>
      <c r="F22" s="8" t="inlineStr">
        <is>
          <t>PvP 매칭·보상·혈맹 스킬·칭호 조건 상세</t>
        </is>
      </c>
    </row>
    <row r="23">
      <c r="A23" s="9" t="inlineStr"/>
      <c r="B23" s="9" t="inlineStr"/>
      <c r="C23" s="9" t="inlineStr"/>
      <c r="D23" s="9" t="inlineStr"/>
      <c r="E23" s="9" t="inlineStr"/>
      <c r="F23" s="9" t="inlineStr"/>
    </row>
    <row r="24">
      <c r="A24" s="8" t="n">
        <v>15</v>
      </c>
      <c r="B24" s="8" t="inlineStr">
        <is>
          <t>포획 &amp; 몬스터 시트군 (5~10종)</t>
        </is>
      </c>
      <c r="C24" s="8" t="inlineStr">
        <is>
          <t>포획 &amp; 몬스터</t>
        </is>
      </c>
      <c r="D24" s="8" t="inlineStr">
        <is>
          <t>✅완료</t>
        </is>
      </c>
      <c r="E24" s="8" t="inlineStr">
        <is>
          <t>다양</t>
        </is>
      </c>
      <c r="F24" s="8" t="inlineStr">
        <is>
          <t>몬스터 도감, 포획 시스템, 도구, 진화, 배틀 등</t>
        </is>
      </c>
    </row>
    <row r="25">
      <c r="A25" s="9" t="n">
        <v>16</v>
      </c>
      <c r="B25" s="9" t="inlineStr">
        <is>
          <t>주요 시트: 몬스터 도감, 포획 확률, 진화 트리</t>
        </is>
      </c>
      <c r="C25" s="9" t="inlineStr">
        <is>
          <t>포획 &amp; 몬스터</t>
        </is>
      </c>
      <c r="D25" s="9" t="inlineStr">
        <is>
          <t>✅완료</t>
        </is>
      </c>
      <c r="E25" s="9" t="inlineStr">
        <is>
          <t>~15~40</t>
        </is>
      </c>
      <c r="F25" s="9" t="inlineStr">
        <is>
          <t>몬스터 스탯·출현 위치·포획 조건·진화 경로</t>
        </is>
      </c>
    </row>
    <row r="26">
      <c r="A26" s="8" t="inlineStr"/>
      <c r="B26" s="8" t="inlineStr"/>
      <c r="C26" s="8" t="inlineStr"/>
      <c r="D26" s="8" t="inlineStr"/>
      <c r="E26" s="8" t="inlineStr"/>
      <c r="F26" s="8" t="inlineStr"/>
    </row>
    <row r="27">
      <c r="A27" s="9" t="n">
        <v>17</v>
      </c>
      <c r="B27" s="9" t="inlineStr">
        <is>
          <t>엔드게임 &amp; 세계관 시트군 (10~15종)</t>
        </is>
      </c>
      <c r="C27" s="9" t="inlineStr">
        <is>
          <t>엔드게임 &amp; 세계관</t>
        </is>
      </c>
      <c r="D27" s="9" t="inlineStr">
        <is>
          <t>✅완료</t>
        </is>
      </c>
      <c r="E27" s="9" t="inlineStr">
        <is>
          <t>다양</t>
        </is>
      </c>
      <c r="F27" s="9" t="inlineStr">
        <is>
          <t>차원 원정, 히든보스, 세계관 스토리, 엔딩 조건 등</t>
        </is>
      </c>
    </row>
    <row r="28">
      <c r="A28" s="8" t="n">
        <v>18</v>
      </c>
      <c r="B28" s="8" t="inlineStr">
        <is>
          <t>보스 공략 가이드 10종</t>
        </is>
      </c>
      <c r="C28" s="8" t="inlineStr">
        <is>
          <t>엔드게임 &amp; 세계관</t>
        </is>
      </c>
      <c r="D28" s="8" t="inlineStr">
        <is>
          <t>✅완료</t>
        </is>
      </c>
      <c r="E28" s="8" t="inlineStr">
        <is>
          <t>~10</t>
        </is>
      </c>
      <c r="F28" s="8" t="inlineStr">
        <is>
          <t>IO보스 5 + 레이드보스 4 + 히든보스 1 공략</t>
        </is>
      </c>
    </row>
    <row r="29">
      <c r="A29" s="9" t="n">
        <v>19</v>
      </c>
      <c r="B29" s="9" t="inlineStr">
        <is>
          <t>주요 시트: 차원 던전, 스토리 타임라인, 엔딩 분기</t>
        </is>
      </c>
      <c r="C29" s="9" t="inlineStr">
        <is>
          <t>엔드게임 &amp; 세계관</t>
        </is>
      </c>
      <c r="D29" s="9" t="inlineStr">
        <is>
          <t>✅완료</t>
        </is>
      </c>
      <c r="E29" s="9" t="inlineStr">
        <is>
          <t>~15~25</t>
        </is>
      </c>
      <c r="F29" s="9" t="inlineStr">
        <is>
          <t>엔드게임 콘텐츠 상세 설계</t>
        </is>
      </c>
    </row>
    <row r="30">
      <c r="A30" s="8" t="inlineStr"/>
      <c r="B30" s="8" t="inlineStr"/>
      <c r="C30" s="8" t="inlineStr"/>
      <c r="D30" s="8" t="inlineStr"/>
      <c r="E30" s="8" t="inlineStr"/>
      <c r="F30" s="8" t="inlineStr"/>
    </row>
    <row r="31">
      <c r="A31" s="9" t="n">
        <v>20</v>
      </c>
      <c r="B31" s="9" t="inlineStr">
        <is>
          <t>생활 &amp; 수집 시트군 (10~15종)</t>
        </is>
      </c>
      <c r="C31" s="9" t="inlineStr">
        <is>
          <t>생활 &amp; 수집</t>
        </is>
      </c>
      <c r="D31" s="9" t="inlineStr">
        <is>
          <t>✅완료</t>
        </is>
      </c>
      <c r="E31" s="9" t="inlineStr">
        <is>
          <t>다양</t>
        </is>
      </c>
      <c r="F31" s="9" t="inlineStr">
        <is>
          <t>채집, 낚시, 요리, 제작, 하우징, 도감, 컬렉션 등</t>
        </is>
      </c>
    </row>
    <row r="32">
      <c r="A32" s="8" t="n">
        <v>21</v>
      </c>
      <c r="B32" s="8" t="inlineStr">
        <is>
          <t>주요 시트: 제작 레시피, 하우징 가구, 도감 보상</t>
        </is>
      </c>
      <c r="C32" s="8" t="inlineStr">
        <is>
          <t>생활 &amp; 수집</t>
        </is>
      </c>
      <c r="D32" s="8" t="inlineStr">
        <is>
          <t>✅완료</t>
        </is>
      </c>
      <c r="E32" s="8" t="inlineStr">
        <is>
          <t>~20~40</t>
        </is>
      </c>
      <c r="F32" s="8" t="inlineStr">
        <is>
          <t>생활 콘텐츠 아이템·보상·해금 조건 상세</t>
        </is>
      </c>
    </row>
    <row r="33">
      <c r="A33" s="9" t="inlineStr"/>
      <c r="B33" s="9" t="inlineStr"/>
      <c r="C33" s="9" t="inlineStr"/>
      <c r="D33" s="9" t="inlineStr"/>
      <c r="E33" s="9" t="inlineStr"/>
      <c r="F33" s="9" t="inlineStr"/>
    </row>
    <row r="34">
      <c r="A34" s="8" t="n">
        <v>22</v>
      </c>
      <c r="B34" s="8" t="inlineStr">
        <is>
          <t>운영 &amp; 밸런스 시트군 (10~15종)</t>
        </is>
      </c>
      <c r="C34" s="8" t="inlineStr">
        <is>
          <t>운영 &amp; 밸런스</t>
        </is>
      </c>
      <c r="D34" s="8" t="inlineStr">
        <is>
          <t>✅완료</t>
        </is>
      </c>
      <c r="E34" s="8" t="inlineStr">
        <is>
          <t>다양</t>
        </is>
      </c>
      <c r="F34" s="8" t="inlineStr">
        <is>
          <t>밸런스 공식, 경험치 테이블, 드롭률, 시즌, 이벤트 등</t>
        </is>
      </c>
    </row>
    <row r="35">
      <c r="A35" s="9" t="n">
        <v>23</v>
      </c>
      <c r="B35" s="9" t="inlineStr">
        <is>
          <t>상태이상 &amp; 버프 전체 목록</t>
        </is>
      </c>
      <c r="C35" s="9" t="inlineStr">
        <is>
          <t>운영 &amp; 밸런스</t>
        </is>
      </c>
      <c r="D35" s="9" t="inlineStr">
        <is>
          <t>✅완료</t>
        </is>
      </c>
      <c r="E35" s="9" t="inlineStr">
        <is>
          <t>~25</t>
        </is>
      </c>
      <c r="F35" s="9" t="inlineStr">
        <is>
          <t>디버프 10 · 버프 10 · 특수 5 상세 효과</t>
        </is>
      </c>
    </row>
    <row r="36">
      <c r="A36" s="8" t="n">
        <v>24</v>
      </c>
      <c r="B36" s="8" t="inlineStr">
        <is>
          <t>주요 시트: EXP 테이블, 드롭률 설계, 과금 밸런스</t>
        </is>
      </c>
      <c r="C36" s="8" t="inlineStr">
        <is>
          <t>운영 &amp; 밸런스</t>
        </is>
      </c>
      <c r="D36" s="8" t="inlineStr">
        <is>
          <t>✅완료</t>
        </is>
      </c>
      <c r="E36" s="8" t="inlineStr">
        <is>
          <t>~15~30</t>
        </is>
      </c>
      <c r="F36" s="8" t="inlineStr">
        <is>
          <t>핵심 수치 설계·시뮬레이션 기반</t>
        </is>
      </c>
    </row>
    <row r="37">
      <c r="A37" s="9" t="inlineStr"/>
      <c r="B37" s="9" t="inlineStr"/>
      <c r="C37" s="9" t="inlineStr"/>
      <c r="D37" s="9" t="inlineStr"/>
      <c r="E37" s="9" t="inlineStr"/>
      <c r="F37" s="9" t="inlineStr"/>
    </row>
    <row r="38">
      <c r="A38" s="8" t="n">
        <v>25</v>
      </c>
      <c r="B38" s="8" t="inlineStr">
        <is>
          <t>가이드 &amp; 전략 시트군 (10~15종)</t>
        </is>
      </c>
      <c r="C38" s="8" t="inlineStr">
        <is>
          <t>가이드 &amp; 전략</t>
        </is>
      </c>
      <c r="D38" s="8" t="inlineStr">
        <is>
          <t>✅완료</t>
        </is>
      </c>
      <c r="E38" s="8" t="inlineStr">
        <is>
          <t>다양</t>
        </is>
      </c>
      <c r="F38" s="8" t="inlineStr">
        <is>
          <t>초보 가이드, 파티 조합, 무과금 공략, 효율 루트 등</t>
        </is>
      </c>
    </row>
    <row r="39">
      <c r="A39" s="9" t="n">
        <v>26</v>
      </c>
      <c r="B39" s="9" t="inlineStr">
        <is>
          <t>혈맹 스킬 트리 20종</t>
        </is>
      </c>
      <c r="C39" s="9" t="inlineStr">
        <is>
          <t>가이드 &amp; 전략</t>
        </is>
      </c>
      <c r="D39" s="9" t="inlineStr">
        <is>
          <t>✅완료</t>
        </is>
      </c>
      <c r="E39" s="9" t="inlineStr">
        <is>
          <t>~20</t>
        </is>
      </c>
      <c r="F39" s="9" t="inlineStr">
        <is>
          <t>4개 분파(전투·경제·성장·공성) 스킬 상세</t>
        </is>
      </c>
    </row>
    <row r="40">
      <c r="A40" s="8" t="n">
        <v>27</v>
      </c>
      <c r="B40" s="8" t="inlineStr">
        <is>
          <t>주요 시트: 초보 가이드, 일일 루틴, 효율 투자법</t>
        </is>
      </c>
      <c r="C40" s="8" t="inlineStr">
        <is>
          <t>가이드 &amp; 전략</t>
        </is>
      </c>
      <c r="D40" s="8" t="inlineStr">
        <is>
          <t>✅완료</t>
        </is>
      </c>
      <c r="E40" s="8" t="inlineStr">
        <is>
          <t>~15~25</t>
        </is>
      </c>
      <c r="F40" s="8" t="inlineStr">
        <is>
          <t>뉴비~엔드유저 단계별 공략</t>
        </is>
      </c>
    </row>
    <row r="41">
      <c r="A41" s="9" t="inlineStr"/>
      <c r="B41" s="9" t="inlineStr"/>
      <c r="C41" s="9" t="inlineStr"/>
      <c r="D41" s="9" t="inlineStr"/>
      <c r="E41" s="9" t="inlineStr"/>
      <c r="F41" s="9" t="inlineStr"/>
    </row>
    <row r="42">
      <c r="A42" s="8" t="n">
        <v>28</v>
      </c>
      <c r="B42" s="8" t="inlineStr">
        <is>
          <t>레거시 v2 시트군 (~100종)</t>
        </is>
      </c>
      <c r="C42" s="8" t="inlineStr">
        <is>
          <t>레거시 v2</t>
        </is>
      </c>
      <c r="D42" s="8" t="inlineStr">
        <is>
          <t>✅완료</t>
        </is>
      </c>
      <c r="E42" s="8" t="inlineStr">
        <is>
          <t>다양</t>
        </is>
      </c>
      <c r="F42" s="8" t="inlineStr">
        <is>
          <t>기존 v1~v2 기획 시트, 구버전 데이터 보존</t>
        </is>
      </c>
    </row>
    <row r="43">
      <c r="A43" s="9" t="n">
        <v>29</v>
      </c>
      <c r="B43" s="9" t="inlineStr">
        <is>
          <t>주요 시트: v1 용병 목록, 구 무기표, 구 밸런스</t>
        </is>
      </c>
      <c r="C43" s="9" t="inlineStr">
        <is>
          <t>레거시 v2</t>
        </is>
      </c>
      <c r="D43" s="9" t="inlineStr">
        <is>
          <t>✅완료</t>
        </is>
      </c>
      <c r="E43" s="9" t="inlineStr">
        <is>
          <t>다양</t>
        </is>
      </c>
      <c r="F43" s="9" t="inlineStr">
        <is>
          <t>과거 버전 데이터 아카이브, 변경 이력 참조용</t>
        </is>
      </c>
    </row>
    <row r="44">
      <c r="A44" s="8" t="inlineStr"/>
      <c r="B44" s="8" t="inlineStr"/>
      <c r="C44" s="8" t="inlineStr"/>
      <c r="D44" s="8" t="inlineStr"/>
      <c r="E44" s="8" t="inlineStr"/>
      <c r="F44" s="8" t="inlineStr"/>
    </row>
    <row r="45">
      <c r="A45" s="9" t="inlineStr">
        <is>
          <t>-</t>
        </is>
      </c>
      <c r="B45" s="9" t="inlineStr">
        <is>
          <t>═══ 총 시트 약 267개 ═══</t>
        </is>
      </c>
      <c r="C45" s="9" t="inlineStr">
        <is>
          <t>전체</t>
        </is>
      </c>
      <c r="D45" s="9" t="inlineStr">
        <is>
          <t>-</t>
        </is>
      </c>
      <c r="E45" s="9" t="inlineStr">
        <is>
          <t>-</t>
        </is>
      </c>
      <c r="F45" s="9" t="inlineStr">
        <is>
          <t>12개 카테고리, 267개 시트로 구성된 AutoBattle.io 기획서 전체 목차</t>
        </is>
      </c>
    </row>
  </sheetData>
  <mergeCells count="1">
    <mergeCell ref="A1:F1"/>
  </mergeCell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0" customWidth="1" min="1" max="1"/>
    <col width="22" customWidth="1" min="2" max="2"/>
    <col width="22" customWidth="1" min="3" max="3"/>
    <col width="20" customWidth="1" min="4" max="4"/>
    <col width="16" customWidth="1" min="5" max="5"/>
    <col width="32" customWidth="1" min="6" max="6"/>
    <col width="32" customWidth="1" min="7" max="7"/>
  </cols>
  <sheetData>
    <row r="1">
      <c r="A1" s="6" t="inlineStr">
        <is>
          <t>용병 전장 배치 시뮬레이터 가이드 — 10가지 공성전 시나리오 분석</t>
        </is>
      </c>
    </row>
    <row r="3">
      <c r="A3" s="7" t="inlineStr">
        <is>
          <t>상황</t>
        </is>
      </c>
      <c r="B3" s="7" t="inlineStr">
        <is>
          <t>공격자 편성</t>
        </is>
      </c>
      <c r="C3" s="7" t="inlineStr">
        <is>
          <t>방어자 편성</t>
        </is>
      </c>
      <c r="D3" s="7" t="inlineStr">
        <is>
          <t>함정 배치</t>
        </is>
      </c>
      <c r="E3" s="7" t="inlineStr">
        <is>
          <t>예상 결과</t>
        </is>
      </c>
      <c r="F3" s="7" t="inlineStr">
        <is>
          <t>승리 요인</t>
        </is>
      </c>
      <c r="G3" s="7" t="inlineStr">
        <is>
          <t>핵심 교전</t>
        </is>
      </c>
    </row>
    <row r="4">
      <c r="A4" s="8" t="inlineStr">
        <is>
          <t>초보 vs 초보
(보병파티 vs 가시함정)</t>
        </is>
      </c>
      <c r="B4" s="8" t="inlineStr">
        <is>
          <t>보병×4 (Lv1~2)
기본 검·방패 장착</t>
        </is>
      </c>
      <c r="C4" s="8" t="inlineStr">
        <is>
          <t>보병×3 + 궁수×1
성 Lv1 기본 방어</t>
        </is>
      </c>
      <c r="D4" s="8" t="inlineStr">
        <is>
          <t>가시함정×3
입구 일자 배치</t>
        </is>
      </c>
      <c r="E4" s="8" t="inlineStr">
        <is>
          <t>방어자 승 (6:4)</t>
        </is>
      </c>
      <c r="F4" s="8" t="inlineStr">
        <is>
          <t>가시함정이 보병 HP를 40% 깎아 교전 전 약화.
초보끼리는 함정 회피를 못 함</t>
        </is>
      </c>
      <c r="G4" s="8" t="inlineStr">
        <is>
          <t>입구 가시밭→보병 반피→궁수 원거리 마무리</t>
        </is>
      </c>
    </row>
    <row r="5">
      <c r="A5" s="9" t="inlineStr">
        <is>
          <t>돌격 vs 철벽
(기사파티 vs 장벽+탑)</t>
        </is>
      </c>
      <c r="B5" s="9" t="inlineStr">
        <is>
          <t>기사×3 + 창기사×1
돌격 진형, 속도 버프</t>
        </is>
      </c>
      <c r="C5" s="9" t="inlineStr">
        <is>
          <t>수호전사×2 + 성직자×1
성 Lv2 장벽 강화</t>
        </is>
      </c>
      <c r="D5" s="9" t="inlineStr">
        <is>
          <t>장벽×2 + 화살탑×2
이중 방어선 구축</t>
        </is>
      </c>
      <c r="E5" s="9" t="inlineStr">
        <is>
          <t>방어자 승 (7:3)</t>
        </is>
      </c>
      <c r="F5" s="9" t="inlineStr">
        <is>
          <t>장벽이 돌격 모멘텀 차단, 화살탑 지속 데미지.
기사 돌진 스킬이 장벽에 막혀 무력화</t>
        </is>
      </c>
      <c r="G5" s="9" t="inlineStr">
        <is>
          <t>기사 돌진→장벽 충돌→화살탑 집중사격→창기사 고립</t>
        </is>
      </c>
    </row>
    <row r="6">
      <c r="A6" s="8" t="inlineStr">
        <is>
          <t>암살 vs 소환수
(닌자파티 vs 소환함정)</t>
        </is>
      </c>
      <c r="B6" s="8" t="inlineStr">
        <is>
          <t>닌자×2 + 도적×2
은신 침투, 급소 공격</t>
        </is>
      </c>
      <c r="C6" s="8" t="inlineStr">
        <is>
          <t>소환사×2 + 마법사×1
성 Lv2 소환 강화</t>
        </is>
      </c>
      <c r="D6" s="8" t="inlineStr">
        <is>
          <t>소환함정×3
핵심 거점 배치</t>
        </is>
      </c>
      <c r="E6" s="8" t="inlineStr">
        <is>
          <t>공격자 승 (6:4)</t>
        </is>
      </c>
      <c r="F6" s="8" t="inlineStr">
        <is>
          <t>닌자 은신이 소환수 타겟팅 무효화.
급소 공격으로 소환사 본체 빠르게 처치</t>
        </is>
      </c>
      <c r="G6" s="8" t="inlineStr">
        <is>
          <t>닌자 은신→소환수 무시→소환사 암살→도적 잔여 처리</t>
        </is>
      </c>
    </row>
    <row r="7">
      <c r="A7" s="9" t="inlineStr">
        <is>
          <t>마법 폭격 vs CC방어
(마법사파티 vs 빙결+감속)</t>
        </is>
      </c>
      <c r="B7" s="9" t="inlineStr">
        <is>
          <t>마법사×3 + 현자×1
광역 마법 연계, 마력 증폭</t>
        </is>
      </c>
      <c r="C7" s="9" t="inlineStr">
        <is>
          <t>빙결사×2 + 바드×1
성 Lv3 CC 특화</t>
        </is>
      </c>
      <c r="D7" s="9" t="inlineStr">
        <is>
          <t>빙결함정×2 + 감속함정×2
진입로 전체 커버</t>
        </is>
      </c>
      <c r="E7" s="9" t="inlineStr">
        <is>
          <t>방어자 승 (7:3)</t>
        </is>
      </c>
      <c r="F7" s="9" t="inlineStr">
        <is>
          <t>빙결+감속으로 마법사 캐스팅 지연.
마법사는 이동이 느려 CC 회피 불가</t>
        </is>
      </c>
      <c r="G7" s="9" t="inlineStr">
        <is>
          <t>마법사 진입→감속→빙결→캐스팅 불가→바드 디버프→전멸</t>
        </is>
      </c>
    </row>
    <row r="8">
      <c r="A8" s="8" t="inlineStr">
        <is>
          <t>드래곤파티 vs 만능방어
(영웅급 공격 vs Lv4 성)</t>
        </is>
      </c>
      <c r="B8" s="8" t="inlineStr">
        <is>
          <t>드래곤나이트×1 + 바하무트×1 + 세라핌×1
영웅급 트리오</t>
        </is>
      </c>
      <c r="C8" s="8" t="inlineStr">
        <is>
          <t>수호천사×1 + 마왕×1 + 검성×1
성 Lv4 최강 방어</t>
        </is>
      </c>
      <c r="D8" s="8" t="inlineStr">
        <is>
          <t>모든 함정 Lv3
복합 배치 (10개)</t>
        </is>
      </c>
      <c r="E8" s="8" t="inlineStr">
        <is>
          <t>공격자 승 (5.5:4.5)</t>
        </is>
      </c>
      <c r="F8" s="8" t="inlineStr">
        <is>
          <t>영웅급 궁극기 연계가 함정 돌파.
바하무트 브레스로 함정 일소 후 진입</t>
        </is>
      </c>
      <c r="G8" s="8" t="inlineStr">
        <is>
          <t>바하무트 브레스→함정 파괴→드래곤나이트 돌진→세라핌 힐→보스전</t>
        </is>
      </c>
    </row>
    <row r="9">
      <c r="A9" s="9" t="inlineStr">
        <is>
          <t>풀파티 vs 풀방어
(전설+신화 vs Lv5 만점)</t>
        </is>
      </c>
      <c r="B9" s="9" t="inlineStr">
        <is>
          <t>신화 용병×5
전설 장비 풀강화
합체 궁극기 준비</t>
        </is>
      </c>
      <c r="C9" s="9" t="inlineStr">
        <is>
          <t>신화 용병×5
성 Lv5 만렙
모든 방어 시설 최대</t>
        </is>
      </c>
      <c r="D9" s="9" t="inlineStr">
        <is>
          <t>전 함정 Lv5
미로+복합 배치
함정 20개 풀배치</t>
        </is>
      </c>
      <c r="E9" s="9" t="inlineStr">
        <is>
          <t>무승부 (5:5)</t>
        </is>
      </c>
      <c r="F9" s="9" t="inlineStr">
        <is>
          <t>양측 전력 동등. 전략과 컨트롤이 승부 결정.
합체 궁극기 타이밍이 핵심 변수</t>
        </is>
      </c>
      <c r="G9" s="9" t="inlineStr">
        <is>
          <t>합체 궁극기 교환→함정 돌파전→최종 보스전→컨트롤 싸움</t>
        </is>
      </c>
    </row>
    <row r="10">
      <c r="A10" s="8" t="inlineStr">
        <is>
          <t>스피드러시 vs 텔포방어
(속도특화 vs 텔레포트)</t>
        </is>
      </c>
      <c r="B10" s="8" t="inlineStr">
        <is>
          <t>닌자×2 + 기마병×2
속도 200% 버프
선제 기습 전략</t>
        </is>
      </c>
      <c r="C10" s="8" t="inlineStr">
        <is>
          <t>마법사×2 + 시간술사×1
성 Lv3 텔포 특화</t>
        </is>
      </c>
      <c r="D10" s="8" t="inlineStr">
        <is>
          <t>텔레포트함정×3 + 가시×2
랜덤 이동 유도</t>
        </is>
      </c>
      <c r="E10" s="8" t="inlineStr">
        <is>
          <t>방어자 승 (6:4)</t>
        </is>
      </c>
      <c r="F10" s="8" t="inlineStr">
        <is>
          <t>텔레포트로 스피드러시 동선 교란.
속도가 빨라도 텔포 당하면 무의미</t>
        </is>
      </c>
      <c r="G10" s="8" t="inlineStr">
        <is>
          <t>기마병 돌진→텔포 발동→가시밭 이동→분산→각개격파</t>
        </is>
      </c>
    </row>
    <row r="11">
      <c r="A11" s="9" t="inlineStr">
        <is>
          <t>힐탱 vs 화력방어
(치유사포함 vs 화살탑)</t>
        </is>
      </c>
      <c r="B11" s="9" t="inlineStr">
        <is>
          <t>수호전사×2 + 치유사×2
고HP 지구전 특화</t>
        </is>
      </c>
      <c r="C11" s="9" t="inlineStr">
        <is>
          <t>궁수×3 + 마법사×1
성 Lv3 화력 집중</t>
        </is>
      </c>
      <c r="D11" s="9" t="inlineStr">
        <is>
          <t>화살탑×4 + 폭발함정×2
화력 극대화 배치</t>
        </is>
      </c>
      <c r="E11" s="9" t="inlineStr">
        <is>
          <t>방어자 승 (6:4)</t>
        </is>
      </c>
      <c r="F11" s="9" t="inlineStr">
        <is>
          <t>화살탑 4개의 DPS가 치유량 초과.
폭발함정이 힐탱 뭉친 곳에 광역 데미지</t>
        </is>
      </c>
      <c r="G11" s="9" t="inlineStr">
        <is>
          <t>수호전사 진입→화살탑 집중→치유사 힐→폭발함정→힐량 초과→붕괴</t>
        </is>
      </c>
    </row>
    <row r="12">
      <c r="A12" s="8" t="inlineStr">
        <is>
          <t>1인돌파 vs 미로성
(검성솔로 vs 미로맵)</t>
        </is>
      </c>
      <c r="B12" s="8" t="inlineStr">
        <is>
          <t>검성×1 (신화 각성)
솔로 플레이
극한 스탯 올인</t>
        </is>
      </c>
      <c r="C12" s="8" t="inlineStr">
        <is>
          <t>다수 약병×8
성 Lv4 미로 특화</t>
        </is>
      </c>
      <c r="D12" s="8" t="inlineStr">
        <is>
          <t>미로 구조 + 함정 15개
막다른 길마다 함정</t>
        </is>
      </c>
      <c r="E12" s="8" t="inlineStr">
        <is>
          <t>공격자 승 (6:4)</t>
        </is>
      </c>
      <c r="F12" s="8" t="inlineStr">
        <is>
          <t>검성 각성 스킬로 벽 파괴 가능.
솔로지만 압도적 스탯으로 약병 일격</t>
        </is>
      </c>
      <c r="G12" s="8" t="inlineStr">
        <is>
          <t>검성 벽 파괴→지름길 생성→함정 회피→약병 일격→성주 직행</t>
        </is>
      </c>
    </row>
    <row r="13">
      <c r="A13" s="9" t="inlineStr">
        <is>
          <t>혈맹전 10v10
(대규모 시뮬레이션)</t>
        </is>
      </c>
      <c r="B13" s="9" t="inlineStr">
        <is>
          <t>혈맹 A (10명)
탱2 딜4 힐2 서폿2
혈맹 스킬: 전투의 함성</t>
        </is>
      </c>
      <c r="C13" s="9" t="inlineStr">
        <is>
          <t>혈맹 B (10명)
탱3 딜3 힐2 서폿2
혈맹 스킬: 철벽 방어</t>
        </is>
      </c>
      <c r="D13" s="9" t="inlineStr">
        <is>
          <t>양측 성 Lv4
함정 각 15개
공성무기 각 2개</t>
        </is>
      </c>
      <c r="E13" s="9" t="inlineStr">
        <is>
          <t>혈맹 A 승 (5.5:4.5)</t>
        </is>
      </c>
      <c r="F13" s="9" t="inlineStr">
        <is>
          <t>딜러 수 우위로 공격력 차이.
전투의 함성 버프가 교전 초반 우세 확보</t>
        </is>
      </c>
      <c r="G13" s="9" t="inlineStr">
        <is>
          <t>전투의 함성→선제 교전→딜러 화력→힐러 생존전→공성무기 결정타</t>
        </is>
      </c>
    </row>
  </sheetData>
  <mergeCells count="1">
    <mergeCell ref="A1:G1"/>
  </mergeCell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6" customWidth="1" min="1" max="1"/>
    <col width="22" customWidth="1" min="2" max="2"/>
    <col width="8" customWidth="1" min="3" max="3"/>
    <col width="34" customWidth="1" min="4" max="4"/>
    <col width="22" customWidth="1" min="5" max="5"/>
    <col width="28" customWidth="1" min="6" max="6"/>
  </cols>
  <sheetData>
    <row r="1">
      <c r="A1" s="6" t="inlineStr">
        <is>
          <t>채팅 &amp; 이모티콘 시스템 — 기본·용병·전투 이모티콘 + 채팅 명령어</t>
        </is>
      </c>
    </row>
    <row r="3">
      <c r="A3" s="7" t="inlineStr">
        <is>
          <t>카테고리</t>
        </is>
      </c>
      <c r="B3" s="7" t="inlineStr">
        <is>
          <t>이모티콘/명령어</t>
        </is>
      </c>
      <c r="C3" s="7" t="inlineStr">
        <is>
          <t>아이콘</t>
        </is>
      </c>
      <c r="D3" s="7" t="inlineStr">
        <is>
          <t>효과</t>
        </is>
      </c>
      <c r="E3" s="7" t="inlineStr">
        <is>
          <t>획득 방법</t>
        </is>
      </c>
      <c r="F3" s="7" t="inlineStr">
        <is>
          <t>사용 장면</t>
        </is>
      </c>
    </row>
    <row r="4">
      <c r="A4" s="8" t="inlineStr">
        <is>
          <t>기본 이모티콘</t>
        </is>
      </c>
      <c r="B4" s="8" t="inlineStr">
        <is>
          <t>웃음</t>
        </is>
      </c>
      <c r="C4" s="8" t="inlineStr">
        <is>
          <t>😄</t>
        </is>
      </c>
      <c r="D4" s="8" t="inlineStr">
        <is>
          <t>캐릭터 머리 위 웃는 이펙트 (2초)</t>
        </is>
      </c>
      <c r="E4" s="8" t="inlineStr">
        <is>
          <t>기본 지급</t>
        </is>
      </c>
      <c r="F4" s="8" t="inlineStr">
        <is>
          <t>우호적 인사, 좋은 플레이 감상</t>
        </is>
      </c>
    </row>
    <row r="5">
      <c r="A5" s="9" t="inlineStr">
        <is>
          <t>기본 이모티콘</t>
        </is>
      </c>
      <c r="B5" s="9" t="inlineStr">
        <is>
          <t>화남</t>
        </is>
      </c>
      <c r="C5" s="9" t="inlineStr">
        <is>
          <t>😠</t>
        </is>
      </c>
      <c r="D5" s="9" t="inlineStr">
        <is>
          <t>캐릭터 머리 위 분노 이펙트 + 화염</t>
        </is>
      </c>
      <c r="E5" s="9" t="inlineStr">
        <is>
          <t>기본 지급</t>
        </is>
      </c>
      <c r="F5" s="9" t="inlineStr">
        <is>
          <t>PK 당했을 때, 억울한 상황</t>
        </is>
      </c>
    </row>
    <row r="6">
      <c r="A6" s="8" t="inlineStr">
        <is>
          <t>기본 이모티콘</t>
        </is>
      </c>
      <c r="B6" s="8" t="inlineStr">
        <is>
          <t>슬픔</t>
        </is>
      </c>
      <c r="C6" s="8" t="inlineStr">
        <is>
          <t>😢</t>
        </is>
      </c>
      <c r="D6" s="8" t="inlineStr">
        <is>
          <t>캐릭터 위 비구름 + 눈물 방울</t>
        </is>
      </c>
      <c r="E6" s="8" t="inlineStr">
        <is>
          <t>기본 지급</t>
        </is>
      </c>
      <c r="F6" s="8" t="inlineStr">
        <is>
          <t>패배, 동료 사망, 아쉬운 상황</t>
        </is>
      </c>
    </row>
    <row r="7">
      <c r="A7" s="9" t="inlineStr">
        <is>
          <t>기본 이모티콘</t>
        </is>
      </c>
      <c r="B7" s="9" t="inlineStr">
        <is>
          <t>놀람</t>
        </is>
      </c>
      <c r="C7" s="9" t="inlineStr">
        <is>
          <t>😲</t>
        </is>
      </c>
      <c r="D7" s="9" t="inlineStr">
        <is>
          <t>캐릭터 위 느낌표 + 번개 이펙트</t>
        </is>
      </c>
      <c r="E7" s="9" t="inlineStr">
        <is>
          <t>기본 지급</t>
        </is>
      </c>
      <c r="F7" s="9" t="inlineStr">
        <is>
          <t>예상 못한 상황, 레어 드롭</t>
        </is>
      </c>
    </row>
    <row r="8">
      <c r="A8" s="8" t="inlineStr">
        <is>
          <t>기본 이모티콘</t>
        </is>
      </c>
      <c r="B8" s="8" t="inlineStr">
        <is>
          <t>하트</t>
        </is>
      </c>
      <c r="C8" s="8" t="inlineStr">
        <is>
          <t>❤️</t>
        </is>
      </c>
      <c r="D8" s="8" t="inlineStr">
        <is>
          <t>캐릭터 주변 하트 파티클 (3초)</t>
        </is>
      </c>
      <c r="E8" s="8" t="inlineStr">
        <is>
          <t>기본 지급</t>
        </is>
      </c>
      <c r="F8" s="8" t="inlineStr">
        <is>
          <t>감사 표현, 커플 플레이</t>
        </is>
      </c>
    </row>
    <row r="9">
      <c r="A9" s="9" t="inlineStr">
        <is>
          <t>기본 이모티콘</t>
        </is>
      </c>
      <c r="B9" s="9" t="inlineStr">
        <is>
          <t>엄지</t>
        </is>
      </c>
      <c r="C9" s="9" t="inlineStr">
        <is>
          <t>👍</t>
        </is>
      </c>
      <c r="D9" s="9" t="inlineStr">
        <is>
          <t>캐릭터가 엄지척 모션 (1.5초)</t>
        </is>
      </c>
      <c r="E9" s="9" t="inlineStr">
        <is>
          <t>기본 지급</t>
        </is>
      </c>
      <c r="F9" s="9" t="inlineStr">
        <is>
          <t>동의, 칭찬, 준비 완료 신호</t>
        </is>
      </c>
    </row>
    <row r="10">
      <c r="A10" s="8" t="inlineStr">
        <is>
          <t>기본 이모티콘</t>
        </is>
      </c>
      <c r="B10" s="8" t="inlineStr">
        <is>
          <t>파이팅</t>
        </is>
      </c>
      <c r="C10" s="8" t="inlineStr">
        <is>
          <t>💪</t>
        </is>
      </c>
      <c r="D10" s="8" t="inlineStr">
        <is>
          <t>캐릭터 위 불꽃 오라 (2초)</t>
        </is>
      </c>
      <c r="E10" s="8" t="inlineStr">
        <is>
          <t>기본 지급</t>
        </is>
      </c>
      <c r="F10" s="8" t="inlineStr">
        <is>
          <t>전투 시작 전 사기 충전, 격려</t>
        </is>
      </c>
    </row>
    <row r="11">
      <c r="A11" s="9" t="inlineStr">
        <is>
          <t>기본 이모티콘</t>
        </is>
      </c>
      <c r="B11" s="9" t="inlineStr">
        <is>
          <t>GG</t>
        </is>
      </c>
      <c r="C11" s="9" t="inlineStr">
        <is>
          <t>🏆</t>
        </is>
      </c>
      <c r="D11" s="9" t="inlineStr">
        <is>
          <t>황금 텍스트 "GG" 팝업 + 반짝임</t>
        </is>
      </c>
      <c r="E11" s="9" t="inlineStr">
        <is>
          <t>기본 지급</t>
        </is>
      </c>
      <c r="F11" s="9" t="inlineStr">
        <is>
          <t>게임 종료, 좋은 매치 마무리</t>
        </is>
      </c>
    </row>
    <row r="12">
      <c r="A12" s="8" t="inlineStr">
        <is>
          <t>용병 이모티콘</t>
        </is>
      </c>
      <c r="B12" s="8" t="inlineStr">
        <is>
          <t>드래곤나이트 포효</t>
        </is>
      </c>
      <c r="C12" s="8" t="inlineStr">
        <is>
          <t>🐉</t>
        </is>
      </c>
      <c r="D12" s="8" t="inlineStr">
        <is>
          <t>드래곤 3D 모델 포효 + 화염 브레스 이펙트</t>
        </is>
      </c>
      <c r="E12" s="8" t="inlineStr">
        <is>
          <t>드래곤나이트 획득 시 해금</t>
        </is>
      </c>
      <c r="F12" s="8" t="inlineStr">
        <is>
          <t>위엄 과시, 보스전 승리</t>
        </is>
      </c>
    </row>
    <row r="13">
      <c r="A13" s="9" t="inlineStr">
        <is>
          <t>용병 이모티콘</t>
        </is>
      </c>
      <c r="B13" s="9" t="inlineStr">
        <is>
          <t>세라핌 기도</t>
        </is>
      </c>
      <c r="C13" s="9" t="inlineStr">
        <is>
          <t>👼</t>
        </is>
      </c>
      <c r="D13" s="9" t="inlineStr">
        <is>
          <t>천사 날개 + 빛기둥 이펙트 (3초)</t>
        </is>
      </c>
      <c r="E13" s="9" t="inlineStr">
        <is>
          <t>세라핌 획득 시 해금</t>
        </is>
      </c>
      <c r="F13" s="9" t="inlineStr">
        <is>
          <t>힐 감사, 축복 표현</t>
        </is>
      </c>
    </row>
    <row r="14">
      <c r="A14" s="8" t="inlineStr">
        <is>
          <t>용병 이모티콘</t>
        </is>
      </c>
      <c r="B14" s="8" t="inlineStr">
        <is>
          <t>마왕 웃음</t>
        </is>
      </c>
      <c r="C14" s="8" t="inlineStr">
        <is>
          <t>👿</t>
        </is>
      </c>
      <c r="D14" s="8" t="inlineStr">
        <is>
          <t>어둠 오라 + 사악한 웃음 SE</t>
        </is>
      </c>
      <c r="E14" s="8" t="inlineStr">
        <is>
          <t>마왕 획득 시 해금</t>
        </is>
      </c>
      <c r="F14" s="8" t="inlineStr">
        <is>
          <t>도발, PK 후 조롱, 악역 RP</t>
        </is>
      </c>
    </row>
    <row r="15">
      <c r="A15" s="9" t="inlineStr">
        <is>
          <t>용병 이모티콘</t>
        </is>
      </c>
      <c r="B15" s="9" t="inlineStr">
        <is>
          <t>검성 참격</t>
        </is>
      </c>
      <c r="C15" s="9" t="inlineStr">
        <is>
          <t>⚔️</t>
        </is>
      </c>
      <c r="D15" s="9" t="inlineStr">
        <is>
          <t>검기 슬래시 이펙트 + 칼바람</t>
        </is>
      </c>
      <c r="E15" s="9" t="inlineStr">
        <is>
          <t>검성 획득 시 해금</t>
        </is>
      </c>
      <c r="F15" s="9" t="inlineStr">
        <is>
          <t>결투 신청, 강함 어필</t>
        </is>
      </c>
    </row>
    <row r="16">
      <c r="A16" s="8" t="inlineStr">
        <is>
          <t>용병 이모티콘</t>
        </is>
      </c>
      <c r="B16" s="8" t="inlineStr">
        <is>
          <t>바하무트 브레스</t>
        </is>
      </c>
      <c r="C16" s="8" t="inlineStr">
        <is>
          <t>🔥</t>
        </is>
      </c>
      <c r="D16" s="8" t="inlineStr">
        <is>
          <t>화면 전체 화염 이펙트 (1.5초)</t>
        </is>
      </c>
      <c r="E16" s="8" t="inlineStr">
        <is>
          <t>바하무트 획득 시 해금</t>
        </is>
      </c>
      <c r="F16" s="8" t="inlineStr">
        <is>
          <t>최강 어필, 공성전 승리</t>
        </is>
      </c>
    </row>
    <row r="17">
      <c r="A17" s="9" t="inlineStr">
        <is>
          <t>용병 이모티콘</t>
        </is>
      </c>
      <c r="B17" s="9" t="inlineStr">
        <is>
          <t>슬라임 통통</t>
        </is>
      </c>
      <c r="C17" s="9" t="inlineStr">
        <is>
          <t>🟢</t>
        </is>
      </c>
      <c r="D17" s="9" t="inlineStr">
        <is>
          <t>슬라임 바운스 애니메이션 (귀여움)</t>
        </is>
      </c>
      <c r="E17" s="9" t="inlineStr">
        <is>
          <t>슬라임 획득 시 해금</t>
        </is>
      </c>
      <c r="F17" s="9" t="inlineStr">
        <is>
          <t>귀여움 어필, 분위기 전환</t>
        </is>
      </c>
    </row>
    <row r="18">
      <c r="A18" s="8" t="inlineStr">
        <is>
          <t>전투 이모티콘</t>
        </is>
      </c>
      <c r="B18" s="8" t="inlineStr">
        <is>
          <t>도발</t>
        </is>
      </c>
      <c r="C18" s="8" t="inlineStr">
        <is>
          <t>🖕</t>
        </is>
      </c>
      <c r="D18" s="8" t="inlineStr">
        <is>
          <t>캐릭터가 손짓으로 "덤벼" 모션</t>
        </is>
      </c>
      <c r="E18" s="8" t="inlineStr">
        <is>
          <t>랭크 실버 달성</t>
        </is>
      </c>
      <c r="F18" s="8" t="inlineStr">
        <is>
          <t>PvP 도발, 상대 유인</t>
        </is>
      </c>
    </row>
    <row r="19">
      <c r="A19" s="9" t="inlineStr">
        <is>
          <t>전투 이모티콘</t>
        </is>
      </c>
      <c r="B19" s="9" t="inlineStr">
        <is>
          <t>존경</t>
        </is>
      </c>
      <c r="C19" s="9" t="inlineStr">
        <is>
          <t>🙇</t>
        </is>
      </c>
      <c r="D19" s="9" t="inlineStr">
        <is>
          <t>캐릭터가 깊이 절하는 모션 (2초)</t>
        </is>
      </c>
      <c r="E19" s="9" t="inlineStr">
        <is>
          <t>랭크 골드 달성</t>
        </is>
      </c>
      <c r="F19" s="9" t="inlineStr">
        <is>
          <t>강한 상대에 경의, 명경기 후</t>
        </is>
      </c>
    </row>
    <row r="20">
      <c r="A20" s="8" t="inlineStr">
        <is>
          <t>전투 이모티콘</t>
        </is>
      </c>
      <c r="B20" s="8" t="inlineStr">
        <is>
          <t>항복</t>
        </is>
      </c>
      <c r="C20" s="8" t="inlineStr">
        <is>
          <t>🏳️</t>
        </is>
      </c>
      <c r="D20" s="8" t="inlineStr">
        <is>
          <t>백기 흔드는 모션 + 흰색 파티클</t>
        </is>
      </c>
      <c r="E20" s="8" t="inlineStr">
        <is>
          <t>공성전 10회 참여</t>
        </is>
      </c>
      <c r="F20" s="8" t="inlineStr">
        <is>
          <t>항복 의사 표현, 유머</t>
        </is>
      </c>
    </row>
    <row r="21">
      <c r="A21" s="9" t="inlineStr">
        <is>
          <t>전투 이모티콘</t>
        </is>
      </c>
      <c r="B21" s="9" t="inlineStr">
        <is>
          <t>축하</t>
        </is>
      </c>
      <c r="C21" s="9" t="inlineStr">
        <is>
          <t>🎉</t>
        </is>
      </c>
      <c r="D21" s="9" t="inlineStr">
        <is>
          <t>폭죽 + 색종이 파티클 (3초)</t>
        </is>
      </c>
      <c r="E21" s="9" t="inlineStr">
        <is>
          <t>공성전 첫 승리</t>
        </is>
      </c>
      <c r="F21" s="9" t="inlineStr">
        <is>
          <t>승리 축하, 레벨업 파티</t>
        </is>
      </c>
    </row>
    <row r="22">
      <c r="A22" s="8" t="inlineStr">
        <is>
          <t>전투 이모티콘</t>
        </is>
      </c>
      <c r="B22" s="8" t="inlineStr">
        <is>
          <t>응원</t>
        </is>
      </c>
      <c r="C22" s="8" t="inlineStr">
        <is>
          <t>📣</t>
        </is>
      </c>
      <c r="D22" s="8" t="inlineStr">
        <is>
          <t>메가폰 + 음파 이펙트 (2초)</t>
        </is>
      </c>
      <c r="E22" s="8" t="inlineStr">
        <is>
          <t>혈맹 가입</t>
        </is>
      </c>
      <c r="F22" s="8" t="inlineStr">
        <is>
          <t>팀원 격려, 공성전 치어리딩</t>
        </is>
      </c>
    </row>
    <row r="23">
      <c r="A23" s="9" t="inlineStr">
        <is>
          <t>채팅 명령어</t>
        </is>
      </c>
      <c r="B23" s="9" t="inlineStr">
        <is>
          <t>/전체</t>
        </is>
      </c>
      <c r="C23" s="9" t="inlineStr">
        <is>
          <t>🌐</t>
        </is>
      </c>
      <c r="D23" s="9" t="inlineStr">
        <is>
          <t>서버 전체에 메시지 전송 (60초 쿨타임)</t>
        </is>
      </c>
      <c r="E23" s="9" t="inlineStr">
        <is>
          <t>기본 지급</t>
        </is>
      </c>
      <c r="F23" s="9" t="inlineStr">
        <is>
          <t>서버 공지, 무역 홍보, 파티 모집</t>
        </is>
      </c>
    </row>
    <row r="24">
      <c r="A24" s="8" t="inlineStr">
        <is>
          <t>채팅 명령어</t>
        </is>
      </c>
      <c r="B24" s="8" t="inlineStr">
        <is>
          <t>/혈맹</t>
        </is>
      </c>
      <c r="C24" s="8" t="inlineStr">
        <is>
          <t>⚔️</t>
        </is>
      </c>
      <c r="D24" s="8" t="inlineStr">
        <is>
          <t>소속 혈맹원에게만 메시지 전송</t>
        </is>
      </c>
      <c r="E24" s="8" t="inlineStr">
        <is>
          <t>혈맹 가입 후 사용 가능</t>
        </is>
      </c>
      <c r="F24" s="8" t="inlineStr">
        <is>
          <t>혈맹 작전 지시, 내부 소통</t>
        </is>
      </c>
    </row>
    <row r="25">
      <c r="A25" s="9" t="inlineStr">
        <is>
          <t>채팅 명령어</t>
        </is>
      </c>
      <c r="B25" s="9" t="inlineStr">
        <is>
          <t>/귓속말 [닉네임]</t>
        </is>
      </c>
      <c r="C25" s="9" t="inlineStr">
        <is>
          <t>💬</t>
        </is>
      </c>
      <c r="D25" s="9" t="inlineStr">
        <is>
          <t>특정 유저에게 1:1 메시지 전송</t>
        </is>
      </c>
      <c r="E25" s="9" t="inlineStr">
        <is>
          <t>기본 지급</t>
        </is>
      </c>
      <c r="F25" s="9" t="inlineStr">
        <is>
          <t>개인 대화, 밀약, 정보 교환</t>
        </is>
      </c>
    </row>
    <row r="26">
      <c r="A26" s="8" t="inlineStr">
        <is>
          <t>채팅 명령어</t>
        </is>
      </c>
      <c r="B26" s="8" t="inlineStr">
        <is>
          <t>/무역</t>
        </is>
      </c>
      <c r="C26" s="8" t="inlineStr">
        <is>
          <t>💰</t>
        </is>
      </c>
      <c r="D26" s="8" t="inlineStr">
        <is>
          <t>무역 채널 메시지 (물품 판매/구매)</t>
        </is>
      </c>
      <c r="E26" s="8" t="inlineStr">
        <is>
          <t>무역 시스템 해금 후</t>
        </is>
      </c>
      <c r="F26" s="8" t="inlineStr">
        <is>
          <t>아이템 거래, 시세 문의, 상인 협상</t>
        </is>
      </c>
    </row>
    <row r="27">
      <c r="A27" s="9" t="inlineStr">
        <is>
          <t>채팅 명령어</t>
        </is>
      </c>
      <c r="B27" s="9" t="inlineStr">
        <is>
          <t>/파티</t>
        </is>
      </c>
      <c r="C27" s="9" t="inlineStr">
        <is>
          <t>👥</t>
        </is>
      </c>
      <c r="D27" s="9" t="inlineStr">
        <is>
          <t>파티원에게만 메시지 전송</t>
        </is>
      </c>
      <c r="E27" s="9" t="inlineStr">
        <is>
          <t>파티 구성 시 자동 활성</t>
        </is>
      </c>
      <c r="F27" s="9" t="inlineStr">
        <is>
          <t>던전 공략, 실시간 전술</t>
        </is>
      </c>
    </row>
    <row r="28">
      <c r="A28" s="8" t="inlineStr">
        <is>
          <t>채팅 명령어</t>
        </is>
      </c>
      <c r="B28" s="8" t="inlineStr">
        <is>
          <t>/공성</t>
        </is>
      </c>
      <c r="C28" s="8" t="inlineStr">
        <is>
          <t>🏰</t>
        </is>
      </c>
      <c r="D28" s="8" t="inlineStr">
        <is>
          <t>공성전 참여자 전체 메시지</t>
        </is>
      </c>
      <c r="E28" s="8" t="inlineStr">
        <is>
          <t>공성전 진행 중 자동 활성</t>
        </is>
      </c>
      <c r="F28" s="8" t="inlineStr">
        <is>
          <t>공성 작전, 수비 지시, 긴급 연락</t>
        </is>
      </c>
    </row>
  </sheetData>
  <mergeCells count="1">
    <mergeCell ref="A1:F1"/>
  </mergeCell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6" customWidth="1" min="1" max="1"/>
    <col width="28" customWidth="1" min="2" max="2"/>
    <col width="60" customWidth="1" min="3" max="3"/>
    <col width="18" customWidth="1" min="4" max="4"/>
  </cols>
  <sheetData>
    <row r="1">
      <c r="A1" s="6" t="inlineStr">
        <is>
          <t>FAQ — 자주하는 질문 20선</t>
        </is>
      </c>
    </row>
    <row r="3">
      <c r="A3" s="7" t="inlineStr">
        <is>
          <t>#</t>
        </is>
      </c>
      <c r="B3" s="7" t="inlineStr">
        <is>
          <t>질문</t>
        </is>
      </c>
      <c r="C3" s="7" t="inlineStr">
        <is>
          <t>답변</t>
        </is>
      </c>
      <c r="D3" s="7" t="inlineStr">
        <is>
          <t>관련 시스템</t>
        </is>
      </c>
    </row>
    <row r="4">
      <c r="A4" s="8" t="n">
        <v>1</v>
      </c>
      <c r="B4" s="8" t="inlineStr">
        <is>
          <t>용병은 어떻게 얻나요?</t>
        </is>
      </c>
      <c r="C4" s="8" t="inlineStr">
        <is>
          <t>IO 매치 보상 카드팩, 가챠(소환), 무역 구매, 공성전 보상, 업적 달성 등 다양한 경로로 획득합니다. 초반에는 IO에서 카드팩을 모아 기본 용병을 확보하세요.</t>
        </is>
      </c>
      <c r="D4" s="8" t="inlineStr">
        <is>
          <t>용병 수집 / 가챠</t>
        </is>
      </c>
    </row>
    <row r="5">
      <c r="A5" s="9" t="n">
        <v>2</v>
      </c>
      <c r="B5" s="9" t="inlineStr">
        <is>
          <t>가챠 천장이 뭔가요?</t>
        </is>
      </c>
      <c r="C5" s="9" t="inlineStr">
        <is>
          <t>일정 횟수 소환 시 원하는 등급이 확정 지급되는 시스템입니다. 80회=영웅 확정, 200회=전설 확정. 천장 카운트는 배너 간 이월됩니다.</t>
        </is>
      </c>
      <c r="D5" s="9" t="inlineStr">
        <is>
          <t>가챠 / 수익화</t>
        </is>
      </c>
    </row>
    <row r="6">
      <c r="A6" s="8" t="n">
        <v>3</v>
      </c>
      <c r="B6" s="8" t="inlineStr">
        <is>
          <t>공성전은 어떻게 시작하나요?</t>
        </is>
      </c>
      <c r="C6" s="8" t="inlineStr">
        <is>
          <t>성 Lv2 이상 + 혈맹 소속 시 공성전 참여 가능합니다. 혈맹장이 선전포고 후 48시간 뒤 전투 시작. 공격은 IO방식, 수비는 타워디펜스 방식입니다.</t>
        </is>
      </c>
      <c r="D6" s="8" t="inlineStr">
        <is>
          <t>공성전</t>
        </is>
      </c>
    </row>
    <row r="7">
      <c r="A7" s="9" t="n">
        <v>4</v>
      </c>
      <c r="B7" s="9" t="inlineStr">
        <is>
          <t>무역으로 얼마나 벌 수 있나요?</t>
        </is>
      </c>
      <c r="C7" s="9" t="inlineStr">
        <is>
          <t>루트별 수익이 다릅니다. 안전 루트(왕도→항구)는 시간당 500골드, 위험 루트(사막 횡단)는 시간당 2000골드+. 동적 수요공급에 따라 최대 3배까지 변동됩니다.</t>
        </is>
      </c>
      <c r="D7" s="9" t="inlineStr">
        <is>
          <t>무역 / 경제</t>
        </is>
      </c>
    </row>
    <row r="8">
      <c r="A8" s="8" t="n">
        <v>5</v>
      </c>
      <c r="B8" s="8" t="inlineStr">
        <is>
          <t>PK하면 어떻게 되나요?</t>
        </is>
      </c>
      <c r="C8" s="8" t="inlineStr">
        <is>
          <t>카르마가 하락합니다. 카르마 -100 이하 시 마을 출입 제한, -300 이하 시 현상금 걸림, -500 이하 시 장비 드롭 확률 증가. 선행 퀘스트로 카르마 회복 가능합니다.</t>
        </is>
      </c>
      <c r="D8" s="8" t="inlineStr">
        <is>
          <t>PK / 카르마</t>
        </is>
      </c>
    </row>
    <row r="9">
      <c r="A9" s="9" t="n">
        <v>6</v>
      </c>
      <c r="B9" s="9" t="inlineStr">
        <is>
          <t>용병 진화와 진급의 차이는?</t>
        </is>
      </c>
      <c r="C9" s="9" t="inlineStr">
        <is>
          <t>진급은 같은 종류 카드를 모아 별(★)을 올리는 것이고, 진화는 최대 진급 달성 후 상위 등급으로 변하는 것입니다. 예: 레어 5★ → 에픽 1★ 진화.</t>
        </is>
      </c>
      <c r="D9" s="9" t="inlineStr">
        <is>
          <t>용병 성장</t>
        </is>
      </c>
    </row>
    <row r="10">
      <c r="A10" s="8" t="n">
        <v>7</v>
      </c>
      <c r="B10" s="8" t="inlineStr">
        <is>
          <t>최강 용병은 뭔가요?</t>
        </is>
      </c>
      <c r="C10" s="8" t="inlineStr">
        <is>
          <t>상황에 따라 다릅니다. PvE는 바하무트(광역), PvP는 검성(단일 딜), 공성 공격은 드래곤나이트, 공성 수비는 세라핌이 각각 최상위입니다. 시너지 편성이 더 중요합니다.</t>
        </is>
      </c>
      <c r="D10" s="8" t="inlineStr">
        <is>
          <t>용병 밸런스</t>
        </is>
      </c>
    </row>
    <row r="11">
      <c r="A11" s="9" t="n">
        <v>8</v>
      </c>
      <c r="B11" s="9" t="inlineStr">
        <is>
          <t>혈맹은 어떻게 만드나요?</t>
        </is>
      </c>
      <c r="C11" s="9" t="inlineStr">
        <is>
          <t>Lv10 이상 + 5000골드로 혈맹 창설 가능합니다. 최대 50인 수용, 혈맹 스킬 트리(전투·경제·성장·공성 분파)로 특화 가능합니다.</t>
        </is>
      </c>
      <c r="D11" s="9" t="inlineStr">
        <is>
          <t>혈맹</t>
        </is>
      </c>
    </row>
    <row r="12">
      <c r="A12" s="8" t="n">
        <v>9</v>
      </c>
      <c r="B12" s="8" t="inlineStr">
        <is>
          <t>장비는 어떻게 강화하나요?</t>
        </is>
      </c>
      <c r="C12" s="8" t="inlineStr">
        <is>
          <t>대장간에서 강화석 + 골드로 강화합니다. +7까지 100% 성공, +8부터 실패 시 수치 유지(파괴 없음). +10 이상은 축복 주문서 필요.</t>
        </is>
      </c>
      <c r="D12" s="8" t="inlineStr">
        <is>
          <t>장비 / 강화</t>
        </is>
      </c>
    </row>
    <row r="13">
      <c r="A13" s="9" t="n">
        <v>10</v>
      </c>
      <c r="B13" s="9" t="inlineStr">
        <is>
          <t>몬스터는 어떻게 포획하나요?</t>
        </is>
      </c>
      <c r="C13" s="9" t="inlineStr">
        <is>
          <t>IO 매치에서 약화된 몬스터에게 포획 아이템 사용. HP 30% 이하일 때 포획 확률 최대. 속성 상성 보너스 있음. 포획한 몬스터는 탈것·전투 동반자로 활용.</t>
        </is>
      </c>
      <c r="D13" s="9" t="inlineStr">
        <is>
          <t>몬스터 포획</t>
        </is>
      </c>
    </row>
    <row r="14">
      <c r="A14" s="8" t="n">
        <v>11</v>
      </c>
      <c r="B14" s="8" t="inlineStr">
        <is>
          <t>일일 퀘스트는 몇 개인가요?</t>
        </is>
      </c>
      <c r="C14" s="8" t="inlineStr">
        <is>
          <t>매일 5개 일일 퀘스트 + 3개 주간 퀘스트가 갱신됩니다. 일일 전부 완료 시 보너스 카드팩 1개 추가. 주간 전부 완료 시 프리미엄 소환권 1장.</t>
        </is>
      </c>
      <c r="D14" s="8" t="inlineStr">
        <is>
          <t>퀘스트 / 일일 루틴</t>
        </is>
      </c>
    </row>
    <row r="15">
      <c r="A15" s="9" t="n">
        <v>12</v>
      </c>
      <c r="B15" s="9" t="inlineStr">
        <is>
          <t>배틀패스 가격은?</t>
        </is>
      </c>
      <c r="C15" s="9" t="inlineStr">
        <is>
          <t>무료 트랙은 기본 지급, 프리미엄 패스는 월 4,900원. 프리미엄은 보상량 3배 + 전용 스킨 + 전용 이모티콘 포함. 시즌(30일) 단위 갱신.</t>
        </is>
      </c>
      <c r="D15" s="9" t="inlineStr">
        <is>
          <t>수익화 / 배틀패스</t>
        </is>
      </c>
    </row>
    <row r="16">
      <c r="A16" s="8" t="n">
        <v>13</v>
      </c>
      <c r="B16" s="8" t="inlineStr">
        <is>
          <t>서버 간 이동이 가능한가요?</t>
        </is>
      </c>
      <c r="C16" s="8" t="inlineStr">
        <is>
          <t>시즌 종료 시 무료 서버 이전 1회 제공됩니다. 추가 이전은 이전권(캐시) 필요. 이전 시 용병·장비·골드 모두 유지, 혈맹은 탈퇴 처리됩니다.</t>
        </is>
      </c>
      <c r="D16" s="8" t="inlineStr">
        <is>
          <t>서버 / 시스템</t>
        </is>
      </c>
    </row>
    <row r="17">
      <c r="A17" s="9" t="n">
        <v>14</v>
      </c>
      <c r="B17" s="9" t="inlineStr">
        <is>
          <t>아레나 랭크는 어떻게 올리나요?</t>
        </is>
      </c>
      <c r="C17" s="9" t="inlineStr">
        <is>
          <t>아레나(1v1/3v3)에서 승리 시 점수 획득, 패배 시 차감. 브론즈→실버→골드→플래티넘→다이아→마스터 6단계. 시즌 종료 시 랭크별 보상 지급.</t>
        </is>
      </c>
      <c r="D17" s="9" t="inlineStr">
        <is>
          <t>PvP / 아레나</t>
        </is>
      </c>
    </row>
    <row r="18">
      <c r="A18" s="8" t="n">
        <v>15</v>
      </c>
      <c r="B18" s="8" t="inlineStr">
        <is>
          <t>심연의 탑은 뭔가요?</t>
        </is>
      </c>
      <c r="C18" s="8" t="inlineStr">
        <is>
          <t>100층 챌린지 던전입니다. 10층마다 보스, 층수별 보상 증가. 매주 월요일 리셋. 50층 클리어 시 전설 장비 상자, 100층 클리어 시 신화 소환권.</t>
        </is>
      </c>
      <c r="D18" s="8" t="inlineStr">
        <is>
          <t>PvE / 던전</t>
        </is>
      </c>
    </row>
    <row r="19">
      <c r="A19" s="9" t="n">
        <v>16</v>
      </c>
      <c r="B19" s="9" t="inlineStr">
        <is>
          <t>날씨가 전투에 영향을 주나요?</t>
        </is>
      </c>
      <c r="C19" s="9" t="inlineStr">
        <is>
          <t>네. 비(화속성 약화 30%), 눈(이동속도 -20%), 안개(시야 50% 감소), 폭풍(원거리 정확도 -25%), 맑음(보너스 없음), 일식(어둠속성 강화 50%) 총 6종.</t>
        </is>
      </c>
      <c r="D19" s="9" t="inlineStr">
        <is>
          <t>IO / 날씨</t>
        </is>
      </c>
    </row>
    <row r="20">
      <c r="A20" s="8" t="n">
        <v>17</v>
      </c>
      <c r="B20" s="8" t="inlineStr">
        <is>
          <t>요리는 어떤 효과가 있나요?</t>
        </is>
      </c>
      <c r="C20" s="8" t="inlineStr">
        <is>
          <t>50가지 레시피로 다양한 버프 음식 제작 가능. 효과: HP 회복, 공격력 증가, 이속 증가, 경험치 부스트 등. 재료는 낚시·채집·몬스터 드롭으로 획득.</t>
        </is>
      </c>
      <c r="D20" s="8" t="inlineStr">
        <is>
          <t>생활 / 요리</t>
        </is>
      </c>
    </row>
    <row r="21">
      <c r="A21" s="9" t="n">
        <v>18</v>
      </c>
      <c r="B21" s="9" t="inlineStr">
        <is>
          <t>펫은 어떻게 얻나요?</t>
        </is>
      </c>
      <c r="C21" s="9" t="inlineStr">
        <is>
          <t>펫 알(보스 드롭·이벤트·상점)을 부화시켜 획득. 5종(고양이·강아지·여우·올빼미·미니드래곤). 펫은 자동 줍기, 버프, 감정 표현 등 편의 기능 제공.</t>
        </is>
      </c>
      <c r="D21" s="9" t="inlineStr">
        <is>
          <t>생활 / 펫</t>
        </is>
      </c>
    </row>
    <row r="22">
      <c r="A22" s="8" t="n">
        <v>19</v>
      </c>
      <c r="B22" s="8" t="inlineStr">
        <is>
          <t>하우징은 언제 해금되나요?</t>
        </is>
      </c>
      <c r="C22" s="8" t="inlineStr">
        <is>
          <t>Lv15 + 메인 퀘스트 "나만의 공간" 완료 시 해금. 가구 50종+, 정원 꾸미기, 방문자 시스템 포함. 하우징 점수에 따라 주간 보상 차등 지급.</t>
        </is>
      </c>
      <c r="D22" s="8" t="inlineStr">
        <is>
          <t>생활 / 하우징</t>
        </is>
      </c>
    </row>
    <row r="23">
      <c r="A23" s="9" t="n">
        <v>20</v>
      </c>
      <c r="B23" s="9" t="inlineStr">
        <is>
          <t>게임이 P2W(Pay to Win)인가요?</t>
        </is>
      </c>
      <c r="C23" s="9" t="inlineStr">
        <is>
          <t>아닙니다. 캐시 아이템은 스킨·편의·배틀패스만 존재합니다. 가챠 천장 시스템으로 과금 상한이 있고, 모든 용병은 무과금으로 획득 가능(시간 차이만 존재).</t>
        </is>
      </c>
      <c r="D23" s="9" t="inlineStr">
        <is>
          <t>수익화 / 철학</t>
        </is>
      </c>
    </row>
  </sheetData>
  <mergeCells count="1">
    <mergeCell ref="A1:D1"/>
  </mergeCell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0" customWidth="1" min="1" max="1"/>
    <col width="32" customWidth="1" min="2" max="2"/>
    <col width="36" customWidth="1" min="3" max="3"/>
    <col width="24" customWidth="1" min="4" max="4"/>
    <col width="32" customWidth="1" min="5" max="5"/>
    <col width="55" customWidth="1" min="6" max="6"/>
  </cols>
  <sheetData>
    <row r="1">
      <c r="A1" s="6" t="inlineStr">
        <is>
          <t>용병 조합 퍼즐 &amp; 히든 합성</t>
        </is>
      </c>
    </row>
    <row r="3">
      <c r="A3" s="7" t="inlineStr">
        <is>
          <t>난이도</t>
        </is>
      </c>
      <c r="B3" s="7" t="inlineStr">
        <is>
          <t>재료 힌트</t>
        </is>
      </c>
      <c r="C3" s="7" t="inlineStr">
        <is>
          <t>정답 조합</t>
        </is>
      </c>
      <c r="D3" s="7" t="inlineStr">
        <is>
          <t>결과 용병</t>
        </is>
      </c>
      <c r="E3" s="7" t="inlineStr">
        <is>
          <t>발견 보상</t>
        </is>
      </c>
      <c r="F3" s="7" t="inlineStr">
        <is>
          <t>NPC 힌트 대사</t>
        </is>
      </c>
    </row>
    <row r="4">
      <c r="A4" s="8" t="inlineStr">
        <is>
          <t>★☆☆</t>
        </is>
      </c>
      <c r="B4" s="8" t="inlineStr">
        <is>
          <t>강한 전사 셋이 모이면...</t>
        </is>
      </c>
      <c r="C4" s="8" t="inlineStr">
        <is>
          <t>검사 + 검사 + 검사</t>
        </is>
      </c>
      <c r="D4" s="8" t="inlineStr">
        <is>
          <t>검성(에픽)</t>
        </is>
      </c>
      <c r="E4" s="8" t="inlineStr">
        <is>
          <t>다이아 300 + 칭호 "검의 진리"</t>
        </is>
      </c>
      <c r="F4" s="8" t="inlineStr">
        <is>
          <t>"세 자루의 칼이 하나의 길을 가리킨다. 그 길 끝에... 눈부신 빛이 보이지 않는가?"</t>
        </is>
      </c>
    </row>
    <row r="5">
      <c r="A5" s="9" t="inlineStr">
        <is>
          <t>★☆☆</t>
        </is>
      </c>
      <c r="B5" s="9" t="inlineStr">
        <is>
          <t>불꽃이 타오르는 곳에 바람을 더하면...</t>
        </is>
      </c>
      <c r="C5" s="9" t="inlineStr">
        <is>
          <t>화염술사 + 궁수 + 정령사</t>
        </is>
      </c>
      <c r="D5" s="9" t="inlineStr">
        <is>
          <t>폭염의 마도사(에픽)</t>
        </is>
      </c>
      <c r="E5" s="9" t="inlineStr">
        <is>
          <t>다이아 300 + 스킬북 "화염폭풍"</t>
        </is>
      </c>
      <c r="F5" s="9" t="inlineStr">
        <is>
          <t>"대장간의 불씨를 기억하는가? 바람이 불면 불꽃은 더 높이 솟는 법이지."</t>
        </is>
      </c>
    </row>
    <row r="6">
      <c r="A6" s="8" t="inlineStr">
        <is>
          <t>★☆☆</t>
        </is>
      </c>
      <c r="B6" s="8" t="inlineStr">
        <is>
          <t>방패를 든 자와 창을 든 자가 약속하면...</t>
        </is>
      </c>
      <c r="C6" s="8" t="inlineStr">
        <is>
          <t>수호기사 + 창병 + 사제</t>
        </is>
      </c>
      <c r="D6" s="8" t="inlineStr">
        <is>
          <t>성기사(에픽)</t>
        </is>
      </c>
      <c r="E6" s="8" t="inlineStr">
        <is>
          <t>다이아 300 + 장비 "빛의 방패"</t>
        </is>
      </c>
      <c r="F6" s="8" t="inlineStr">
        <is>
          <t>"지키는 자와 찌르는 자, 그리고 치유하는 자. 셋이 하나 되면 성스러운 힘이 깨어난다네."</t>
        </is>
      </c>
    </row>
    <row r="7">
      <c r="A7" s="9" t="inlineStr">
        <is>
          <t>★☆☆</t>
        </is>
      </c>
      <c r="B7" s="9" t="inlineStr">
        <is>
          <t>숲의 친구 셋이 손잡으면...</t>
        </is>
      </c>
      <c r="C7" s="9" t="inlineStr">
        <is>
          <t>드루이드 + 레인저 + 요정</t>
        </is>
      </c>
      <c r="D7" s="9" t="inlineStr">
        <is>
          <t>대자연의 수호자(에픽)</t>
        </is>
      </c>
      <c r="E7" s="9" t="inlineStr">
        <is>
          <t>다이아 300 + 펫 "숲의 정령"</t>
        </is>
      </c>
      <c r="F7" s="9" t="inlineStr">
        <is>
          <t>"나뭇잎 소리에 귀 기울여 보게. 숲이 세 이름을 부르고 있지 않은가?"</t>
        </is>
      </c>
    </row>
    <row r="8">
      <c r="A8" s="8" t="inlineStr">
        <is>
          <t>★☆☆</t>
        </is>
      </c>
      <c r="B8" s="8" t="inlineStr">
        <is>
          <t>치유의 손길이 모여 기적을 이루면...</t>
        </is>
      </c>
      <c r="C8" s="8" t="inlineStr">
        <is>
          <t>사제 + 수녀 + 약초사</t>
        </is>
      </c>
      <c r="D8" s="8" t="inlineStr">
        <is>
          <t>대신관(에픽)</t>
        </is>
      </c>
      <c r="E8" s="8" t="inlineStr">
        <is>
          <t>다이아 300 + 칭호 "생명의 은총"</t>
        </is>
      </c>
      <c r="F8" s="8" t="inlineStr">
        <is>
          <t>"상처를 어루만지는 손이 셋 모이면, 죽음조차 물러난다고 하더군."</t>
        </is>
      </c>
    </row>
    <row r="9">
      <c r="A9" s="9" t="inlineStr">
        <is>
          <t>★★☆</t>
        </is>
      </c>
      <c r="B9" s="9" t="inlineStr">
        <is>
          <t>빛과 어둠이 만나면...</t>
        </is>
      </c>
      <c r="C9" s="9" t="inlineStr">
        <is>
          <t>성기사 + 암흑기사 + 대마법사</t>
        </is>
      </c>
      <c r="D9" s="9" t="inlineStr">
        <is>
          <t>황혼의 기사(전설)</t>
        </is>
      </c>
      <c r="E9" s="9" t="inlineStr">
        <is>
          <t>다이아 500 + 칭호 "황혼의 경계인"</t>
        </is>
      </c>
      <c r="F9" s="9" t="inlineStr">
        <is>
          <t>"빛이 깊을수록 그림자도 깊은 법... 둘을 모두 품을 수 있는 자만이 황혼에 설 수 있다네."</t>
        </is>
      </c>
    </row>
    <row r="10">
      <c r="A10" s="8" t="inlineStr">
        <is>
          <t>★★☆</t>
        </is>
      </c>
      <c r="B10" s="8" t="inlineStr">
        <is>
          <t>대지의 심장과 하늘의 눈물이 하나 되면...</t>
        </is>
      </c>
      <c r="C10" s="8" t="inlineStr">
        <is>
          <t>골렘 + 뇌전술사 + 빙결사</t>
        </is>
      </c>
      <c r="D10" s="8" t="inlineStr">
        <is>
          <t>원소의 왕(전설)</t>
        </is>
      </c>
      <c r="E10" s="8" t="inlineStr">
        <is>
          <t>다이아 500 + 스킬북 "원소 폭발"</t>
        </is>
      </c>
      <c r="F10" s="8" t="inlineStr">
        <is>
          <t>"땅은 묵묵히 견디고, 하늘은 소리 없이 운다. 그 둘의 만남을... 본 적 있는가?"</t>
        </is>
      </c>
    </row>
    <row r="11">
      <c r="A11" s="9" t="inlineStr">
        <is>
          <t>★★☆</t>
        </is>
      </c>
      <c r="B11" s="9" t="inlineStr">
        <is>
          <t>잠든 용의 피가 깨어나려면...</t>
        </is>
      </c>
      <c r="C11" s="9" t="inlineStr">
        <is>
          <t>드래곤나이트 + 연금술사 + 용혈석</t>
        </is>
      </c>
      <c r="D11" s="9" t="inlineStr">
        <is>
          <t>각성 드래곤로드(전설)</t>
        </is>
      </c>
      <c r="E11" s="9" t="inlineStr">
        <is>
          <t>다이아 500 + 탈것 "비룡"</t>
        </is>
      </c>
      <c r="F11" s="9" t="inlineStr">
        <is>
          <t>"용의 비늘 하나가 주머니에 있구먼... 그 피를 깨울 방법을 아는 자가 이 대륙에 있긴 한가?"</t>
        </is>
      </c>
    </row>
    <row r="12">
      <c r="A12" s="8" t="inlineStr">
        <is>
          <t>★★☆</t>
        </is>
      </c>
      <c r="B12" s="8" t="inlineStr">
        <is>
          <t>별빛 아래서 춤추는 그림자...</t>
        </is>
      </c>
      <c r="C12" s="8" t="inlineStr">
        <is>
          <t>무희 + 암살자 + 점성술사</t>
        </is>
      </c>
      <c r="D12" s="8" t="inlineStr">
        <is>
          <t>별그림자 무도가(전설)</t>
        </is>
      </c>
      <c r="E12" s="8" t="inlineStr">
        <is>
          <t>다이아 500 + 스킨 "성좌의 춤"</t>
        </is>
      </c>
      <c r="F12" s="8" t="inlineStr">
        <is>
          <t>"별이 지는 밤에 광장에 서 보게. 그림자가 혼자서 춤추는 걸 볼 수 있을 거야."</t>
        </is>
      </c>
    </row>
    <row r="13">
      <c r="A13" s="9" t="inlineStr">
        <is>
          <t>★★☆</t>
        </is>
      </c>
      <c r="B13" s="9" t="inlineStr">
        <is>
          <t>바다 건너 전설이 실체가 되려면...</t>
        </is>
      </c>
      <c r="C13" s="9" t="inlineStr">
        <is>
          <t>해적왕 + 인어 + 항해사</t>
        </is>
      </c>
      <c r="D13" s="9" t="inlineStr">
        <is>
          <t>심해의 군주(전설)</t>
        </is>
      </c>
      <c r="E13" s="9" t="inlineStr">
        <is>
          <t>다이아 500 + 칭호 "심연의 지배자"</t>
        </is>
      </c>
      <c r="F13" s="9" t="inlineStr">
        <is>
          <t>"오래된 해도에 X 표시가 있지. 보물이 아니라... 봉인이었다는 걸 뒤늦게 알았다네."</t>
        </is>
      </c>
    </row>
    <row r="14">
      <c r="A14" s="8" t="inlineStr">
        <is>
          <t>★★★</t>
        </is>
      </c>
      <c r="B14" s="8" t="inlineStr">
        <is>
          <t>네 원소가 하나 될 때...</t>
        </is>
      </c>
      <c r="C14" s="8" t="inlineStr">
        <is>
          <t>화염군주 + 빙하여왕 + 뇌신 + 대지모신</t>
        </is>
      </c>
      <c r="D14" s="8" t="inlineStr">
        <is>
          <t>태초의 정령왕(신화)</t>
        </is>
      </c>
      <c r="E14" s="8" t="inlineStr">
        <is>
          <t>다이아 1000 + 칭호 "만물의 근원" + 전용 스킨</t>
        </is>
      </c>
      <c r="F14" s="8" t="inlineStr">
        <is>
          <t>"세상이 시작되기 전, 넷이 하나였다고 전해지지. 그 이름을 아는 자는... 이미 이 세상 사람이 아닐 텐데."</t>
        </is>
      </c>
    </row>
    <row r="15">
      <c r="A15" s="9" t="inlineStr">
        <is>
          <t>★★★</t>
        </is>
      </c>
      <c r="B15" s="9" t="inlineStr">
        <is>
          <t>시간을 거스르는 자...</t>
        </is>
      </c>
      <c r="C15" s="9" t="inlineStr">
        <is>
          <t>시간의 현자 + 공간의 마녀 + 운명의 직조사</t>
        </is>
      </c>
      <c r="D15" s="9" t="inlineStr">
        <is>
          <t>차원의 관측자(신화)</t>
        </is>
      </c>
      <c r="E15" s="9" t="inlineStr">
        <is>
          <t>다이아 1000 + 칭호 "시공의 방랑자" + 전용 이펙트</t>
        </is>
      </c>
      <c r="F15" s="9" t="inlineStr">
        <is>
          <t>"시계가 거꾸로 도는 탑을 본 적 있나? 없다고? 그건... 네가 아직 자격이 없어서일 뿐이야."</t>
        </is>
      </c>
    </row>
    <row r="16">
      <c r="A16" s="8" t="inlineStr">
        <is>
          <t>★★★</t>
        </is>
      </c>
      <c r="B16" s="8" t="inlineStr">
        <is>
          <t>왕관을 거부한 세 영웅의 맹세...</t>
        </is>
      </c>
      <c r="C16" s="8" t="inlineStr">
        <is>
          <t>은퇴한 검황 + 숨은 대현자 + 방랑 성녀</t>
        </is>
      </c>
      <c r="D16" s="8" t="inlineStr">
        <is>
          <t>무관의 황제(신화)</t>
        </is>
      </c>
      <c r="E16" s="8" t="inlineStr">
        <is>
          <t>다이아 1000 + 칭호 "왕좌 없는 왕" + 특수 왕관 장비</t>
        </is>
      </c>
      <c r="F16" s="8" t="inlineStr">
        <is>
          <t>"왕이 되기를 거부한 자들이 있었다. 그들의 이름은 역사에서 지워졌지만... 그 힘은 사라지지 않았어."</t>
        </is>
      </c>
    </row>
    <row r="17">
      <c r="A17" s="9" t="inlineStr">
        <is>
          <t>★★★</t>
        </is>
      </c>
      <c r="B17" s="9" t="inlineStr">
        <is>
          <t>달이 피로 물들 때 깨어나는 존재...</t>
        </is>
      </c>
      <c r="C17" s="9" t="inlineStr">
        <is>
          <t>뱀파이어로드 + 라이칸스로프 + 리치킹 + 붉은달석</t>
        </is>
      </c>
      <c r="D17" s="9" t="inlineStr">
        <is>
          <t>혈월의 마왕(신화)</t>
        </is>
      </c>
      <c r="E17" s="9" t="inlineStr">
        <is>
          <t>다이아 1000 + 칭호 "영원의 밤" + 변신 스킬</t>
        </is>
      </c>
      <c r="F17" s="9" t="inlineStr">
        <is>
          <t>"보름달 밤에 붉은 안개가 피면... 도망쳐야 해. 그건 안개가 아니라 그분의 숨결이거든."</t>
        </is>
      </c>
    </row>
    <row r="18">
      <c r="A18" s="8" t="inlineStr">
        <is>
          <t>★★★</t>
        </is>
      </c>
      <c r="B18" s="8" t="inlineStr">
        <is>
          <t>천상과 지옥 사이, 잊힌 신의 이름...</t>
        </is>
      </c>
      <c r="C18" s="8" t="inlineStr">
        <is>
          <t>대천사 + 타락천사 + 심판자 + 신의 파편</t>
        </is>
      </c>
      <c r="D18" s="8" t="inlineStr">
        <is>
          <t>잊힌 신(신화)</t>
        </is>
      </c>
      <c r="E18" s="8" t="inlineStr">
        <is>
          <t>다이아 1000 + 칭호 "신화를 쓰는 자" + 전용 날개</t>
        </is>
      </c>
      <c r="F18" s="8" t="inlineStr">
        <is>
          <t>"신전 가장 깊은 곳에 부서진 석판이 있어. 그 위에 적힌 이름을... 절대 소리 내어 읽지 마."</t>
        </is>
      </c>
    </row>
  </sheetData>
  <mergeCells count="1">
    <mergeCell ref="A1:F1"/>
  </mergeCell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6" customWidth="1" min="1" max="1"/>
    <col width="28" customWidth="1" min="2" max="2"/>
    <col width="20" customWidth="1" min="3" max="3"/>
    <col width="38" customWidth="1" min="4" max="4"/>
    <col width="34" customWidth="1" min="5" max="5"/>
    <col width="22" customWidth="1" min="6" max="6"/>
    <col width="16" customWidth="1" min="7" max="7"/>
  </cols>
  <sheetData>
    <row r="1">
      <c r="A1" s="6" t="inlineStr">
        <is>
          <t>서버 랭킹 시스템 상세</t>
        </is>
      </c>
    </row>
    <row r="3">
      <c r="A3" s="7" t="inlineStr">
        <is>
          <t>랭킹 종류</t>
        </is>
      </c>
      <c r="B3" s="7" t="inlineStr">
        <is>
          <t>기준</t>
        </is>
      </c>
      <c r="C3" s="7" t="inlineStr">
        <is>
          <t>갱신 주기</t>
        </is>
      </c>
      <c r="D3" s="7" t="inlineStr">
        <is>
          <t>1위 보상</t>
        </is>
      </c>
      <c r="E3" s="7" t="inlineStr">
        <is>
          <t>TOP 10 보상</t>
        </is>
      </c>
      <c r="F3" s="7" t="inlineStr">
        <is>
          <t>표시 위치</t>
        </is>
      </c>
      <c r="G3" s="7" t="inlineStr">
        <is>
          <t>칭호</t>
        </is>
      </c>
    </row>
    <row r="4">
      <c r="A4" s="8" t="inlineStr">
        <is>
          <t>IO 총점</t>
        </is>
      </c>
      <c r="B4" s="8" t="inlineStr">
        <is>
          <t>시즌 누적 IO 매치 점수</t>
        </is>
      </c>
      <c r="C4" s="8" t="inlineStr">
        <is>
          <t>실시간</t>
        </is>
      </c>
      <c r="D4" s="8" t="inlineStr">
        <is>
          <t>신화 소환권 + 다이아 5000 + 전용 프레임</t>
        </is>
      </c>
      <c r="E4" s="8" t="inlineStr">
        <is>
          <t>전설 소환권 + 다이아 1000</t>
        </is>
      </c>
      <c r="F4" s="8" t="inlineStr">
        <is>
          <t>메인 로비 중앙 석상</t>
        </is>
      </c>
      <c r="G4" s="8" t="inlineStr">
        <is>
          <t>IO 패왕</t>
        </is>
      </c>
    </row>
    <row r="5">
      <c r="A5" s="9" t="inlineStr">
        <is>
          <t>PvP 아레나</t>
        </is>
      </c>
      <c r="B5" s="9" t="inlineStr">
        <is>
          <t>아레나 시즌 레이팅</t>
        </is>
      </c>
      <c r="C5" s="9" t="inlineStr">
        <is>
          <t>실시간</t>
        </is>
      </c>
      <c r="D5" s="9" t="inlineStr">
        <is>
          <t>전설 장비 세트 + 다이아 5000 + 전용 칭호</t>
        </is>
      </c>
      <c r="E5" s="9" t="inlineStr">
        <is>
          <t>에픽 장비 상자 + 다이아 1000</t>
        </is>
      </c>
      <c r="F5" s="9" t="inlineStr">
        <is>
          <t>아레나 입구 명예의 전당</t>
        </is>
      </c>
      <c r="G5" s="9" t="inlineStr">
        <is>
          <t>투기장의 제왕</t>
        </is>
      </c>
    </row>
    <row r="6">
      <c r="A6" s="8" t="inlineStr">
        <is>
          <t>공성전 승수</t>
        </is>
      </c>
      <c r="B6" s="8" t="inlineStr">
        <is>
          <t>혈맹 공성전 누적 승리 횟수</t>
        </is>
      </c>
      <c r="C6" s="8" t="inlineStr">
        <is>
          <t>주간 (월요일 04:00)</t>
        </is>
      </c>
      <c r="D6" s="8" t="inlineStr">
        <is>
          <t>공성 전용 신화 공성병기 + 다이아 3000</t>
        </is>
      </c>
      <c r="E6" s="8" t="inlineStr">
        <is>
          <t>전설 공성 장비 + 다이아 800</t>
        </is>
      </c>
      <c r="F6" s="8" t="inlineStr">
        <is>
          <t>공성 맵 승리 깃발</t>
        </is>
      </c>
      <c r="G6" s="8" t="inlineStr">
        <is>
          <t>난공불락</t>
        </is>
      </c>
    </row>
    <row r="7">
      <c r="A7" s="9" t="inlineStr">
        <is>
          <t>총 킬수</t>
        </is>
      </c>
      <c r="B7" s="9" t="inlineStr">
        <is>
          <t>전체 모드 누적 킬 수</t>
        </is>
      </c>
      <c r="C7" s="9" t="inlineStr">
        <is>
          <t>일간 (매일 04:00)</t>
        </is>
      </c>
      <c r="D7" s="9" t="inlineStr">
        <is>
          <t>전용 무기 스킨 "학살자" + 다이아 2000</t>
        </is>
      </c>
      <c r="E7" s="9" t="inlineStr">
        <is>
          <t>에픽 무기 상자 + 다이아 500</t>
        </is>
      </c>
      <c r="F7" s="9" t="inlineStr">
        <is>
          <t>전장 기록관</t>
        </is>
      </c>
      <c r="G7" s="9" t="inlineStr">
        <is>
          <t>천인참</t>
        </is>
      </c>
    </row>
    <row r="8">
      <c r="A8" s="8" t="inlineStr">
        <is>
          <t>총 무역이윤</t>
        </is>
      </c>
      <c r="B8" s="8" t="inlineStr">
        <is>
          <t>교역소 누적 순이익</t>
        </is>
      </c>
      <c r="C8" s="8" t="inlineStr">
        <is>
          <t>일간 (매일 04:00)</t>
        </is>
      </c>
      <c r="D8" s="8" t="inlineStr">
        <is>
          <t>황금 마차 탈것 + 다이아 3000 + 무역 버프</t>
        </is>
      </c>
      <c r="E8" s="8" t="inlineStr">
        <is>
          <t>프리미엄 무역 허가증 + 다이아 800</t>
        </is>
      </c>
      <c r="F8" s="8" t="inlineStr">
        <is>
          <t>교역소 게시판</t>
        </is>
      </c>
      <c r="G8" s="8" t="inlineStr">
        <is>
          <t>대상의 왕</t>
        </is>
      </c>
    </row>
    <row r="9">
      <c r="A9" s="9" t="inlineStr">
        <is>
          <t>골드 보유</t>
        </is>
      </c>
      <c r="B9" s="9" t="inlineStr">
        <is>
          <t>현재 보유 골드량</t>
        </is>
      </c>
      <c r="C9" s="9" t="inlineStr">
        <is>
          <t>실시간</t>
        </is>
      </c>
      <c r="D9" s="9" t="inlineStr">
        <is>
          <t>전용 금고 하우징 + 다이아 2000</t>
        </is>
      </c>
      <c r="E9" s="9" t="inlineStr">
        <is>
          <t>골드 이자 버프(7일) + 다이아 500</t>
        </is>
      </c>
      <c r="F9" s="9" t="inlineStr">
        <is>
          <t>은행 로비 순위표</t>
        </is>
      </c>
      <c r="G9" s="9" t="inlineStr">
        <is>
          <t>황금왕</t>
        </is>
      </c>
    </row>
    <row r="10">
      <c r="A10" s="8" t="inlineStr">
        <is>
          <t>경매 거래액</t>
        </is>
      </c>
      <c r="B10" s="8" t="inlineStr">
        <is>
          <t>경매장 누적 거래 총액</t>
        </is>
      </c>
      <c r="C10" s="8" t="inlineStr">
        <is>
          <t>주간 (월요일 04:00)</t>
        </is>
      </c>
      <c r="D10" s="8" t="inlineStr">
        <is>
          <t>경매장 수수료 할인(영구 5%) + 다이아 3000</t>
        </is>
      </c>
      <c r="E10" s="8" t="inlineStr">
        <is>
          <t>경매 수수료 할인(7일 10%) + 다이아 700</t>
        </is>
      </c>
      <c r="F10" s="8" t="inlineStr">
        <is>
          <t>경매장 VIP 보드</t>
        </is>
      </c>
      <c r="G10" s="8" t="inlineStr">
        <is>
          <t>큰손</t>
        </is>
      </c>
    </row>
    <row r="11">
      <c r="A11" s="9" t="inlineStr">
        <is>
          <t>용병 전투력</t>
        </is>
      </c>
      <c r="B11" s="9" t="inlineStr">
        <is>
          <t>보유 용병 최고 전투력</t>
        </is>
      </c>
      <c r="C11" s="9" t="inlineStr">
        <is>
          <t>실시간</t>
        </is>
      </c>
      <c r="D11" s="9" t="inlineStr">
        <is>
          <t>전용 오라 이펙트 + 다이아 3000</t>
        </is>
      </c>
      <c r="E11" s="9" t="inlineStr">
        <is>
          <t>전투력 버프(7일) + 다이아 600</t>
        </is>
      </c>
      <c r="F11" s="9" t="inlineStr">
        <is>
          <t>용병 도감 홀</t>
        </is>
      </c>
      <c r="G11" s="9" t="inlineStr">
        <is>
          <t>최강의 지휘관</t>
        </is>
      </c>
    </row>
    <row r="12">
      <c r="A12" s="8" t="inlineStr">
        <is>
          <t>도감 완성도</t>
        </is>
      </c>
      <c r="B12" s="8" t="inlineStr">
        <is>
          <t>용병·장비·몬스터 도감 완성률</t>
        </is>
      </c>
      <c r="C12" s="8" t="inlineStr">
        <is>
          <t>일간 (매일 04:00)</t>
        </is>
      </c>
      <c r="D12" s="8" t="inlineStr">
        <is>
          <t>도감 전용 펫 "수집의 요정" + 다이아 2000</t>
        </is>
      </c>
      <c r="E12" s="8" t="inlineStr">
        <is>
          <t>도감 경험치 버프(7일) + 다이아 500</t>
        </is>
      </c>
      <c r="F12" s="8" t="inlineStr">
        <is>
          <t>도서관 도감 순위</t>
        </is>
      </c>
      <c r="G12" s="8" t="inlineStr">
        <is>
          <t>만물박사</t>
        </is>
      </c>
    </row>
    <row r="13">
      <c r="A13" s="9" t="inlineStr">
        <is>
          <t>업적 수</t>
        </is>
      </c>
      <c r="B13" s="9" t="inlineStr">
        <is>
          <t>완료한 업적 총 개수</t>
        </is>
      </c>
      <c r="C13" s="9" t="inlineStr">
        <is>
          <t>일간 (매일 04:00)</t>
        </is>
      </c>
      <c r="D13" s="9" t="inlineStr">
        <is>
          <t>전용 프로필 배경 + 다이아 2000</t>
        </is>
      </c>
      <c r="E13" s="9" t="inlineStr">
        <is>
          <t>업적 포인트 보너스(7일) + 다이아 500</t>
        </is>
      </c>
      <c r="F13" s="9" t="inlineStr">
        <is>
          <t>업적 전시관</t>
        </is>
      </c>
      <c r="G13" s="9" t="inlineStr">
        <is>
          <t>위업의 증인</t>
        </is>
      </c>
    </row>
    <row r="14">
      <c r="A14" s="8" t="inlineStr">
        <is>
          <t>칭호 수</t>
        </is>
      </c>
      <c r="B14" s="8" t="inlineStr">
        <is>
          <t>보유 칭호 총 개수</t>
        </is>
      </c>
      <c r="C14" s="8" t="inlineStr">
        <is>
          <t>주간 (월요일 04:00)</t>
        </is>
      </c>
      <c r="D14" s="8" t="inlineStr">
        <is>
          <t>커스텀 칭호 제작권 + 다이아 2000</t>
        </is>
      </c>
      <c r="E14" s="8" t="inlineStr">
        <is>
          <t>랜덤 희귀 칭호 상자 + 다이아 500</t>
        </is>
      </c>
      <c r="F14" s="8" t="inlineStr">
        <is>
          <t>명예의 벽</t>
        </is>
      </c>
      <c r="G14" s="8" t="inlineStr">
        <is>
          <t>칭호 수집가</t>
        </is>
      </c>
    </row>
    <row r="15">
      <c r="A15" s="9" t="inlineStr">
        <is>
          <t>심연 최고층</t>
        </is>
      </c>
      <c r="B15" s="9" t="inlineStr">
        <is>
          <t>심연의 탑 도달 최고 층수</t>
        </is>
      </c>
      <c r="C15" s="9" t="inlineStr">
        <is>
          <t>실시간</t>
        </is>
      </c>
      <c r="D15" s="9" t="inlineStr">
        <is>
          <t>심연 전용 신화 장비 + 다이아 5000</t>
        </is>
      </c>
      <c r="E15" s="9" t="inlineStr">
        <is>
          <t>심연 전설 장비 + 다이아 1000</t>
        </is>
      </c>
      <c r="F15" s="9" t="inlineStr">
        <is>
          <t>심연의 탑 입구 비석</t>
        </is>
      </c>
      <c r="G15" s="9" t="inlineStr">
        <is>
          <t>심연의 정복자</t>
        </is>
      </c>
    </row>
    <row r="16">
      <c r="A16" s="8" t="inlineStr">
        <is>
          <t>차원 클리어시간</t>
        </is>
      </c>
      <c r="B16" s="8" t="inlineStr">
        <is>
          <t>차원의 틈 최단 클리어 타임</t>
        </is>
      </c>
      <c r="C16" s="8" t="inlineStr">
        <is>
          <t>주간 (월요일 04:00)</t>
        </is>
      </c>
      <c r="D16" s="8" t="inlineStr">
        <is>
          <t>차원 전용 탈것 + 다이아 3000</t>
        </is>
      </c>
      <c r="E16" s="8" t="inlineStr">
        <is>
          <t>차원석 보너스(7일) + 다이아 700</t>
        </is>
      </c>
      <c r="F16" s="8" t="inlineStr">
        <is>
          <t>차원의 틈 기록비</t>
        </is>
      </c>
      <c r="G16" s="8" t="inlineStr">
        <is>
          <t>시공의 질주자</t>
        </is>
      </c>
    </row>
    <row r="17">
      <c r="A17" s="9" t="inlineStr">
        <is>
          <t>낚시왕</t>
        </is>
      </c>
      <c r="B17" s="9" t="inlineStr">
        <is>
          <t>낚시 누적 포인트 (크기·희귀도)</t>
        </is>
      </c>
      <c r="C17" s="9" t="inlineStr">
        <is>
          <t>일간 (매일 04:00)</t>
        </is>
      </c>
      <c r="D17" s="9" t="inlineStr">
        <is>
          <t>전설 낚싯대 + 전용 보트 탈것 + 다이아 2000</t>
        </is>
      </c>
      <c r="E17" s="9" t="inlineStr">
        <is>
          <t>프리미엄 미끼 세트 + 다이아 500</t>
        </is>
      </c>
      <c r="F17" s="9" t="inlineStr">
        <is>
          <t>낚시터 명예 게시판</t>
        </is>
      </c>
      <c r="G17" s="9" t="inlineStr">
        <is>
          <t>태공망</t>
        </is>
      </c>
    </row>
    <row r="18">
      <c r="A18" s="8" t="inlineStr">
        <is>
          <t>요리왕</t>
        </is>
      </c>
      <c r="B18" s="8" t="inlineStr">
        <is>
          <t>요리 숙련도 + 레시피 완성률</t>
        </is>
      </c>
      <c r="C18" s="8" t="inlineStr">
        <is>
          <t>주간 (월요일 04:00)</t>
        </is>
      </c>
      <c r="D18" s="8" t="inlineStr">
        <is>
          <t>전설 요리 세트 + 전용 요리사 모자 + 다이아 2000</t>
        </is>
      </c>
      <c r="E18" s="8" t="inlineStr">
        <is>
          <t>프리미엄 재료 상자 + 다이아 500</t>
        </is>
      </c>
      <c r="F18" s="8" t="inlineStr">
        <is>
          <t>주방 레시피 보드</t>
        </is>
      </c>
      <c r="G18" s="8" t="inlineStr">
        <is>
          <t>미식의 달인</t>
        </is>
      </c>
    </row>
  </sheetData>
  <mergeCells count="1">
    <mergeCell ref="A1:G1"/>
  </mergeCell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8" customWidth="1" min="1" max="1"/>
    <col width="20" customWidth="1" min="2" max="2"/>
    <col width="55" customWidth="1" min="3" max="3"/>
    <col width="22" customWidth="1" min="4" max="4"/>
    <col width="22" customWidth="1" min="5" max="5"/>
    <col width="24" customWidth="1" min="6" max="6"/>
    <col width="22" customWidth="1" min="7" max="7"/>
  </cols>
  <sheetData>
    <row r="1">
      <c r="A1" s="6" t="inlineStr">
        <is>
          <t>튜토리얼 NPC 대사 스크립트</t>
        </is>
      </c>
    </row>
    <row r="3">
      <c r="A3" s="7" t="inlineStr">
        <is>
          <t>단계</t>
        </is>
      </c>
      <c r="B3" s="7" t="inlineStr">
        <is>
          <t>NPC</t>
        </is>
      </c>
      <c r="C3" s="7" t="inlineStr">
        <is>
          <t>대사</t>
        </is>
      </c>
      <c r="D3" s="7" t="inlineStr">
        <is>
          <t>선택지 A</t>
        </is>
      </c>
      <c r="E3" s="7" t="inlineStr">
        <is>
          <t>선택지 B</t>
        </is>
      </c>
      <c r="F3" s="7" t="inlineStr">
        <is>
          <t>UI 하이라이트</t>
        </is>
      </c>
      <c r="G3" s="7" t="inlineStr">
        <is>
          <t>완료 조건</t>
        </is>
      </c>
    </row>
    <row r="4">
      <c r="A4" s="8" t="n">
        <v>1</v>
      </c>
      <c r="B4" s="8" t="inlineStr">
        <is>
          <t>여행자 가이드 루나</t>
        </is>
      </c>
      <c r="C4" s="8" t="inlineStr">
        <is>
          <t>어머, 드디어 깨어났구나! 여기는 오르비스 대륙이야. 난 루나, 네 가이드가 되어줄게! 우선 주변을 둘러볼까? 화면을 드래그해 봐!</t>
        </is>
      </c>
      <c r="D4" s="8" t="inlineStr">
        <is>
          <t>"알겠어!"</t>
        </is>
      </c>
      <c r="E4" s="8" t="inlineStr">
        <is>
          <t>"여기가 어디야?"</t>
        </is>
      </c>
      <c r="F4" s="8" t="inlineStr">
        <is>
          <t>화면 드래그 영역 강조</t>
        </is>
      </c>
      <c r="G4" s="8" t="inlineStr">
        <is>
          <t>화면 드래그 1회</t>
        </is>
      </c>
    </row>
    <row r="5">
      <c r="A5" s="9" t="n">
        <v>2</v>
      </c>
      <c r="B5" s="9" t="inlineStr">
        <is>
          <t>여행자 가이드 루나</t>
        </is>
      </c>
      <c r="C5" s="9" t="inlineStr">
        <is>
          <t>잘했어! 이번엔 저기 반짝이는 상자를 탭해볼래? 세상엔 보물이 가득하거든~ 터치 한 번이면 돼!</t>
        </is>
      </c>
      <c r="D5" s="9" t="inlineStr">
        <is>
          <t>"상자 열어보기"</t>
        </is>
      </c>
      <c r="E5" s="9" t="inlineStr">
        <is>
          <t>"보물이 뭐가 있어?"</t>
        </is>
      </c>
      <c r="F5" s="9" t="inlineStr">
        <is>
          <t>보물상자 오브젝트 반짝임</t>
        </is>
      </c>
      <c r="G5" s="9" t="inlineStr">
        <is>
          <t>상자 탭 완료</t>
        </is>
      </c>
    </row>
    <row r="6">
      <c r="A6" s="8" t="n">
        <v>3</v>
      </c>
      <c r="B6" s="8" t="inlineStr">
        <is>
          <t>여행자 가이드 루나</t>
        </is>
      </c>
      <c r="C6" s="8" t="inlineStr">
        <is>
          <t>우와, 첫 보물 획득! 축하해~ 이제 화면 아래 메뉴 버튼들이 보이지? 하나씩 눌러보면서 익혀봐!</t>
        </is>
      </c>
      <c r="D6" s="8" t="inlineStr">
        <is>
          <t>"메뉴 살펴보기"</t>
        </is>
      </c>
      <c r="E6" s="8" t="inlineStr">
        <is>
          <t>"나중에 할래"</t>
        </is>
      </c>
      <c r="F6" s="8" t="inlineStr">
        <is>
          <t>하단 메뉴바 전체 강조</t>
        </is>
      </c>
      <c r="G6" s="8" t="inlineStr">
        <is>
          <t>메뉴 버튼 3개 이상 탭</t>
        </is>
      </c>
    </row>
    <row r="7">
      <c r="A7" s="9" t="n">
        <v>4</v>
      </c>
      <c r="B7" s="9" t="inlineStr">
        <is>
          <t>여행자 가이드 루나</t>
        </is>
      </c>
      <c r="C7" s="9" t="inlineStr">
        <is>
          <t>자, 이제 진짜 재미있는 걸 해볼까? "IO 배틀"은 다른 모험가들과 싸우는 거야! 무섭지 않아, 내가 응원해줄게~</t>
        </is>
      </c>
      <c r="D7" s="9" t="inlineStr">
        <is>
          <t>"도전해볼게!"</t>
        </is>
      </c>
      <c r="E7" s="9" t="inlineStr">
        <is>
          <t>"좀 더 준비하고..."</t>
        </is>
      </c>
      <c r="F7" s="9" t="inlineStr">
        <is>
          <t>IO 배틀 입장 버튼 강조</t>
        </is>
      </c>
      <c r="G7" s="9" t="inlineStr">
        <is>
          <t>IO 배틀 버튼 탭</t>
        </is>
      </c>
    </row>
    <row r="8">
      <c r="A8" s="8" t="n">
        <v>5</v>
      </c>
      <c r="B8" s="8" t="inlineStr">
        <is>
          <t>여행자 가이드 루나</t>
        </is>
      </c>
      <c r="C8" s="8" t="inlineStr">
        <is>
          <t>매치에 들어왔어! 왼쪽 조이스틱으로 이동하고, 오른쪽 버튼으로 공격해! 작은 몬스터부터 잡아보자. 파이팅!</t>
        </is>
      </c>
      <c r="D8" s="8" t="inlineStr">
        <is>
          <t>"몬스터 사냥 가자!"</t>
        </is>
      </c>
      <c r="E8" s="8" t="inlineStr">
        <is>
          <t>"조작법 다시 알려줘"</t>
        </is>
      </c>
      <c r="F8" s="8" t="inlineStr">
        <is>
          <t>조이스틱 + 공격 버튼 강조</t>
        </is>
      </c>
      <c r="G8" s="8" t="inlineStr">
        <is>
          <t>몬스터 1마리 처치</t>
        </is>
      </c>
    </row>
    <row r="9">
      <c r="A9" s="9" t="n">
        <v>6</v>
      </c>
      <c r="B9" s="9" t="inlineStr">
        <is>
          <t>여행자 가이드 루나</t>
        </is>
      </c>
      <c r="C9" s="9" t="inlineStr">
        <is>
          <t>첫 킬 달성! 대단해~ 이제 경험치가 쌓여서 레벨업할 수 있어. 매치가 끝날 때까지 최대한 많이 잡아봐! 상위권 들면 보상도 빵빵하다고~</t>
        </is>
      </c>
      <c r="D9" s="9" t="inlineStr">
        <is>
          <t>"더 잡으러 간다!"</t>
        </is>
      </c>
      <c r="E9" s="9" t="inlineStr">
        <is>
          <t>"보상이 뭐야?"</t>
        </is>
      </c>
      <c r="F9" s="9" t="inlineStr">
        <is>
          <t>경험치 바 &amp; 레벨 표시 강조</t>
        </is>
      </c>
      <c r="G9" s="9" t="inlineStr">
        <is>
          <t>IO 매치 완료(순위 무관)</t>
        </is>
      </c>
    </row>
    <row r="10">
      <c r="A10" s="8" t="n">
        <v>7</v>
      </c>
      <c r="B10" s="8" t="inlineStr">
        <is>
          <t>여행자 가이드 루나</t>
        </is>
      </c>
      <c r="C10" s="8" t="inlineStr">
        <is>
          <t>짜잔~ 여기가 네 성이야! 아직은 작지만, 건물을 짓고 키우면 거대한 성채가 될 거야. 성을 탭해서 내부를 살펴볼래?</t>
        </is>
      </c>
      <c r="D10" s="8" t="inlineStr">
        <is>
          <t>"내 성이라니, 신기해!"</t>
        </is>
      </c>
      <c r="E10" s="8" t="inlineStr">
        <is>
          <t>"성으로 뭘 할 수 있어?"</t>
        </is>
      </c>
      <c r="F10" s="8" t="inlineStr">
        <is>
          <t>성 오브젝트 강조</t>
        </is>
      </c>
      <c r="G10" s="8" t="inlineStr">
        <is>
          <t>성 탭하여 내부 진입</t>
        </is>
      </c>
    </row>
    <row r="11">
      <c r="A11" s="9" t="n">
        <v>8</v>
      </c>
      <c r="B11" s="9" t="inlineStr">
        <is>
          <t>여행자 가이드 루나</t>
        </is>
      </c>
      <c r="C11" s="9" t="inlineStr">
        <is>
          <t>성 안에는 다양한 건물이 있어. 병영에서 용병을 모집하고, 연구소에서 기술을 개발해! 먼저 병영을 레벨업 해볼까?</t>
        </is>
      </c>
      <c r="D11" s="9" t="inlineStr">
        <is>
          <t>"병영 레벨업!"</t>
        </is>
      </c>
      <c r="E11" s="9" t="inlineStr">
        <is>
          <t>"다른 건물도 보고 싶어"</t>
        </is>
      </c>
      <c r="F11" s="9" t="inlineStr">
        <is>
          <t>병영 건물 강조</t>
        </is>
      </c>
      <c r="G11" s="9" t="inlineStr">
        <is>
          <t>병영 레벨업 1회</t>
        </is>
      </c>
    </row>
    <row r="12">
      <c r="A12" s="8" t="n">
        <v>9</v>
      </c>
      <c r="B12" s="8" t="inlineStr">
        <is>
          <t>여행자 가이드 루나</t>
        </is>
      </c>
      <c r="C12" s="8" t="inlineStr">
        <is>
          <t>멋져! 이제 용병을 소환할 차례야. 소환 메뉴에서 무료 소환을 해볼래? 어떤 용병이 나올지 두근두근~</t>
        </is>
      </c>
      <c r="D12" s="8" t="inlineStr">
        <is>
          <t>"소환해보자!"</t>
        </is>
      </c>
      <c r="E12" s="8" t="inlineStr">
        <is>
          <t>"용병 종류를 알려줘"</t>
        </is>
      </c>
      <c r="F12" s="8" t="inlineStr">
        <is>
          <t>소환 메뉴 버튼 강조</t>
        </is>
      </c>
      <c r="G12" s="8" t="inlineStr">
        <is>
          <t>무료 소환 1회 완료</t>
        </is>
      </c>
    </row>
    <row r="13">
      <c r="A13" s="9" t="n">
        <v>10</v>
      </c>
      <c r="B13" s="9" t="inlineStr">
        <is>
          <t>여행자 가이드 루나</t>
        </is>
      </c>
      <c r="C13" s="9" t="inlineStr">
        <is>
          <t>짝짝짝! 좋은 용병을 얻었네! 자, 이번엔 돈 버는 법을 알려줄게. 교역소에서 물건을 사고팔면 골드를 벌 수 있어!</t>
        </is>
      </c>
      <c r="D13" s="9" t="inlineStr">
        <is>
          <t>"부자가 되고 싶어!"</t>
        </is>
      </c>
      <c r="E13" s="9" t="inlineStr">
        <is>
          <t>"무역이 뭐야?"</t>
        </is>
      </c>
      <c r="F13" s="9" t="inlineStr">
        <is>
          <t>교역소 아이콘 강조</t>
        </is>
      </c>
      <c r="G13" s="9" t="inlineStr">
        <is>
          <t>교역소 진입</t>
        </is>
      </c>
    </row>
    <row r="14">
      <c r="A14" s="8" t="n">
        <v>11</v>
      </c>
      <c r="B14" s="8" t="inlineStr">
        <is>
          <t>여행자 가이드 루나</t>
        </is>
      </c>
      <c r="C14" s="8" t="inlineStr">
        <is>
          <t>싸게 사서 비싸게 파는 거야! 지역마다 가격이 달라서, 잘 보고 거래하면 대박이 날 수도 있어~ 한번 거래해볼래?</t>
        </is>
      </c>
      <c r="D14" s="8" t="inlineStr">
        <is>
          <t>"첫 거래 도전!"</t>
        </is>
      </c>
      <c r="E14" s="8" t="inlineStr">
        <is>
          <t>"가격표 보여줘"</t>
        </is>
      </c>
      <c r="F14" s="8" t="inlineStr">
        <is>
          <t>구매/판매 버튼 강조</t>
        </is>
      </c>
      <c r="G14" s="8" t="inlineStr">
        <is>
          <t>무역 거래 1회 완료</t>
        </is>
      </c>
    </row>
    <row r="15">
      <c r="A15" s="9" t="n">
        <v>12</v>
      </c>
      <c r="B15" s="9" t="inlineStr">
        <is>
          <t>여행자 가이드 루나</t>
        </is>
      </c>
      <c r="C15" s="9" t="inlineStr">
        <is>
          <t>공성전도 소개할게! 다른 혈맹의 성을 공격하거나 내 성을 지키는 대규모 전투야. 아직은 못 하지만, 미리 구경해볼 수 있어!</t>
        </is>
      </c>
      <c r="D15" s="9" t="inlineStr">
        <is>
          <t>"와, 진짜 대규모?"</t>
        </is>
      </c>
      <c r="E15" s="9" t="inlineStr">
        <is>
          <t>"나중에 볼게"</t>
        </is>
      </c>
      <c r="F15" s="9" t="inlineStr">
        <is>
          <t>공성전 메뉴 강조</t>
        </is>
      </c>
      <c r="G15" s="9" t="inlineStr">
        <is>
          <t>공성전 안내 페이지 확인</t>
        </is>
      </c>
    </row>
    <row r="16">
      <c r="A16" s="8" t="n">
        <v>13</v>
      </c>
      <c r="B16" s="8" t="inlineStr">
        <is>
          <t>여행자 가이드 루나</t>
        </is>
      </c>
      <c r="C16" s="8" t="inlineStr">
        <is>
          <t>용병을 더 강하게 만들고 싶지? 같은 용병 카드를 모으면 "진급"해서 별(★)이 올라가! 진급 메뉴를 열어볼까?</t>
        </is>
      </c>
      <c r="D16" s="8" t="inlineStr">
        <is>
          <t>"강해지고 싶어!"</t>
        </is>
      </c>
      <c r="E16" s="8" t="inlineStr">
        <is>
          <t>"진급이 뭐야?"</t>
        </is>
      </c>
      <c r="F16" s="8" t="inlineStr">
        <is>
          <t>용병 진급 메뉴 강조</t>
        </is>
      </c>
      <c r="G16" s="8" t="inlineStr">
        <is>
          <t>진급 메뉴 확인</t>
        </is>
      </c>
    </row>
    <row r="17">
      <c r="A17" s="9" t="n">
        <v>14</v>
      </c>
      <c r="B17" s="9" t="inlineStr">
        <is>
          <t>여행자 가이드 루나</t>
        </is>
      </c>
      <c r="C17" s="9" t="inlineStr">
        <is>
          <t>최대 별까지 올린 용병은 "진화"도 가능해! 레어→에픽→전설로 등급이 올라가는 거야. 꿈의 신화 등급을 목표로 해보자!</t>
        </is>
      </c>
      <c r="D17" s="9" t="inlineStr">
        <is>
          <t>"신화까지 가볼게!"</t>
        </is>
      </c>
      <c r="E17" s="9" t="inlineStr">
        <is>
          <t>"진화 조건이 뭐야?"</t>
        </is>
      </c>
      <c r="F17" s="9" t="inlineStr">
        <is>
          <t>진화 시스템 강조</t>
        </is>
      </c>
      <c r="G17" s="9" t="inlineStr">
        <is>
          <t>진화 안내 확인</t>
        </is>
      </c>
    </row>
    <row r="18">
      <c r="A18" s="8" t="n">
        <v>15</v>
      </c>
      <c r="B18" s="8" t="inlineStr">
        <is>
          <t>여행자 가이드 루나</t>
        </is>
      </c>
      <c r="C18" s="8" t="inlineStr">
        <is>
          <t>원정도 보내볼래? 용병들을 파견하면 시간이 지나서 보상을 가져와! 자는 동안에도 일하는 부지런한 친구들이지~ 후후</t>
        </is>
      </c>
      <c r="D18" s="8" t="inlineStr">
        <is>
          <t>"원정 보내자!"</t>
        </is>
      </c>
      <c r="E18" s="8" t="inlineStr">
        <is>
          <t>"보상이 뭐가 나와?"</t>
        </is>
      </c>
      <c r="F18" s="8" t="inlineStr">
        <is>
          <t>원정 메뉴 강조</t>
        </is>
      </c>
      <c r="G18" s="8" t="inlineStr">
        <is>
          <t>원정 1회 파견</t>
        </is>
      </c>
    </row>
    <row r="19">
      <c r="A19" s="9" t="n">
        <v>16</v>
      </c>
      <c r="B19" s="9" t="inlineStr">
        <is>
          <t>여행자 가이드 루나</t>
        </is>
      </c>
      <c r="C19" s="9" t="inlineStr">
        <is>
          <t>이제 좀 강해진 것 같은데? 아레나에서 다른 모험가와 1대1로 붙어볼래? 져도 괜찮아, 경험이 쌓이는 거니까!</t>
        </is>
      </c>
      <c r="D19" s="9" t="inlineStr">
        <is>
          <t>"한판 붙어보자!"</t>
        </is>
      </c>
      <c r="E19" s="9" t="inlineStr">
        <is>
          <t>"아직 자신 없어..."</t>
        </is>
      </c>
      <c r="F19" s="9" t="inlineStr">
        <is>
          <t>아레나 입장 강조</t>
        </is>
      </c>
      <c r="G19" s="9" t="inlineStr">
        <is>
          <t>아레나 매치 1회 완료</t>
        </is>
      </c>
    </row>
    <row r="20">
      <c r="A20" s="8" t="n">
        <v>17</v>
      </c>
      <c r="B20" s="8" t="inlineStr">
        <is>
          <t>여행자 가이드 루나</t>
        </is>
      </c>
      <c r="C20" s="8" t="inlineStr">
        <is>
          <t>혈맹에 가입하면 동료들과 함께 공성전도 하고, 혈맹 버프도 받을 수 있어! 추천 혈맹 목록을 볼래?</t>
        </is>
      </c>
      <c r="D20" s="8" t="inlineStr">
        <is>
          <t>"혈맹 가입할래!"</t>
        </is>
      </c>
      <c r="E20" s="8" t="inlineStr">
        <is>
          <t>"혈맹이 뭔지 더 알려줘"</t>
        </is>
      </c>
      <c r="F20" s="8" t="inlineStr">
        <is>
          <t>혈맹 메뉴 강조</t>
        </is>
      </c>
      <c r="G20" s="8" t="inlineStr">
        <is>
          <t>혈맹 목록 확인</t>
        </is>
      </c>
    </row>
    <row r="21">
      <c r="A21" s="9" t="n">
        <v>18</v>
      </c>
      <c r="B21" s="9" t="inlineStr">
        <is>
          <t>여행자 가이드 루나</t>
        </is>
      </c>
      <c r="C21" s="9" t="inlineStr">
        <is>
          <t>혈맹에 가입했으면 혈맹 채팅에서 인사해봐! 좋은 동료를 만나면 게임이 10배는 더 재밌어진다고~</t>
        </is>
      </c>
      <c r="D21" s="9" t="inlineStr">
        <is>
          <t>"안녕하세요!"</t>
        </is>
      </c>
      <c r="E21" s="9" t="inlineStr">
        <is>
          <t>"나중에 인사할게"</t>
        </is>
      </c>
      <c r="F21" s="9" t="inlineStr">
        <is>
          <t>혈맹 채팅 강조</t>
        </is>
      </c>
      <c r="G21" s="9" t="inlineStr">
        <is>
          <t>혈맹 채팅 메시지 1회</t>
        </is>
      </c>
    </row>
    <row r="22">
      <c r="A22" s="8" t="n">
        <v>19</v>
      </c>
      <c r="B22" s="8" t="inlineStr">
        <is>
          <t>여행자 가이드 루나</t>
        </is>
      </c>
      <c r="C22" s="8" t="inlineStr">
        <is>
          <t>와~ 여기까지 정말 잘 따라왔어! 이제 네가 원하는 대로 모험하면 돼. 그리고 특별히 "7일 신규 미션"을 줄게! 매일 완료하면 엄청난 보상이!</t>
        </is>
      </c>
      <c r="D22" s="8" t="inlineStr">
        <is>
          <t>"7일 미션 확인!"</t>
        </is>
      </c>
      <c r="E22" s="8" t="inlineStr">
        <is>
          <t>"어디서 확인해?"</t>
        </is>
      </c>
      <c r="F22" s="8" t="inlineStr">
        <is>
          <t>7일 미션 아이콘 강조</t>
        </is>
      </c>
      <c r="G22" s="8" t="inlineStr">
        <is>
          <t>7일 미션 페이지 진입</t>
        </is>
      </c>
    </row>
    <row r="23">
      <c r="A23" s="9" t="n">
        <v>20</v>
      </c>
      <c r="B23" s="9" t="inlineStr">
        <is>
          <t>여행자 가이드 루나</t>
        </is>
      </c>
      <c r="C23" s="9" t="inlineStr">
        <is>
          <t>이제 진정한 모험가야! 내가 항상 응원하고 있을게. 궁금한 게 있으면 언제든 물어봐~ 오르비스 대륙이 너를 기다리고 있어! 파이팅!</t>
        </is>
      </c>
      <c r="D23" s="9" t="inlineStr">
        <is>
          <t>"고마워, 루나!"</t>
        </is>
      </c>
      <c r="E23" s="9" t="inlineStr">
        <is>
          <t>"다시 설명해줘"</t>
        </is>
      </c>
      <c r="F23" s="9" t="inlineStr">
        <is>
          <t>자유 탐색 모드(강조 없음)</t>
        </is>
      </c>
      <c r="G23" s="9" t="inlineStr">
        <is>
          <t>튜토리얼 완료 보상 수령</t>
        </is>
      </c>
    </row>
  </sheetData>
  <mergeCells count="1">
    <mergeCell ref="A1:G1"/>
  </mergeCell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6" customWidth="1" min="1" max="1"/>
    <col width="14" customWidth="1" min="2" max="2"/>
    <col width="24" customWidth="1" min="3" max="3"/>
    <col width="22" customWidth="1" min="4" max="4"/>
    <col width="40" customWidth="1" min="5" max="5"/>
    <col width="22" customWidth="1" min="6" max="6"/>
    <col width="32" customWidth="1" min="7" max="7"/>
  </cols>
  <sheetData>
    <row r="1">
      <c r="A1" s="6" t="inlineStr">
        <is>
          <t>용병 성장 로드맵 (0일→90일)</t>
        </is>
      </c>
    </row>
    <row r="3">
      <c r="A3" s="7" t="inlineStr">
        <is>
          <t>기간</t>
        </is>
      </c>
      <c r="B3" s="7" t="inlineStr">
        <is>
          <t>목표 전투력</t>
        </is>
      </c>
      <c r="C3" s="7" t="inlineStr">
        <is>
          <t>핵심 용병</t>
        </is>
      </c>
      <c r="D3" s="7" t="inlineStr">
        <is>
          <t>용병 상태</t>
        </is>
      </c>
      <c r="E3" s="7" t="inlineStr">
        <is>
          <t>주요 활동</t>
        </is>
      </c>
      <c r="F3" s="7" t="inlineStr">
        <is>
          <t>과금 여부</t>
        </is>
      </c>
      <c r="G3" s="7" t="inlineStr">
        <is>
          <t>마일스톤</t>
        </is>
      </c>
    </row>
    <row r="4">
      <c r="A4" s="8" t="inlineStr">
        <is>
          <t>1일차</t>
        </is>
      </c>
      <c r="B4" s="8" t="inlineStr">
        <is>
          <t>200</t>
        </is>
      </c>
      <c r="C4" s="8" t="inlineStr">
        <is>
          <t>보병 3체</t>
        </is>
      </c>
      <c r="D4" s="8" t="inlineStr">
        <is>
          <t>Lv1 / ★1 / 노말</t>
        </is>
      </c>
      <c r="E4" s="8" t="inlineStr">
        <is>
          <t>튜토리얼 완료, 첫 IO매치 참가, 무료 소환 10회</t>
        </is>
      </c>
      <c r="F4" s="8" t="inlineStr">
        <is>
          <t>무과금</t>
        </is>
      </c>
      <c r="G4" s="8" t="inlineStr">
        <is>
          <t>첫 승리 달성 &amp; 튜토리얼 보상 수령</t>
        </is>
      </c>
    </row>
    <row r="5">
      <c r="A5" s="9" t="inlineStr">
        <is>
          <t>3일차</t>
        </is>
      </c>
      <c r="B5" s="9" t="inlineStr">
        <is>
          <t>800</t>
        </is>
      </c>
      <c r="C5" s="9" t="inlineStr">
        <is>
          <t>보병+궁수+마법사</t>
        </is>
      </c>
      <c r="D5" s="9" t="inlineStr">
        <is>
          <t>Lv10 / ★2 / 노말~레어</t>
        </is>
      </c>
      <c r="E5" s="9" t="inlineStr">
        <is>
          <t>일일 퀘스트 소화, 원정 파견, 장비 파밍</t>
        </is>
      </c>
      <c r="F5" s="9" t="inlineStr">
        <is>
          <t>무과금</t>
        </is>
      </c>
      <c r="G5" s="9" t="inlineStr">
        <is>
          <t>첫 레어 용병 획득</t>
        </is>
      </c>
    </row>
    <row r="6">
      <c r="A6" s="8" t="inlineStr">
        <is>
          <t>7일차</t>
        </is>
      </c>
      <c r="B6" s="8" t="inlineStr">
        <is>
          <t>2,000</t>
        </is>
      </c>
      <c r="C6" s="8" t="inlineStr">
        <is>
          <t>기사+성기사</t>
        </is>
      </c>
      <c r="D6" s="8" t="inlineStr">
        <is>
          <t>Lv15 / ★3 / 레어</t>
        </is>
      </c>
      <c r="E6" s="8" t="inlineStr">
        <is>
          <t>아레나 진입, 혈맹 가입, 7일 미션 완료</t>
        </is>
      </c>
      <c r="F6" s="8" t="inlineStr">
        <is>
          <t>무과금</t>
        </is>
      </c>
      <c r="G6" s="8" t="inlineStr">
        <is>
          <t>7일 신규 보상 풀 수령 &amp; 아레나 브론즈</t>
        </is>
      </c>
    </row>
    <row r="7">
      <c r="A7" s="9" t="inlineStr">
        <is>
          <t>14일차</t>
        </is>
      </c>
      <c r="B7" s="9" t="inlineStr">
        <is>
          <t>5,000</t>
        </is>
      </c>
      <c r="C7" s="9" t="inlineStr">
        <is>
          <t>영웅 1체 + 진화 완료</t>
        </is>
      </c>
      <c r="D7" s="9" t="inlineStr">
        <is>
          <t>Lv25 / ★4 / 에픽</t>
        </is>
      </c>
      <c r="E7" s="9" t="inlineStr">
        <is>
          <t>첫 영웅 소환, 레어→에픽 진화, 심연의 탑 20층</t>
        </is>
      </c>
      <c r="F7" s="9" t="inlineStr">
        <is>
          <t>소과금(월정액)</t>
        </is>
      </c>
      <c r="G7" s="9" t="inlineStr">
        <is>
          <t>영웅 용병 획득 &amp; 에픽 진화 1회</t>
        </is>
      </c>
    </row>
    <row r="8">
      <c r="A8" s="8" t="inlineStr">
        <is>
          <t>30일차</t>
        </is>
      </c>
      <c r="B8" s="8" t="inlineStr">
        <is>
          <t>15,000</t>
        </is>
      </c>
      <c r="C8" s="8" t="inlineStr">
        <is>
          <t>영웅 3체 + 각성 1단계</t>
        </is>
      </c>
      <c r="D8" s="8" t="inlineStr">
        <is>
          <t>Lv35 / ★5 / 에픽+</t>
        </is>
      </c>
      <c r="E8" s="8" t="inlineStr">
        <is>
          <t>각성 시스템 개방, 시너지 조합 구성, 심연 35층</t>
        </is>
      </c>
      <c r="F8" s="8" t="inlineStr">
        <is>
          <t>무과금/소과금</t>
        </is>
      </c>
      <c r="G8" s="8" t="inlineStr">
        <is>
          <t>각성 1단계 완료 &amp; 시너지 보너스 발동</t>
        </is>
      </c>
    </row>
    <row r="9">
      <c r="A9" s="9" t="inlineStr">
        <is>
          <t>45일차</t>
        </is>
      </c>
      <c r="B9" s="9" t="inlineStr">
        <is>
          <t>30,000</t>
        </is>
      </c>
      <c r="C9" s="9" t="inlineStr">
        <is>
          <t>전설 1체 + 시너지 완성</t>
        </is>
      </c>
      <c r="D9" s="9" t="inlineStr">
        <is>
          <t>Lv45 / ★5 / 전설</t>
        </is>
      </c>
      <c r="E9" s="9" t="inlineStr">
        <is>
          <t>전설 소환 성공, 4인 시너지 완성, 공성전 참가</t>
        </is>
      </c>
      <c r="F9" s="9" t="inlineStr">
        <is>
          <t>소과금</t>
        </is>
      </c>
      <c r="G9" s="9" t="inlineStr">
        <is>
          <t>전설 용병 획득 &amp; 첫 공성전 참가</t>
        </is>
      </c>
    </row>
    <row r="10">
      <c r="A10" s="8" t="inlineStr">
        <is>
          <t>60일차</t>
        </is>
      </c>
      <c r="B10" s="8" t="inlineStr">
        <is>
          <t>50,000</t>
        </is>
      </c>
      <c r="C10" s="8" t="inlineStr">
        <is>
          <t>초월 1체 + 심연 50층</t>
        </is>
      </c>
      <c r="D10" s="8" t="inlineStr">
        <is>
          <t>Lv55 / 초월 1단계 / 전설+</t>
        </is>
      </c>
      <c r="E10" s="8" t="inlineStr">
        <is>
          <t>초월 시스템 개방, 심연 50층 돌파, 차원 원정 1클리어</t>
        </is>
      </c>
      <c r="F10" s="8" t="inlineStr">
        <is>
          <t>무과금(오래 플레이)/소과금</t>
        </is>
      </c>
      <c r="G10" s="8" t="inlineStr">
        <is>
          <t>심연 50층 &amp; 차원 원정 첫 클리어</t>
        </is>
      </c>
    </row>
    <row r="11">
      <c r="A11" s="9" t="inlineStr">
        <is>
          <t>75일차</t>
        </is>
      </c>
      <c r="B11" s="9" t="inlineStr">
        <is>
          <t>80,000</t>
        </is>
      </c>
      <c r="C11" s="9" t="inlineStr">
        <is>
          <t>신화 1체 + 차원 3클리어</t>
        </is>
      </c>
      <c r="D11" s="9" t="inlineStr">
        <is>
          <t>Lv65 / 초월 3단계 / 신화</t>
        </is>
      </c>
      <c r="E11" s="9" t="inlineStr">
        <is>
          <t>신화 진화 달성, 차원 원정 3개 클리어, PvP 다이아</t>
        </is>
      </c>
      <c r="F11" s="9" t="inlineStr">
        <is>
          <t>소과금~중과금</t>
        </is>
      </c>
      <c r="G11" s="9" t="inlineStr">
        <is>
          <t>신화 등급 진입 &amp; PvP 다이아 랭크</t>
        </is>
      </c>
    </row>
    <row r="12">
      <c r="A12" s="8" t="inlineStr">
        <is>
          <t>90일차(무과금)</t>
        </is>
      </c>
      <c r="B12" s="8" t="inlineStr">
        <is>
          <t>100,000</t>
        </is>
      </c>
      <c r="C12" s="8" t="inlineStr">
        <is>
          <t>신화 1체 + 전설 풀세팅</t>
        </is>
      </c>
      <c r="D12" s="8" t="inlineStr">
        <is>
          <t>Lv70 / 초월 3 / 신화+전설</t>
        </is>
      </c>
      <c r="E12" s="8" t="inlineStr">
        <is>
          <t>꾸준한 파밍으로 풀빌드, 차원정복 도전 진행 중</t>
        </is>
      </c>
      <c r="F12" s="8" t="inlineStr">
        <is>
          <t>무과금</t>
        </is>
      </c>
      <c r="G12" s="8" t="inlineStr">
        <is>
          <t>풀빌드 완성 &amp; 차원정복 도전 자격</t>
        </is>
      </c>
    </row>
    <row r="13">
      <c r="A13" s="9" t="inlineStr">
        <is>
          <t>90일차(소과금)</t>
        </is>
      </c>
      <c r="B13" s="9" t="inlineStr">
        <is>
          <t>120,000+</t>
        </is>
      </c>
      <c r="C13" s="9" t="inlineStr">
        <is>
          <t>신화 2체 + 풀빌드</t>
        </is>
      </c>
      <c r="D13" s="9" t="inlineStr">
        <is>
          <t>Lv75 / 초월 5 / 신화 풀</t>
        </is>
      </c>
      <c r="E13" s="9" t="inlineStr">
        <is>
          <t>풀빌드 완성, 차원정복 클리어, 서버 랭킹 상위</t>
        </is>
      </c>
      <c r="F13" s="9" t="inlineStr">
        <is>
          <t>소과금(월정액+전투패스)</t>
        </is>
      </c>
      <c r="G13" s="9" t="inlineStr">
        <is>
          <t>차원정복 클리어 &amp; 서버 TOP 50</t>
        </is>
      </c>
    </row>
  </sheetData>
  <mergeCells count="1">
    <mergeCell ref="A1:G1"/>
  </mergeCell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4" customWidth="1" min="1" max="1"/>
    <col width="22" customWidth="1" min="2" max="2"/>
    <col width="28" customWidth="1" min="3" max="3"/>
    <col width="20" customWidth="1" min="4" max="4"/>
    <col width="16" customWidth="1" min="5" max="5"/>
    <col width="40" customWidth="1" min="6" max="6"/>
    <col width="36" customWidth="1" min="7" max="7"/>
  </cols>
  <sheetData>
    <row r="1">
      <c r="A1" s="6" t="inlineStr">
        <is>
          <t>PK &amp; 카르마 상세 시나리오</t>
        </is>
      </c>
    </row>
    <row r="3">
      <c r="A3" s="7" t="inlineStr">
        <is>
          <t>상황</t>
        </is>
      </c>
      <c r="B3" s="7" t="inlineStr">
        <is>
          <t>카르마 변동</t>
        </is>
      </c>
      <c r="C3" s="7" t="inlineStr">
        <is>
          <t>사망 페널티</t>
        </is>
      </c>
      <c r="D3" s="7" t="inlineStr">
        <is>
          <t>현상금</t>
        </is>
      </c>
      <c r="E3" s="7" t="inlineStr">
        <is>
          <t>PK존 여부</t>
        </is>
      </c>
      <c r="F3" s="7" t="inlineStr">
        <is>
          <t>생존 전략</t>
        </is>
      </c>
      <c r="G3" s="7" t="inlineStr">
        <is>
          <t>보상/위험</t>
        </is>
      </c>
    </row>
    <row r="4">
      <c r="A4" s="8" t="inlineStr">
        <is>
          <t>정당방위 (PK존 내 반격)</t>
        </is>
      </c>
      <c r="B4" s="8" t="inlineStr">
        <is>
          <t>변동 없음 (0)</t>
        </is>
      </c>
      <c r="C4" s="8" t="inlineStr">
        <is>
          <t>없음 (반격자 보호)</t>
        </is>
      </c>
      <c r="D4" s="8" t="inlineStr">
        <is>
          <t>없음</t>
        </is>
      </c>
      <c r="E4" s="8" t="inlineStr">
        <is>
          <t>PK존 내</t>
        </is>
      </c>
      <c r="F4" s="8" t="inlineStr">
        <is>
          <t>선공하지 않고 반격 시 카르마 무변동; 반격 스킬 준비</t>
        </is>
      </c>
      <c r="G4" s="8" t="inlineStr">
        <is>
          <t>보상: 상대 드랍 아이템 획득 / 위험: 낮음</t>
        </is>
      </c>
    </row>
    <row r="5">
      <c r="A5" s="9" t="inlineStr">
        <is>
          <t>초보자 PK (약자 사냥)</t>
        </is>
      </c>
      <c r="B5" s="9" t="inlineStr">
        <is>
          <t>카르마 −500 (대폭 하락)</t>
        </is>
      </c>
      <c r="C5" s="9" t="inlineStr">
        <is>
          <t>장비 파괴 확률 30%, 경험치 −10%</t>
        </is>
      </c>
      <c r="D5" s="9" t="inlineStr">
        <is>
          <t>현상금 50,000골드 자동 부여</t>
        </is>
      </c>
      <c r="E5" s="9" t="inlineStr">
        <is>
          <t>PK존/비PK존 무관</t>
        </is>
      </c>
      <c r="F5" s="9" t="inlineStr">
        <is>
          <t>절대 금지 — 레벨 차 20 이상 PK 시 카르마 패널티 3배</t>
        </is>
      </c>
      <c r="G5" s="9" t="inlineStr">
        <is>
          <t>보상: 소량 골드 / 위험: 현상금+카르마 폭락+감옥</t>
        </is>
      </c>
    </row>
    <row r="6">
      <c r="A6" s="8" t="inlineStr">
        <is>
          <t>무역 약탈 (카라반 공격)</t>
        </is>
      </c>
      <c r="B6" s="8" t="inlineStr">
        <is>
          <t>카르마 −200</t>
        </is>
      </c>
      <c r="C6" s="8" t="inlineStr">
        <is>
          <t>약탈자 사망 시 약탈품 100% 드랍</t>
        </is>
      </c>
      <c r="D6" s="8" t="inlineStr">
        <is>
          <t>현상금 20,000골드</t>
        </is>
      </c>
      <c r="E6" s="8" t="inlineStr">
        <is>
          <t>PK존 (무역 루트)</t>
        </is>
      </c>
      <c r="F6" s="8" t="inlineStr">
        <is>
          <t>카라반 호위 NPC 고용, 혈맹 호위대 편성</t>
        </is>
      </c>
      <c r="G6" s="8" t="inlineStr">
        <is>
          <t>보상: 무역품 탈취(고가) / 위험: 호위대 반격+현상금</t>
        </is>
      </c>
    </row>
    <row r="7">
      <c r="A7" s="9" t="inlineStr">
        <is>
          <t>공성전 PK (합법적 전투)</t>
        </is>
      </c>
      <c r="B7" s="9" t="inlineStr">
        <is>
          <t>변동 없음 (0)</t>
        </is>
      </c>
      <c r="C7" s="9" t="inlineStr">
        <is>
          <t>공성전 전용 부활(페널티 없음)</t>
        </is>
      </c>
      <c r="D7" s="9" t="inlineStr">
        <is>
          <t>없음</t>
        </is>
      </c>
      <c r="E7" s="9" t="inlineStr">
        <is>
          <t>공성전 전용 구역</t>
        </is>
      </c>
      <c r="F7" s="9" t="inlineStr">
        <is>
          <t>탱커 중심 진형, 성벽 방어 우선, 힐러 보호</t>
        </is>
      </c>
      <c r="G7" s="9" t="inlineStr">
        <is>
          <t>보상: 성 점령 시 세금 수입+특수 버프 / 위험: 전력 소모</t>
        </is>
      </c>
    </row>
    <row r="8">
      <c r="A8" s="8" t="inlineStr">
        <is>
          <t>현상금 사냥꾼 vs 카오틱</t>
        </is>
      </c>
      <c r="B8" s="8" t="inlineStr">
        <is>
          <t>카르마 +100 (회복)</t>
        </is>
      </c>
      <c r="C8" s="8" t="inlineStr">
        <is>
          <t>없음 (사냥꾼 보호)</t>
        </is>
      </c>
      <c r="D8" s="8" t="inlineStr">
        <is>
          <t>현상금 보상 수령</t>
        </is>
      </c>
      <c r="E8" s="8" t="inlineStr">
        <is>
          <t>PK존/비PK존 무관</t>
        </is>
      </c>
      <c r="F8" s="8" t="inlineStr">
        <is>
          <t>카오틱 유저 위치 추적 시스템 활용, 팀 사냥 추천</t>
        </is>
      </c>
      <c r="G8" s="8" t="inlineStr">
        <is>
          <t>보상: 현상금 골드+카르마 회복+칭호 / 위험: 카오틱이 더 강할 수 있음</t>
        </is>
      </c>
    </row>
    <row r="9">
      <c r="A9" s="9" t="inlineStr">
        <is>
          <t>혈맹전 PK (조직적 전투)</t>
        </is>
      </c>
      <c r="B9" s="9" t="inlineStr">
        <is>
          <t>카르마 −50 (소폭 하락)</t>
        </is>
      </c>
      <c r="C9" s="9" t="inlineStr">
        <is>
          <t>일반 사망 페널티(경험치 −5%)</t>
        </is>
      </c>
      <c r="D9" s="9" t="inlineStr">
        <is>
          <t>없음 (혈맹전 선포 시)</t>
        </is>
      </c>
      <c r="E9" s="9" t="inlineStr">
        <is>
          <t>PK존</t>
        </is>
      </c>
      <c r="F9" s="9" t="inlineStr">
        <is>
          <t>혈맹 단위 전략, 정찰+기습+본대 3단계 전술</t>
        </is>
      </c>
      <c r="G9" s="9" t="inlineStr">
        <is>
          <t>보상: 상대 혈맹 자원 약탈 / 위험: 보복전 가능성</t>
        </is>
      </c>
    </row>
    <row r="10">
      <c r="A10" s="8" t="inlineStr">
        <is>
          <t>진영전 PK (대규모)</t>
        </is>
      </c>
      <c r="B10" s="8" t="inlineStr">
        <is>
          <t>변동 없음 (0)</t>
        </is>
      </c>
      <c r="C10" s="8" t="inlineStr">
        <is>
          <t>진영전 전용 부활(페널티 경감)</t>
        </is>
      </c>
      <c r="D10" s="8" t="inlineStr">
        <is>
          <t>없음</t>
        </is>
      </c>
      <c r="E10" s="8" t="inlineStr">
        <is>
          <t>진영전 구역</t>
        </is>
      </c>
      <c r="F10" s="8" t="inlineStr">
        <is>
          <t>대규모 진형 유지, 지휘관 명령 따르기, CC기 집중</t>
        </is>
      </c>
      <c r="G10" s="8" t="inlineStr">
        <is>
          <t>보상: 진영 포인트+전용 장비+명예 / 위험: 전력 소모만</t>
        </is>
      </c>
    </row>
    <row r="11">
      <c r="A11" s="9" t="inlineStr">
        <is>
          <t>밀수 루트 PK</t>
        </is>
      </c>
      <c r="B11" s="9" t="inlineStr">
        <is>
          <t>카르마 −150</t>
        </is>
      </c>
      <c r="C11" s="9" t="inlineStr">
        <is>
          <t>밀수품 50% 드랍</t>
        </is>
      </c>
      <c r="D11" s="9" t="inlineStr">
        <is>
          <t>현상금 15,000골드</t>
        </is>
      </c>
      <c r="E11" s="9" t="inlineStr">
        <is>
          <t>PK존 (밀수 루트)</t>
        </is>
      </c>
      <c r="F11" s="9" t="inlineStr">
        <is>
          <t>은신 스킬 활용, 비정규 루트 탐색, 소규모 이동</t>
        </is>
      </c>
      <c r="G11" s="9" t="inlineStr">
        <is>
          <t>보상: 밀수품 탈취(희귀 재료) / 위험: 현상금+카르마 하락</t>
        </is>
      </c>
    </row>
    <row r="12">
      <c r="A12" s="8" t="inlineStr">
        <is>
          <t>보스 막타 PK (보스 가로채기)</t>
        </is>
      </c>
      <c r="B12" s="8" t="inlineStr">
        <is>
          <t>카르마 −300</t>
        </is>
      </c>
      <c r="C12" s="8" t="inlineStr">
        <is>
          <t>경험치 −8%, 1시간 디버프</t>
        </is>
      </c>
      <c r="D12" s="8" t="inlineStr">
        <is>
          <t>현상금 30,000골드</t>
        </is>
      </c>
      <c r="E12" s="8" t="inlineStr">
        <is>
          <t>PK존 (보스 필드)</t>
        </is>
      </c>
      <c r="F12" s="8" t="inlineStr">
        <is>
          <t>보스 HP 모니터링, 막타 타이밍에 광역기, 탈출로 확보</t>
        </is>
      </c>
      <c r="G12" s="8" t="inlineStr">
        <is>
          <t>보상: 보스 드랍(전설 장비 가능) / 위험: 다수 적대+카르마 폭락</t>
        </is>
      </c>
    </row>
    <row r="13">
      <c r="A13" s="9" t="inlineStr">
        <is>
          <t>서버 1위 PK (최강자 도전)</t>
        </is>
      </c>
      <c r="B13" s="9" t="inlineStr">
        <is>
          <t>카르마 −100</t>
        </is>
      </c>
      <c r="C13" s="9" t="inlineStr">
        <is>
          <t>일반 사망 페널티</t>
        </is>
      </c>
      <c r="D13" s="9" t="inlineStr">
        <is>
          <t>도전자에게 없음 / 1위 사망 시 칭호 이전</t>
        </is>
      </c>
      <c r="E13" s="9" t="inlineStr">
        <is>
          <t>PK존</t>
        </is>
      </c>
      <c r="F13" s="9" t="inlineStr">
        <is>
          <t>풀 버프+포션 준비, 시너지 최적화, 도주로 확보</t>
        </is>
      </c>
      <c r="G13" s="9" t="inlineStr">
        <is>
          <t>보상: "서버 최강" 칭호+특수 이펙트 / 위험: 패배 시 골드 소모만</t>
        </is>
      </c>
    </row>
    <row r="14">
      <c r="A14" s="8" t="inlineStr">
        <is>
          <t>카르마 회복 루트</t>
        </is>
      </c>
      <c r="B14" s="8" t="inlineStr">
        <is>
          <t>카르마 +30~+200 (회복)</t>
        </is>
      </c>
      <c r="C14" s="8" t="inlineStr">
        <is>
          <t>해당 없음</t>
        </is>
      </c>
      <c r="D14" s="8" t="inlineStr">
        <is>
          <t>현상금 감소</t>
        </is>
      </c>
      <c r="E14" s="8" t="inlineStr">
        <is>
          <t>비PK존</t>
        </is>
      </c>
      <c r="F14" s="8" t="inlineStr">
        <is>
          <t>봉사 퀘스트 수행, 성금 기부, 토벌 퀘스트 반복</t>
        </is>
      </c>
      <c r="G14" s="8" t="inlineStr">
        <is>
          <t>보상: 카르마 정상화+NPC 호감도 / 위험: 없음 (시간 소모)</t>
        </is>
      </c>
    </row>
    <row r="15">
      <c r="A15" s="9" t="inlineStr">
        <is>
          <t>감옥 시스템 (카르마 극한 시)</t>
        </is>
      </c>
      <c r="B15" s="9" t="inlineStr">
        <is>
          <t>카르마 −1000 이하 시 자동 투옥</t>
        </is>
      </c>
      <c r="C15" s="9" t="inlineStr">
        <is>
          <t>30분~2시간 행동 제한, 장비 사용 불가</t>
        </is>
      </c>
      <c r="D15" s="9" t="inlineStr">
        <is>
          <t>현상금 유지</t>
        </is>
      </c>
      <c r="E15" s="9" t="inlineStr">
        <is>
          <t>해당 없음 (자동)</t>
        </is>
      </c>
      <c r="F15" s="9" t="inlineStr">
        <is>
          <t>감옥 내 미니게임으로 형기 단축, 탈옥 시도 가능(실패 시 형기 2배)</t>
        </is>
      </c>
      <c r="G15" s="9" t="inlineStr">
        <is>
          <t>보상: 없음 / 위험: 시간 낭비+탈옥 실패 시 형기 연장</t>
        </is>
      </c>
    </row>
    <row r="16">
      <c r="A16" s="8" t="inlineStr">
        <is>
          <t>현상금 역사냥</t>
        </is>
      </c>
      <c r="B16" s="8" t="inlineStr">
        <is>
          <t>카르마 −200</t>
        </is>
      </c>
      <c r="C16" s="8" t="inlineStr">
        <is>
          <t>양측 일반 사망 페널티</t>
        </is>
      </c>
      <c r="D16" s="8" t="inlineStr">
        <is>
          <t>현상금 추가 부여</t>
        </is>
      </c>
      <c r="E16" s="8" t="inlineStr">
        <is>
          <t>PK존</t>
        </is>
      </c>
      <c r="F16" s="8" t="inlineStr">
        <is>
          <t>현상금 사냥꾼을 역으로 매복; 미끼+본대 전술</t>
        </is>
      </c>
      <c r="G16" s="8" t="inlineStr">
        <is>
          <t>보상: 사냥꾼 장비 드랍 / 위험: 카르마 추가 하락+더 많은 사냥꾼 유인</t>
        </is>
      </c>
    </row>
    <row r="17">
      <c r="A17" s="9" t="inlineStr">
        <is>
          <t>동맹 배신 PK</t>
        </is>
      </c>
      <c r="B17" s="9" t="inlineStr">
        <is>
          <t>카르마 −400 (배신 가중)</t>
        </is>
      </c>
      <c r="C17" s="9" t="inlineStr">
        <is>
          <t>경험치 −10%, 혈맹 추방</t>
        </is>
      </c>
      <c r="D17" s="9" t="inlineStr">
        <is>
          <t>현상금 40,000골드 + "배신자" 칭호</t>
        </is>
      </c>
      <c r="E17" s="9" t="inlineStr">
        <is>
          <t>PK존/비PK존 무관</t>
        </is>
      </c>
      <c r="F17" s="9" t="inlineStr">
        <is>
          <t>사전 혈맹 탈퇴 후 PK 시 페널티 경감; 동맹 내부 정보 활용</t>
        </is>
      </c>
      <c r="G17" s="9" t="inlineStr">
        <is>
          <t>보상: 동맹 자원 독점 / 위험: "배신자" 칭호(7일)+전 서버 적대</t>
        </is>
      </c>
    </row>
    <row r="18">
      <c r="A18" s="8" t="inlineStr">
        <is>
          <t>축제 기간 PK면제</t>
        </is>
      </c>
      <c r="B18" s="8" t="inlineStr">
        <is>
          <t>변동 없음 (0)</t>
        </is>
      </c>
      <c r="C18" s="8" t="inlineStr">
        <is>
          <t>없음 (PK 비활성)</t>
        </is>
      </c>
      <c r="D18" s="8" t="inlineStr">
        <is>
          <t>없음</t>
        </is>
      </c>
      <c r="E18" s="8" t="inlineStr">
        <is>
          <t>전 서버 비PK</t>
        </is>
      </c>
      <c r="F18" s="8" t="inlineStr">
        <is>
          <t>축제 이벤트 참가, 미니게임, 한정 아이템 파밍에 집중</t>
        </is>
      </c>
      <c r="G18" s="8" t="inlineStr">
        <is>
          <t>보상: 축제 한정 보상+평화로운 파밍 / 위험: 없음</t>
        </is>
      </c>
    </row>
  </sheetData>
  <mergeCells count="1">
    <mergeCell ref="A1:G1"/>
  </mergeCell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8" customWidth="1" min="1" max="1"/>
    <col width="28" customWidth="1" min="2" max="2"/>
    <col width="30" customWidth="1" min="3" max="3"/>
    <col width="28" customWidth="1" min="4" max="4"/>
    <col width="36" customWidth="1" min="5" max="5"/>
    <col width="36" customWidth="1" min="6" max="6"/>
  </cols>
  <sheetData>
    <row r="1">
      <c r="A1" s="6" t="inlineStr">
        <is>
          <t>전체 UI 화면 목록</t>
        </is>
      </c>
    </row>
    <row r="3">
      <c r="A3" s="7" t="inlineStr">
        <is>
          <t>화면</t>
        </is>
      </c>
      <c r="B3" s="7" t="inlineStr">
        <is>
          <t>진입 방법</t>
        </is>
      </c>
      <c r="C3" s="7" t="inlineStr">
        <is>
          <t>주요 기능</t>
        </is>
      </c>
      <c r="D3" s="7" t="inlineStr">
        <is>
          <t>하위 탭</t>
        </is>
      </c>
      <c r="E3" s="7" t="inlineStr">
        <is>
          <t>소켓 이벤트</t>
        </is>
      </c>
      <c r="F3" s="7" t="inlineStr">
        <is>
          <t>설명</t>
        </is>
      </c>
    </row>
    <row r="4">
      <c r="A4" s="8" t="inlineStr">
        <is>
          <t>로그인/캐릭터선택</t>
        </is>
      </c>
      <c r="B4" s="8" t="inlineStr">
        <is>
          <t>앱 실행 시 자동</t>
        </is>
      </c>
      <c r="C4" s="8" t="inlineStr">
        <is>
          <t>계정 인증, 캐릭터 생성/선택</t>
        </is>
      </c>
      <c r="D4" s="8" t="inlineStr">
        <is>
          <t>로그인, 회원가입, 캐릭터 목록</t>
        </is>
      </c>
      <c r="E4" s="8" t="inlineStr">
        <is>
          <t>login, createCharacter, selectCharacter</t>
        </is>
      </c>
      <c r="F4" s="8" t="inlineStr">
        <is>
          <t>게임 진입 첫 화면. 게스트/소셜 로그인 지원</t>
        </is>
      </c>
    </row>
    <row r="5">
      <c r="A5" s="9" t="inlineStr">
        <is>
          <t>IO매치 로비</t>
        </is>
      </c>
      <c r="B5" s="9" t="inlineStr">
        <is>
          <t>SLG메인 → "IO매치" 버튼</t>
        </is>
      </c>
      <c r="C5" s="9" t="inlineStr">
        <is>
          <t>실시간 매칭, 팀 구성, 맵 선택</t>
        </is>
      </c>
      <c r="D5" s="9" t="inlineStr">
        <is>
          <t>빠른매칭, 사용자방, 랭크매치</t>
        </is>
      </c>
      <c r="E5" s="9" t="inlineStr">
        <is>
          <t>joinMatch, createRoom, matchFound</t>
        </is>
      </c>
      <c r="F5" s="9" t="inlineStr">
        <is>
          <t>실시간 IO 배틀 매칭 대기 화면</t>
        </is>
      </c>
    </row>
    <row r="6">
      <c r="A6" s="8" t="inlineStr">
        <is>
          <t>IO전투 HUD</t>
        </is>
      </c>
      <c r="B6" s="8" t="inlineStr">
        <is>
          <t>IO매치 매칭 완료 시 자동 전환</t>
        </is>
      </c>
      <c r="C6" s="8" t="inlineStr">
        <is>
          <t>전투 조작, 스킬 사용, 미니맵</t>
        </is>
      </c>
      <c r="D6" s="8" t="inlineStr">
        <is>
          <t>스킬바, 미니맵, 킬로그, 채팅</t>
        </is>
      </c>
      <c r="E6" s="8" t="inlineStr">
        <is>
          <t>gameState, useSkill, playerDeath, gameEnd</t>
        </is>
      </c>
      <c r="F6" s="8" t="inlineStr">
        <is>
          <t>실시간 전투 인게임 UI. 자동전투+수동 스킬 발동</t>
        </is>
      </c>
    </row>
    <row r="7">
      <c r="A7" s="9" t="inlineStr">
        <is>
          <t>SLG 메인</t>
        </is>
      </c>
      <c r="B7" s="9" t="inlineStr">
        <is>
          <t>로그인 후 기본 화면 / IO전투 종료 후</t>
        </is>
      </c>
      <c r="C7" s="9" t="inlineStr">
        <is>
          <t>성 관리, 자원 확인, 퀵 메뉴</t>
        </is>
      </c>
      <c r="D7" s="9" t="inlineStr">
        <is>
          <t>자원바, 퀵슬롯, 알림, 이벤트 배너</t>
        </is>
      </c>
      <c r="E7" s="9" t="inlineStr">
        <is>
          <t>syncPlayerData, dailyReward, eventNotify</t>
        </is>
      </c>
      <c r="F7" s="9" t="inlineStr">
        <is>
          <t>게임의 메인 허브. 모든 콘텐츠 진입점</t>
        </is>
      </c>
    </row>
    <row r="8">
      <c r="A8" s="8" t="inlineStr">
        <is>
          <t>용병 관리</t>
        </is>
      </c>
      <c r="B8" s="8" t="inlineStr">
        <is>
          <t>SLG메인 → "용병" 아이콘</t>
        </is>
      </c>
      <c r="C8" s="8" t="inlineStr">
        <is>
          <t>용병 레벨업, 장비 장착, 스킬 설정</t>
        </is>
      </c>
      <c r="D8" s="8" t="inlineStr">
        <is>
          <t>목록, 상세, 스킬, 장비, 진급, 진화, 각성</t>
        </is>
      </c>
      <c r="E8" s="8" t="inlineStr">
        <is>
          <t>levelUpMerc, equipItem, evolveMerc, awakenMerc</t>
        </is>
      </c>
      <c r="F8" s="8" t="inlineStr">
        <is>
          <t>보유 용병 강화 및 관리 통합 화면</t>
        </is>
      </c>
    </row>
    <row r="9">
      <c r="A9" s="9" t="inlineStr">
        <is>
          <t>소환/가챠</t>
        </is>
      </c>
      <c r="B9" s="9" t="inlineStr">
        <is>
          <t>SLG메인 → "소환" 아이콘</t>
        </is>
      </c>
      <c r="C9" s="9" t="inlineStr">
        <is>
          <t>용병 소환, 확률 표시, 천장 시스템</t>
        </is>
      </c>
      <c r="D9" s="9" t="inlineStr">
        <is>
          <t>일반소환, 프리미엄소환, 픽업소환, 이력</t>
        </is>
      </c>
      <c r="E9" s="9" t="inlineStr">
        <is>
          <t>doSummon, summonResult, pityCount</t>
        </is>
      </c>
      <c r="F9" s="9" t="inlineStr">
        <is>
          <t>가챠 시스템. 10연차+천장+확률 공개</t>
        </is>
      </c>
    </row>
    <row r="10">
      <c r="A10" s="8" t="inlineStr">
        <is>
          <t>무역</t>
        </is>
      </c>
      <c r="B10" s="8" t="inlineStr">
        <is>
          <t>SLG메인 → "무역" 아이콘</t>
        </is>
      </c>
      <c r="C10" s="8" t="inlineStr">
        <is>
          <t>카라반 파견, 교역품 매매, 시세 확인</t>
        </is>
      </c>
      <c r="D10" s="8" t="inlineStr">
        <is>
          <t>시세표, 카라반, 무역로, 밀수</t>
        </is>
      </c>
      <c r="E10" s="8" t="inlineStr">
        <is>
          <t>startTrade, tradeResult, priceUpdate, caravan</t>
        </is>
      </c>
      <c r="F10" s="8" t="inlineStr">
        <is>
          <t>도시 간 교역으로 골드 수익. 실시간 시세 변동</t>
        </is>
      </c>
    </row>
    <row r="11">
      <c r="A11" s="9" t="inlineStr">
        <is>
          <t>성 시설</t>
        </is>
      </c>
      <c r="B11" s="9" t="inlineStr">
        <is>
          <t>SLG메인 → 성 건물 터치</t>
        </is>
      </c>
      <c r="C11" s="9" t="inlineStr">
        <is>
          <t>건물 건설/업그레이드, 자원 생산</t>
        </is>
      </c>
      <c r="D11" s="9" t="inlineStr">
        <is>
          <t>건설, 업그레이드, 연구소, 병영, 창고</t>
        </is>
      </c>
      <c r="E11" s="9" t="inlineStr">
        <is>
          <t>buildStart, buildComplete, upgradeBuilding</t>
        </is>
      </c>
      <c r="F11" s="9" t="inlineStr">
        <is>
          <t>성 내부 시설 관리. 건설 큐 시스템</t>
        </is>
      </c>
    </row>
    <row r="12">
      <c r="A12" s="8" t="inlineStr">
        <is>
          <t>원정대</t>
        </is>
      </c>
      <c r="B12" s="8" t="inlineStr">
        <is>
          <t>SLG메인 → "원정" 아이콘</t>
        </is>
      </c>
      <c r="C12" s="8" t="inlineStr">
        <is>
          <t>용병 파견, 보상 수령, 난이도 선택</t>
        </is>
      </c>
      <c r="D12" s="8" t="inlineStr">
        <is>
          <t>일반원정, 차원원정, 보스원정</t>
        </is>
      </c>
      <c r="E12" s="8" t="inlineStr">
        <is>
          <t>startExpedition, expeditionResult, claimReward</t>
        </is>
      </c>
      <c r="F12" s="8" t="inlineStr">
        <is>
          <t>방치형 콘텐츠. 시간 경과 후 보상 획득</t>
        </is>
      </c>
    </row>
    <row r="13">
      <c r="A13" s="9" t="inlineStr">
        <is>
          <t>공성전 맵</t>
        </is>
      </c>
      <c r="B13" s="9" t="inlineStr">
        <is>
          <t>SLG메인 → "공성전" 아이콘</t>
        </is>
      </c>
      <c r="C13" s="9" t="inlineStr">
        <is>
          <t>공성전 신청, 성 목록, 전략 배치</t>
        </is>
      </c>
      <c r="D13" s="9" t="inlineStr">
        <is>
          <t>성 목록, 공성 일정, 배치, 전적</t>
        </is>
      </c>
      <c r="E13" s="9" t="inlineStr">
        <is>
          <t>siegeRegister, siegeStart, deployTroops</t>
        </is>
      </c>
      <c r="F13" s="9" t="inlineStr">
        <is>
          <t>공성전 준비 및 전략 수립 화면</t>
        </is>
      </c>
    </row>
    <row r="14">
      <c r="A14" s="8" t="inlineStr">
        <is>
          <t>공성 HUD</t>
        </is>
      </c>
      <c r="B14" s="8" t="inlineStr">
        <is>
          <t>공성전 시작 시 자동 전환</t>
        </is>
      </c>
      <c r="C14" s="8" t="inlineStr">
        <is>
          <t>공성 조작, 성벽 공격/방어, 지휘</t>
        </is>
      </c>
      <c r="D14" s="8" t="inlineStr">
        <is>
          <t>부대 조작, 성문, 포탑, 지휘 명령</t>
        </is>
      </c>
      <c r="E14" s="8" t="inlineStr">
        <is>
          <t>siegeState, attackWall, defendGate, siegeEnd</t>
        </is>
      </c>
      <c r="F14" s="8" t="inlineStr">
        <is>
          <t>공성전 실시간 전투 UI. 공격/방어 역할 구분</t>
        </is>
      </c>
    </row>
    <row r="15">
      <c r="A15" s="9" t="inlineStr">
        <is>
          <t>PvP 아레나</t>
        </is>
      </c>
      <c r="B15" s="9" t="inlineStr">
        <is>
          <t>SLG메인 → "아레나" 아이콘</t>
        </is>
      </c>
      <c r="C15" s="9" t="inlineStr">
        <is>
          <t>1v1/3v3 매칭, 랭킹, 시즌 보상</t>
        </is>
      </c>
      <c r="D15" s="9" t="inlineStr">
        <is>
          <t>1v1, 3v3, 랭킹, 시즌정보</t>
        </is>
      </c>
      <c r="E15" s="9" t="inlineStr">
        <is>
          <t>arenaMatch, arenaResult, arenaRank, seasonReward</t>
        </is>
      </c>
      <c r="F15" s="9" t="inlineStr">
        <is>
          <t>PvP 경쟁 콘텐츠. 시즌제 랭킹 운영</t>
        </is>
      </c>
    </row>
    <row r="16">
      <c r="A16" s="8" t="inlineStr">
        <is>
          <t>혈맹</t>
        </is>
      </c>
      <c r="B16" s="8" t="inlineStr">
        <is>
          <t>SLG메인 → "혈맹" 아이콘</t>
        </is>
      </c>
      <c r="C16" s="8" t="inlineStr">
        <is>
          <t>혈맹 가입/생성, 멤버 관리, 혈맹 버프</t>
        </is>
      </c>
      <c r="D16" s="8" t="inlineStr">
        <is>
          <t>정보, 멤버, 버프, 혈맹전, 기부</t>
        </is>
      </c>
      <c r="E16" s="8" t="inlineStr">
        <is>
          <t>joinClan, clanInfo, clanBuff, clanDonate</t>
        </is>
      </c>
      <c r="F16" s="8" t="inlineStr">
        <is>
          <t>길드 시스템. 공성전 참가 단위</t>
        </is>
      </c>
    </row>
    <row r="17">
      <c r="A17" s="9" t="inlineStr">
        <is>
          <t>경매장</t>
        </is>
      </c>
      <c r="B17" s="9" t="inlineStr">
        <is>
          <t>SLG메인 → "경매장" 아이콘</t>
        </is>
      </c>
      <c r="C17" s="9" t="inlineStr">
        <is>
          <t>아이템 등록/구매, 시세 검색</t>
        </is>
      </c>
      <c r="D17" s="9" t="inlineStr">
        <is>
          <t>검색, 내 등록, 구매이력, 즐겨찾기</t>
        </is>
      </c>
      <c r="E17" s="9" t="inlineStr">
        <is>
          <t>auctionList, auctionBid, auctionBuy, auctionRegister</t>
        </is>
      </c>
      <c r="F17" s="9" t="inlineStr">
        <is>
          <t>유저 간 아이템 거래. 실시간 경매+즉시 구매</t>
        </is>
      </c>
    </row>
    <row r="18">
      <c r="A18" s="8" t="inlineStr">
        <is>
          <t>인벤토리</t>
        </is>
      </c>
      <c r="B18" s="8" t="inlineStr">
        <is>
          <t>SLG메인 → "가방" 아이콘</t>
        </is>
      </c>
      <c r="C18" s="8" t="inlineStr">
        <is>
          <t>아이템 확인, 사용, 분해, 정렬</t>
        </is>
      </c>
      <c r="D18" s="8" t="inlineStr">
        <is>
          <t>장비, 소비, 재료, 기타</t>
        </is>
      </c>
      <c r="E18" s="8" t="inlineStr">
        <is>
          <t>useItem, discardItem, sortInventory</t>
        </is>
      </c>
      <c r="F18" s="8" t="inlineStr">
        <is>
          <t>보유 아이템 관리. 자동 정렬+필터</t>
        </is>
      </c>
    </row>
    <row r="19">
      <c r="A19" s="9" t="inlineStr">
        <is>
          <t>상점</t>
        </is>
      </c>
      <c r="B19" s="9" t="inlineStr">
        <is>
          <t>SLG메인 → "상점" 아이콘</t>
        </is>
      </c>
      <c r="C19" s="9" t="inlineStr">
        <is>
          <t>패키지 구매, 다이아 충전, 한정 상품</t>
        </is>
      </c>
      <c r="D19" s="9" t="inlineStr">
        <is>
          <t>추천, 다이아, 패키지, 한정, 일일</t>
        </is>
      </c>
      <c r="E19" s="9" t="inlineStr">
        <is>
          <t>purchaseItem, shopList, dailyShopRefresh</t>
        </is>
      </c>
      <c r="F19" s="9" t="inlineStr">
        <is>
          <t>과금+재화 상점. 일일 무료 갱신 포함</t>
        </is>
      </c>
    </row>
    <row r="20">
      <c r="A20" s="8" t="inlineStr">
        <is>
          <t>설정</t>
        </is>
      </c>
      <c r="B20" s="8" t="inlineStr">
        <is>
          <t>SLG메인 → 톱니바퀴 아이콘</t>
        </is>
      </c>
      <c r="C20" s="8" t="inlineStr">
        <is>
          <t>그래픽, 사운드, 알림, 계정 관리</t>
        </is>
      </c>
      <c r="D20" s="8" t="inlineStr">
        <is>
          <t>그래픽, 사운드, 알림, 계정, 언어</t>
        </is>
      </c>
      <c r="E20" s="8" t="inlineStr">
        <is>
          <t>updateSettings, linkAccount, deleteAccount</t>
        </is>
      </c>
      <c r="F20" s="8" t="inlineStr">
        <is>
          <t>게임 환경 설정 및 계정 관리</t>
        </is>
      </c>
    </row>
    <row r="21">
      <c r="A21" s="9" t="inlineStr">
        <is>
          <t>도감</t>
        </is>
      </c>
      <c r="B21" s="9" t="inlineStr">
        <is>
          <t>SLG메인 → "도감" 아이콘</t>
        </is>
      </c>
      <c r="C21" s="9" t="inlineStr">
        <is>
          <t>용병 도감, 아이템 도감, 수집 보상</t>
        </is>
      </c>
      <c r="D21" s="9" t="inlineStr">
        <is>
          <t>용병도감, 장비도감, 몬스터도감</t>
        </is>
      </c>
      <c r="E21" s="9" t="inlineStr">
        <is>
          <t>collectionList, collectionReward</t>
        </is>
      </c>
      <c r="F21" s="9" t="inlineStr">
        <is>
          <t>수집 현황 확인. 도감 완성 시 스탯 보너스</t>
        </is>
      </c>
    </row>
    <row r="22">
      <c r="A22" s="8" t="inlineStr">
        <is>
          <t>랭킹</t>
        </is>
      </c>
      <c r="B22" s="8" t="inlineStr">
        <is>
          <t>SLG메인 → "랭킹" 아이콘</t>
        </is>
      </c>
      <c r="C22" s="8" t="inlineStr">
        <is>
          <t>전투력/PvP/혈맹/무역 랭킹 조회</t>
        </is>
      </c>
      <c r="D22" s="8" t="inlineStr">
        <is>
          <t>전투력, PvP, 혈맹, 무역, 심연</t>
        </is>
      </c>
      <c r="E22" s="8" t="inlineStr">
        <is>
          <t>getRanking, myRank</t>
        </is>
      </c>
      <c r="F22" s="8" t="inlineStr">
        <is>
          <t>각 콘텐츠별 서버 랭킹 조회</t>
        </is>
      </c>
    </row>
    <row r="23">
      <c r="A23" s="9" t="inlineStr">
        <is>
          <t>채팅</t>
        </is>
      </c>
      <c r="B23" s="9" t="inlineStr">
        <is>
          <t>SLG메인 하단 채팅 탭 / 전투 중 채팅 버튼</t>
        </is>
      </c>
      <c r="C23" s="9" t="inlineStr">
        <is>
          <t>전체/혈맹/귓속말/파티 채팅</t>
        </is>
      </c>
      <c r="D23" s="9" t="inlineStr">
        <is>
          <t>전체, 혈맹, 귓속말, 파티, 시스템</t>
        </is>
      </c>
      <c r="E23" s="9" t="inlineStr">
        <is>
          <t>chatSend, chatReceive, whisper, blockUser</t>
        </is>
      </c>
      <c r="F23" s="9" t="inlineStr">
        <is>
          <t>실시간 채팅. 채널 분리+차단+신고 기능</t>
        </is>
      </c>
    </row>
  </sheetData>
  <mergeCells count="1">
    <mergeCell ref="A1:F1"/>
  </mergeCell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8" customWidth="1" min="1" max="1"/>
    <col width="50" customWidth="1" min="2" max="2"/>
    <col width="40" customWidth="1" min="3" max="3"/>
    <col width="30" customWidth="1" min="4" max="4"/>
    <col width="30" customWidth="1" min="5" max="5"/>
    <col width="24" customWidth="1" min="6" max="6"/>
    <col width="32" customWidth="1" min="7" max="7"/>
    <col width="10" customWidth="1" min="8" max="8"/>
  </cols>
  <sheetData>
    <row r="1">
      <c r="A1" s="6" t="inlineStr">
        <is>
          <t>용병 음성 연출 &amp; 컷씬 기획</t>
        </is>
      </c>
    </row>
    <row r="3">
      <c r="A3" s="7" t="inlineStr">
        <is>
          <t>장면</t>
        </is>
      </c>
      <c r="B3" s="7" t="inlineStr">
        <is>
          <t>연출 설명</t>
        </is>
      </c>
      <c r="C3" s="7" t="inlineStr">
        <is>
          <t>카메라 워크</t>
        </is>
      </c>
      <c r="D3" s="7" t="inlineStr">
        <is>
          <t>음악</t>
        </is>
      </c>
      <c r="E3" s="7" t="inlineStr">
        <is>
          <t>SFX</t>
        </is>
      </c>
      <c r="F3" s="7" t="inlineStr">
        <is>
          <t>참여 용병</t>
        </is>
      </c>
      <c r="G3" s="7" t="inlineStr">
        <is>
          <t>트리거</t>
        </is>
      </c>
      <c r="H3" s="7" t="inlineStr">
        <is>
          <t>지속시간</t>
        </is>
      </c>
    </row>
    <row r="4">
      <c r="A4" s="8" t="inlineStr">
        <is>
          <t>합체 궁극기: 드래곤+세라핌</t>
        </is>
      </c>
      <c r="B4" s="8" t="inlineStr">
        <is>
          <t>두 용병이 하늘로 솟구치며 금빛과 푸른빛이 교차 → 슬로우모션으로 합체 순간 포착 → 빛 폭발과 함께 거대한 성룡 세라핌 등장</t>
        </is>
      </c>
      <c r="C4" s="8" t="inlineStr">
        <is>
          <t>360도 회전 후 로우앵글 줌아웃 → 합체 순간 줌인 → 빛 폭발 시 광각 풀샷</t>
        </is>
      </c>
      <c r="D4" s="8" t="inlineStr">
        <is>
          <t>오케스트라 클라이맥스 (장엄한 금관악기 + 합창)</t>
        </is>
      </c>
      <c r="E4" s="8" t="inlineStr">
        <is>
          <t>날개짓, 금속 공명, 빛 폭발, 충격파</t>
        </is>
      </c>
      <c r="F4" s="8" t="inlineStr">
        <is>
          <t>드래곤나이트, 세라핌</t>
        </is>
      </c>
      <c r="G4" s="8" t="inlineStr">
        <is>
          <t>두 용병 동시 궁극기 게이지 MAX 시 합체 버튼 활성화</t>
        </is>
      </c>
      <c r="H4" s="8" t="inlineStr">
        <is>
          <t>5초</t>
        </is>
      </c>
    </row>
    <row r="5">
      <c r="A5" s="9" t="inlineStr">
        <is>
          <t>합체 궁극기: 서리마녀+불사조</t>
        </is>
      </c>
      <c r="B5" s="9" t="inlineStr">
        <is>
          <t>얼음 폭풍과 화염 소용돌이가 충돌 → 슬로우모션으로 빙화(氷火) 융합 → 무지개빛 결정체 폭발</t>
        </is>
      </c>
      <c r="C5" s="9" t="inlineStr">
        <is>
          <t>양쪽에서 교차 패닝 → 충돌 지점 초접사 → 폭발 시 버드아이뷰</t>
        </is>
      </c>
      <c r="D5" s="9" t="inlineStr">
        <is>
          <t>이중 멜로디 (차가운 하프 + 뜨거운 전자기타 크로스페이드)</t>
        </is>
      </c>
      <c r="E5" s="9" t="inlineStr">
        <is>
          <t>빙결 균열, 화염 포효, 증기 폭발, 결정화 사운드</t>
        </is>
      </c>
      <c r="F5" s="9" t="inlineStr">
        <is>
          <t>서리마녀, 불사조</t>
        </is>
      </c>
      <c r="G5" s="9" t="inlineStr">
        <is>
          <t>두 용병 인접 배치 + 동시 궁극기 MAX</t>
        </is>
      </c>
      <c r="H5" s="9" t="inlineStr">
        <is>
          <t>5.5초</t>
        </is>
      </c>
    </row>
    <row r="6">
      <c r="A6" s="8" t="inlineStr">
        <is>
          <t>합체 궁극기: 암흑기사+성기사</t>
        </is>
      </c>
      <c r="B6" s="8" t="inlineStr">
        <is>
          <t>암흑 안개와 성스러운 빛이 교차하며 두 기사가 질주 → 슬로우모션 검격 교차 → 빛과 어둠의 십자가 폭발</t>
        </is>
      </c>
      <c r="C6" s="8" t="inlineStr">
        <is>
          <t>사이드 트래킹 → 교차 순간 매트릭스 불릿타임 → 폭발 시 정면 클로즈업</t>
        </is>
      </c>
      <c r="D6" s="8" t="inlineStr">
        <is>
          <t>긴장감 있는 스트링스 + 파이프 오르간 화음</t>
        </is>
      </c>
      <c r="E6" s="8" t="inlineStr">
        <is>
          <t>검 충돌, 에너지 파동, 십자가 형성, 대지 균열</t>
        </is>
      </c>
      <c r="F6" s="8" t="inlineStr">
        <is>
          <t>암흑기사, 성기사</t>
        </is>
      </c>
      <c r="G6" s="8" t="inlineStr">
        <is>
          <t>두 용병 궁극기 동시 발동 + 대척 속성 보너스</t>
        </is>
      </c>
      <c r="H6" s="8" t="inlineStr">
        <is>
          <t>5초</t>
        </is>
      </c>
    </row>
    <row r="7">
      <c r="A7" s="9" t="inlineStr">
        <is>
          <t>합체 궁극기: 뇌신+풍신</t>
        </is>
      </c>
      <c r="B7" s="9" t="inlineStr">
        <is>
          <t>번개와 폭풍이 하나의 토네이도로 합쳐짐 → 슬로우모션 회전 상승 → 하늘을 가르는 뇌풍 폭격</t>
        </is>
      </c>
      <c r="C7" s="9" t="inlineStr">
        <is>
          <t>나선형 상승 팔로우 → 꼭대기에서 하강 버드아이뷰 → 폭격 시 지면 임팩트 줌인</t>
        </is>
      </c>
      <c r="D7" s="9" t="inlineStr">
        <is>
          <t>전자음 + 태고 리듬 가속</t>
        </is>
      </c>
      <c r="E7" s="9" t="inlineStr">
        <is>
          <t>낙뢰, 폭풍 울부짖음, 공기 찢어지는 소리, 연속 폭발</t>
        </is>
      </c>
      <c r="F7" s="9" t="inlineStr">
        <is>
          <t>뇌신, 풍신</t>
        </is>
      </c>
      <c r="G7" s="9" t="inlineStr">
        <is>
          <t>같은 파티 배치 + 궁극기 게이지 풀 차지</t>
        </is>
      </c>
      <c r="H7" s="9" t="inlineStr">
        <is>
          <t>4.5초</t>
        </is>
      </c>
    </row>
    <row r="8">
      <c r="A8" s="8" t="inlineStr">
        <is>
          <t>합체 궁극기: 대지모신+해왕</t>
        </is>
      </c>
      <c r="B8" s="8" t="inlineStr">
        <is>
          <t>대지가 솟구치고 해일이 밀려옴 → 슬로우모션 충돌로 거대 산호 요새 형성 → 자연의 포효</t>
        </is>
      </c>
      <c r="C8" s="8" t="inlineStr">
        <is>
          <t>지면 균열 클로즈업 → 해일 광각 → 요새 형성 시 틸트업 파노라마</t>
        </is>
      </c>
      <c r="D8" s="8" t="inlineStr">
        <is>
          <t>월드뮤직 퍼커션 + 웅장한 합창</t>
        </is>
      </c>
      <c r="E8" s="8" t="inlineStr">
        <is>
          <t>지진, 파도 충돌, 산호 결정화, 대지의 심장박동</t>
        </is>
      </c>
      <c r="F8" s="8" t="inlineStr">
        <is>
          <t>대지모신, 해왕</t>
        </is>
      </c>
      <c r="G8" s="8" t="inlineStr">
        <is>
          <t>자연계 용병 3체 이상 배치 + 동시 궁극기</t>
        </is>
      </c>
      <c r="H8" s="8" t="inlineStr">
        <is>
          <t>6초</t>
        </is>
      </c>
    </row>
    <row r="9">
      <c r="A9" s="9" t="inlineStr">
        <is>
          <t>합체 궁극기: 시간술사+공간술사</t>
        </is>
      </c>
      <c r="B9" s="9" t="inlineStr">
        <is>
          <t>시공간이 왜곡되며 화면 자체가 깨짐 → 슬로우모션으로 차원문 형성 → 과거와 미래의 자아가 동시 공격</t>
        </is>
      </c>
      <c r="C9" s="9" t="inlineStr">
        <is>
          <t>화면 글리치 효과 → 차원문 내부 FPV 진입 → 다중 시점 분할 화면</t>
        </is>
      </c>
      <c r="D9" s="9" t="inlineStr">
        <is>
          <t>리버스 피아노 + 글리치 일렉트로닉</t>
        </is>
      </c>
      <c r="E9" s="9" t="inlineStr">
        <is>
          <t>시계태엽, 차원균열, 에코 잔향, 타임스톱 해제음</t>
        </is>
      </c>
      <c r="F9" s="9" t="inlineStr">
        <is>
          <t>시간술사, 공간술사</t>
        </is>
      </c>
      <c r="G9" s="9" t="inlineStr">
        <is>
          <t>특수 시공간 스킬 동시 사용 + 전용 아이템 장착</t>
        </is>
      </c>
      <c r="H9" s="9" t="inlineStr">
        <is>
          <t>7초</t>
        </is>
      </c>
    </row>
    <row r="10">
      <c r="A10" s="8" t="inlineStr">
        <is>
          <t>초월 각성: 전사 계열</t>
        </is>
      </c>
      <c r="B10" s="8" t="inlineStr">
        <is>
          <t>용병 주변에 투명한 오라 구체 형성 → 갑옷이 금빛으로 변환 → 눈이 빛나며 오라 폭발</t>
        </is>
      </c>
      <c r="C10" s="8" t="inlineStr">
        <is>
          <t>미디엄샷 → 오라 형성 시 서클 트래킹 → 눈 익스트림 클로즈업 → 폭발 시 줌아웃</t>
        </is>
      </c>
      <c r="D10" s="8" t="inlineStr">
        <is>
          <t>묵직한 전쟁 드럼 + 금관 팡파레</t>
        </is>
      </c>
      <c r="E10" s="8" t="inlineStr">
        <is>
          <t>금속 공명, 오라 진동, 갑옷 변환 찰칵, 전투함성</t>
        </is>
      </c>
      <c r="F10" s="8" t="inlineStr">
        <is>
          <t>전사/기사/광전사 등 전사 계열</t>
        </is>
      </c>
      <c r="G10" s="8" t="inlineStr">
        <is>
          <t>초월 재료 수집 완료 + 레벨 100 + 각성 퀘스트 클리어</t>
        </is>
      </c>
      <c r="H10" s="8" t="inlineStr">
        <is>
          <t>4초</t>
        </is>
      </c>
    </row>
    <row r="11">
      <c r="A11" s="9" t="inlineStr">
        <is>
          <t>초월 각성: 마법사 계열</t>
        </is>
      </c>
      <c r="B11" s="9" t="inlineStr">
        <is>
          <t>마법진이 공중에 겹겹이 전개 → 로브가 우주적 무늬로 변환 → 제3의 눈 개안, 마나 폭풍</t>
        </is>
      </c>
      <c r="C11" s="9" t="inlineStr">
        <is>
          <t>탑다운 마법진 포커스 → 용병 중심 스파이럴 줌인 → 제3의 눈 매크로 → 마나 폭풍 광각</t>
        </is>
      </c>
      <c r="D11" s="9" t="inlineStr">
        <is>
          <t>신비로운 합창 + 크리스탈 공명음</t>
        </is>
      </c>
      <c r="E11" s="9" t="inlineStr">
        <is>
          <t>마법진 전개음, 마나 결정화, 제3의 눈 개안 차임, 에너지 폭류</t>
        </is>
      </c>
      <c r="F11" s="9" t="inlineStr">
        <is>
          <t>마법사/원소술사/현자 등 마법 계열</t>
        </is>
      </c>
      <c r="G11" s="9" t="inlineStr">
        <is>
          <t>초월 재료 + 레벨 100 + 비전 해독 퀘스트 완료</t>
        </is>
      </c>
      <c r="H11" s="9" t="inlineStr">
        <is>
          <t>4.5초</t>
        </is>
      </c>
    </row>
    <row r="12">
      <c r="A12" s="8" t="inlineStr">
        <is>
          <t>초월 각성: 암살자 계열</t>
        </is>
      </c>
      <c r="B12" s="8" t="inlineStr">
        <is>
          <t>그림자가 분리되어 실체화 → 무기가 검은 오라로 재단련 → 순간이동 잔상과 함께 초월</t>
        </is>
      </c>
      <c r="C12" s="8" t="inlineStr">
        <is>
          <t>더블 노출 효과 → 그림자 분리 시 좌우 분할 → 재단련 클로즈업 → 잔상 멀티앵글</t>
        </is>
      </c>
      <c r="D12" s="8" t="inlineStr">
        <is>
          <t>긴장감 있는 일렉트로닉 베이스 + 속삭임</t>
        </is>
      </c>
      <c r="E12" s="8" t="inlineStr">
        <is>
          <t>그림자 분리, 단검 갈리는 소리, 순간이동 스냅, 바람 가르기</t>
        </is>
      </c>
      <c r="F12" s="8" t="inlineStr">
        <is>
          <t>암살자/닌자/도적 등 암살 계열</t>
        </is>
      </c>
      <c r="G12" s="8" t="inlineStr">
        <is>
          <t>초월 재료 + 레벨 100 + 암살 미션 올클리어</t>
        </is>
      </c>
      <c r="H12" s="8" t="inlineStr">
        <is>
          <t>3.5초</t>
        </is>
      </c>
    </row>
    <row r="13">
      <c r="A13" s="9" t="inlineStr">
        <is>
          <t>진화 합성: 일반→희귀</t>
        </is>
      </c>
      <c r="B13" s="9" t="inlineStr">
        <is>
          <t>두 장의 용병 카드가 공중에서 회전 → 서로 끌려와 합체 → 빛 기둥 상승 → 새 카드 등장</t>
        </is>
      </c>
      <c r="C13" s="9" t="inlineStr">
        <is>
          <t>카드 양쪽 미디엄샷 → 합체 시 중앙 줌인 → 빛 기둥 수직 틸트업 → 새 카드 정면 클로즈업</t>
        </is>
      </c>
      <c r="D13" s="9" t="inlineStr">
        <is>
          <t>기대감 주는 오르골 멜로디 → 합체 시 오케스트라 전환</t>
        </is>
      </c>
      <c r="E13" s="9" t="inlineStr">
        <is>
          <t>카드 회전, 자력 끌림, 빛 결합, 팡파레</t>
        </is>
      </c>
      <c r="F13" s="9" t="inlineStr">
        <is>
          <t>합성 대상 용병 2체</t>
        </is>
      </c>
      <c r="G13" s="9" t="inlineStr">
        <is>
          <t>합성 UI에서 재료 투입 + 합성 버튼</t>
        </is>
      </c>
      <c r="H13" s="9" t="inlineStr">
        <is>
          <t>3초</t>
        </is>
      </c>
    </row>
    <row r="14">
      <c r="A14" s="8" t="inlineStr">
        <is>
          <t>진화 합성: 희귀→영웅</t>
        </is>
      </c>
      <c r="B14" s="8" t="inlineStr">
        <is>
          <t>세 장의 빛나는 카드가 삼각 대형 → 에너지 삼각형 형성 → 카드가 녹아 하나로 → 영웅급 용병 실루엣 등장</t>
        </is>
      </c>
      <c r="C14" s="8" t="inlineStr">
        <is>
          <t>탑다운 삼각형 포커스 → 에너지 형성 시 회전 → 융합 순간 정면 줌인 → 실루엣 드라마틱 라이팅</t>
        </is>
      </c>
      <c r="D14" s="8" t="inlineStr">
        <is>
          <t>긴장감 있는 스트링스 트레몰로 → 영웅 테마 브라스</t>
        </is>
      </c>
      <c r="E14" s="8" t="inlineStr">
        <is>
          <t>에너지 수렴, 카드 용해, 결정체 형성, 영웅 등장 임팩트</t>
        </is>
      </c>
      <c r="F14" s="8" t="inlineStr">
        <is>
          <t>합성 대상 용병 3체</t>
        </is>
      </c>
      <c r="G14" s="8" t="inlineStr">
        <is>
          <t>희귀 용병 3체 투입 + 특수 합성석 사용</t>
        </is>
      </c>
      <c r="H14" s="8" t="inlineStr">
        <is>
          <t>4초</t>
        </is>
      </c>
    </row>
    <row r="15">
      <c r="A15" s="9" t="inlineStr">
        <is>
          <t>진화 합성: 영웅→전설</t>
        </is>
      </c>
      <c r="B15" s="9" t="inlineStr">
        <is>
          <t>다섯 장의 영웅 카드가 오각형 마법진 형성 → 천상의 빛 하강 → 전설급 용병이 왕좌에서 일어남</t>
        </is>
      </c>
      <c r="C15" s="9" t="inlineStr">
        <is>
          <t>오각형 버드아이뷰 → 천상 빛 줄기 수직 팬다운 → 왕좌 로우앵글 틸트업 → 일어서는 순간 정면 풀샷</t>
        </is>
      </c>
      <c r="D15" s="9" t="inlineStr">
        <is>
          <t>성가대 합창 + 풀 오케스트라 크레센도</t>
        </is>
      </c>
      <c r="E15" s="9" t="inlineStr">
        <is>
          <t>마법진 공명, 천상의 종소리, 왕좌 진동, 전설 팡파레, 관객 환호</t>
        </is>
      </c>
      <c r="F15" s="9" t="inlineStr">
        <is>
          <t>합성 대상 영웅 용병 5체</t>
        </is>
      </c>
      <c r="G15" s="9" t="inlineStr">
        <is>
          <t>영웅 5체 + 전설 합성 주문서 + 10만 골드</t>
        </is>
      </c>
      <c r="H15" s="9" t="inlineStr">
        <is>
          <t>5초</t>
        </is>
      </c>
    </row>
    <row r="16">
      <c r="A16" s="8" t="inlineStr">
        <is>
          <t>보스 처치: 일반 보스</t>
        </is>
      </c>
      <c r="B16" s="8" t="inlineStr">
        <is>
          <t>마지막 일격 순간 슬로우모션 → 용병 공격 모션 극대화 → 보스 균열 → 빛 폭발과 함께 전리품 쏟아짐</t>
        </is>
      </c>
      <c r="C16" s="8" t="inlineStr">
        <is>
          <t>공격 용병 오버숄더 → 일격 순간 초접사 → 보스 균열 멀티앵글 → 전리품 폭발 광각</t>
        </is>
      </c>
      <c r="D16" s="8" t="inlineStr">
        <is>
          <t>긴장 해소 멜로디 (전투BGM에서 승리 테마로 전환)</t>
        </is>
      </c>
      <c r="E16" s="8" t="inlineStr">
        <is>
          <t>결정타 임팩트, 보스 비명, 균열 붕괴, 전리품 동전 쏟아짐, 승리 징글</t>
        </is>
      </c>
      <c r="F16" s="8" t="inlineStr">
        <is>
          <t>파티 전원 (마지막 타격 용병 하이라이트)</t>
        </is>
      </c>
      <c r="G16" s="8" t="inlineStr">
        <is>
          <t>보스 HP 0 도달 시 자동 트리거</t>
        </is>
      </c>
      <c r="H16" s="8" t="inlineStr">
        <is>
          <t>4초</t>
        </is>
      </c>
    </row>
    <row r="17">
      <c r="A17" s="9" t="inlineStr">
        <is>
          <t>보스 처치: 월드 레이드 보스</t>
        </is>
      </c>
      <c r="B17" s="9" t="inlineStr">
        <is>
          <t>참가자 전원의 동시 공격 → 거대 보스 쓰러짐 슬로우모션 → 대지 진동 → 보물 상자 비 → 서버 전체 축하 연출</t>
        </is>
      </c>
      <c r="C17" s="9" t="inlineStr">
        <is>
          <t>참가자 군중 파노라마 → 동시 공격 멀티 분할화면 → 보스 쓰러짐 광각 → 보물비 버드아이뷰</t>
        </is>
      </c>
      <c r="D17" s="9" t="inlineStr">
        <is>
          <t>에픽 오케스트라 최고조 → 승리 합창 → 축제 음악 전환</t>
        </is>
      </c>
      <c r="E17" s="9" t="inlineStr">
        <is>
          <t>다중 타격, 대지 진동, 거대 붕괴, 보물 낙하, 서버 공지 팡파레, 환호</t>
        </is>
      </c>
      <c r="F17" s="9" t="inlineStr">
        <is>
          <t>레이드 참가자 전원 (최다 데미지 용병 특별 하이라이트)</t>
        </is>
      </c>
      <c r="G17" s="9" t="inlineStr">
        <is>
          <t>월드 보스 HP 0 + 레이드 종료 조건 충족</t>
        </is>
      </c>
      <c r="H17" s="9" t="inlineStr">
        <is>
          <t>8초</t>
        </is>
      </c>
    </row>
    <row r="18">
      <c r="A18" s="8" t="inlineStr">
        <is>
          <t>스토리 분기: EP12 마왕 대면</t>
        </is>
      </c>
      <c r="B18" s="8" t="inlineStr">
        <is>
          <t>어둠의 왕좌 앞에 주인공 도착 → 마왕과 대화 → 선택지 등장: "싸운다" / "협상한다" / "합류한다" → 선택에 따라 분기</t>
        </is>
      </c>
      <c r="C18" s="8" t="inlineStr">
        <is>
          <t>왕좌 로우앵글 틸트업 → 마왕 얼굴 클로즈업 → 주인공 리액션 → 선택지 등장 시 카메라 후퇴 미디엄샷</t>
        </is>
      </c>
      <c r="D18" s="8" t="inlineStr">
        <is>
          <t>불길한 오르간 + 긴장 스트링스 → 선택지 시 음악 페이드아웃 (무음 긴장)</t>
        </is>
      </c>
      <c r="E18" s="8" t="inlineStr">
        <is>
          <t>문 열림, 발걸음 에코, 마왕 웃음, 오라 위압감, 선택지 UI 등장음</t>
        </is>
      </c>
      <c r="F18" s="8" t="inlineStr">
        <is>
          <t>주인공 + 마왕 (+ 동행 용병 최대 3체)</t>
        </is>
      </c>
      <c r="G18" s="8" t="inlineStr">
        <is>
          <t>메인 스토리 EP12 클리어 + 마왕성 진입</t>
        </is>
      </c>
      <c r="H18" s="8" t="inlineStr">
        <is>
          <t>12초 (선택 대기 제외)</t>
        </is>
      </c>
    </row>
  </sheetData>
  <mergeCells count="1">
    <mergeCell ref="A1:H1"/>
  </mergeCell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6" customWidth="1" min="1" max="1"/>
    <col width="18" customWidth="1" min="2" max="2"/>
    <col width="30" customWidth="1" min="3" max="3"/>
    <col width="36" customWidth="1" min="4" max="4"/>
    <col width="10" customWidth="1" min="5" max="5"/>
  </cols>
  <sheetData>
    <row r="1">
      <c r="A1" s="6" t="inlineStr">
        <is>
          <t>전체 사운드 이펙트 목록 50종</t>
        </is>
      </c>
    </row>
    <row r="3">
      <c r="A3" s="7" t="inlineStr">
        <is>
          <t>#</t>
        </is>
      </c>
      <c r="B3" s="7" t="inlineStr">
        <is>
          <t>SFX명</t>
        </is>
      </c>
      <c r="C3" s="7" t="inlineStr">
        <is>
          <t>사용 장면</t>
        </is>
      </c>
      <c r="D3" s="7" t="inlineStr">
        <is>
          <t>스타일</t>
        </is>
      </c>
      <c r="E3" s="7" t="inlineStr">
        <is>
          <t>우선순위</t>
        </is>
      </c>
    </row>
    <row r="4">
      <c r="A4" s="8" t="n">
        <v>1</v>
      </c>
      <c r="B4" s="8" t="inlineStr">
        <is>
          <t>검격</t>
        </is>
      </c>
      <c r="C4" s="8" t="inlineStr">
        <is>
          <t>근접 무기 공격 시</t>
        </is>
      </c>
      <c r="D4" s="8" t="inlineStr">
        <is>
          <t>날카로운 금속 스윙 + 임팩트</t>
        </is>
      </c>
      <c r="E4" s="8" t="inlineStr">
        <is>
          <t>필수</t>
        </is>
      </c>
    </row>
    <row r="5">
      <c r="A5" s="9" t="n">
        <v>2</v>
      </c>
      <c r="B5" s="9" t="inlineStr">
        <is>
          <t>화살 발사</t>
        </is>
      </c>
      <c r="C5" s="9" t="inlineStr">
        <is>
          <t>궁수 기본 공격 시</t>
        </is>
      </c>
      <c r="D5" s="9" t="inlineStr">
        <is>
          <t>시위 당기는 소리 + 공기 가르기</t>
        </is>
      </c>
      <c r="E5" s="9" t="inlineStr">
        <is>
          <t>필수</t>
        </is>
      </c>
    </row>
    <row r="6">
      <c r="A6" s="8" t="n">
        <v>3</v>
      </c>
      <c r="B6" s="8" t="inlineStr">
        <is>
          <t>마법 발사</t>
        </is>
      </c>
      <c r="C6" s="8" t="inlineStr">
        <is>
          <t>마법사 스킬 사용 시</t>
        </is>
      </c>
      <c r="D6" s="8" t="inlineStr">
        <is>
          <t>에너지 충전 + 발사 웅웅</t>
        </is>
      </c>
      <c r="E6" s="8" t="inlineStr">
        <is>
          <t>필수</t>
        </is>
      </c>
    </row>
    <row r="7">
      <c r="A7" s="9" t="n">
        <v>4</v>
      </c>
      <c r="B7" s="9" t="inlineStr">
        <is>
          <t>폭발</t>
        </is>
      </c>
      <c r="C7" s="9" t="inlineStr">
        <is>
          <t>폭발형 스킬/궁극기 적중 시</t>
        </is>
      </c>
      <c r="D7" s="9" t="inlineStr">
        <is>
          <t>저음 쿵 + 파편 흩어짐</t>
        </is>
      </c>
      <c r="E7" s="9" t="inlineStr">
        <is>
          <t>필수</t>
        </is>
      </c>
    </row>
    <row r="8">
      <c r="A8" s="8" t="n">
        <v>5</v>
      </c>
      <c r="B8" s="8" t="inlineStr">
        <is>
          <t>힐</t>
        </is>
      </c>
      <c r="C8" s="8" t="inlineStr">
        <is>
          <t>회복 스킬 사용 시</t>
        </is>
      </c>
      <c r="D8" s="8" t="inlineStr">
        <is>
          <t>따뜻한 차임벨 + 반짝임</t>
        </is>
      </c>
      <c r="E8" s="8" t="inlineStr">
        <is>
          <t>필수</t>
        </is>
      </c>
    </row>
    <row r="9">
      <c r="A9" s="9" t="n">
        <v>6</v>
      </c>
      <c r="B9" s="9" t="inlineStr">
        <is>
          <t>크리티컬 히트</t>
        </is>
      </c>
      <c r="C9" s="9" t="inlineStr">
        <is>
          <t>크리티컬 데미지 발생 시</t>
        </is>
      </c>
      <c r="D9" s="9" t="inlineStr">
        <is>
          <t>강화된 타격 + 유리 깨지는 느낌</t>
        </is>
      </c>
      <c r="E9" s="9" t="inlineStr">
        <is>
          <t>필수</t>
        </is>
      </c>
    </row>
    <row r="10">
      <c r="A10" s="8" t="n">
        <v>7</v>
      </c>
      <c r="B10" s="8" t="inlineStr">
        <is>
          <t>스턴</t>
        </is>
      </c>
      <c r="C10" s="8" t="inlineStr">
        <is>
          <t>기절 상태이상 적중 시</t>
        </is>
      </c>
      <c r="D10" s="8" t="inlineStr">
        <is>
          <t>둔탁한 타격 + 별 도는 효과음</t>
        </is>
      </c>
      <c r="E10" s="8" t="inlineStr">
        <is>
          <t>필수</t>
        </is>
      </c>
    </row>
    <row r="11">
      <c r="A11" s="9" t="n">
        <v>8</v>
      </c>
      <c r="B11" s="9" t="inlineStr">
        <is>
          <t>독</t>
        </is>
      </c>
      <c r="C11" s="9" t="inlineStr">
        <is>
          <t>독 상태이상 적용 시</t>
        </is>
      </c>
      <c r="D11" s="9" t="inlineStr">
        <is>
          <t>독기 퍼지는 치익 + 거품</t>
        </is>
      </c>
      <c r="E11" s="9" t="inlineStr">
        <is>
          <t>중요</t>
        </is>
      </c>
    </row>
    <row r="12">
      <c r="A12" s="8" t="n">
        <v>9</v>
      </c>
      <c r="B12" s="8" t="inlineStr">
        <is>
          <t>빙결</t>
        </is>
      </c>
      <c r="C12" s="8" t="inlineStr">
        <is>
          <t>빙결 상태이상 적용 시</t>
        </is>
      </c>
      <c r="D12" s="8" t="inlineStr">
        <is>
          <t>얼음 결정화 + 균열</t>
        </is>
      </c>
      <c r="E12" s="8" t="inlineStr">
        <is>
          <t>중요</t>
        </is>
      </c>
    </row>
    <row r="13">
      <c r="A13" s="9" t="n">
        <v>10</v>
      </c>
      <c r="B13" s="9" t="inlineStr">
        <is>
          <t>보스 포효</t>
        </is>
      </c>
      <c r="C13" s="9" t="inlineStr">
        <is>
          <t>보스 등장/페이즈 전환 시</t>
        </is>
      </c>
      <c r="D13" s="9" t="inlineStr">
        <is>
          <t>깊은 포효 + 대지 진동</t>
        </is>
      </c>
      <c r="E13" s="9" t="inlineStr">
        <is>
          <t>필수</t>
        </is>
      </c>
    </row>
    <row r="14">
      <c r="A14" s="8" t="n">
        <v>11</v>
      </c>
      <c r="B14" s="8" t="inlineStr">
        <is>
          <t>사망</t>
        </is>
      </c>
      <c r="C14" s="8" t="inlineStr">
        <is>
          <t>용병/적 사망 시</t>
        </is>
      </c>
      <c r="D14" s="8" t="inlineStr">
        <is>
          <t>영혼 빠져나가는 잔향</t>
        </is>
      </c>
      <c r="E14" s="8" t="inlineStr">
        <is>
          <t>필수</t>
        </is>
      </c>
    </row>
    <row r="15">
      <c r="A15" s="9" t="n">
        <v>12</v>
      </c>
      <c r="B15" s="9" t="inlineStr">
        <is>
          <t>부활</t>
        </is>
      </c>
      <c r="C15" s="9" t="inlineStr">
        <is>
          <t>용병 부활 시</t>
        </is>
      </c>
      <c r="D15" s="9" t="inlineStr">
        <is>
          <t>빛 기둥 + 하프 상승음</t>
        </is>
      </c>
      <c r="E15" s="9" t="inlineStr">
        <is>
          <t>중요</t>
        </is>
      </c>
    </row>
    <row r="16">
      <c r="A16" s="8" t="n">
        <v>13</v>
      </c>
      <c r="B16" s="8" t="inlineStr">
        <is>
          <t>합체</t>
        </is>
      </c>
      <c r="C16" s="8" t="inlineStr">
        <is>
          <t>합체 궁극기 합체 순간</t>
        </is>
      </c>
      <c r="D16" s="8" t="inlineStr">
        <is>
          <t>에너지 수렴 + 폭발적 방출</t>
        </is>
      </c>
      <c r="E16" s="8" t="inlineStr">
        <is>
          <t>필수</t>
        </is>
      </c>
    </row>
    <row r="17">
      <c r="A17" s="9" t="n">
        <v>14</v>
      </c>
      <c r="B17" s="9" t="inlineStr">
        <is>
          <t>궁극기 발동</t>
        </is>
      </c>
      <c r="C17" s="9" t="inlineStr">
        <is>
          <t>궁극기 시전 시</t>
        </is>
      </c>
      <c r="D17" s="9" t="inlineStr">
        <is>
          <t>오라 차징 + 해방 임팩트</t>
        </is>
      </c>
      <c r="E17" s="9" t="inlineStr">
        <is>
          <t>필수</t>
        </is>
      </c>
    </row>
    <row r="18">
      <c r="A18" s="8" t="n">
        <v>15</v>
      </c>
      <c r="B18" s="8" t="inlineStr">
        <is>
          <t>레벨업</t>
        </is>
      </c>
      <c r="C18" s="8" t="inlineStr">
        <is>
          <t>용병 레벨업 시</t>
        </is>
      </c>
      <c r="D18" s="8" t="inlineStr">
        <is>
          <t>상승 팡파레 + 반짝임</t>
        </is>
      </c>
      <c r="E18" s="8" t="inlineStr">
        <is>
          <t>필수</t>
        </is>
      </c>
    </row>
    <row r="19">
      <c r="A19" s="9" t="n">
        <v>16</v>
      </c>
      <c r="B19" s="9" t="inlineStr">
        <is>
          <t>버튼 클릭</t>
        </is>
      </c>
      <c r="C19" s="9" t="inlineStr">
        <is>
          <t>UI 버튼 터치/클릭 시</t>
        </is>
      </c>
      <c r="D19" s="9" t="inlineStr">
        <is>
          <t>가벼운 틱 사운드</t>
        </is>
      </c>
      <c r="E19" s="9" t="inlineStr">
        <is>
          <t>필수</t>
        </is>
      </c>
    </row>
    <row r="20">
      <c r="A20" s="8" t="n">
        <v>17</v>
      </c>
      <c r="B20" s="8" t="inlineStr">
        <is>
          <t>모달 열기</t>
        </is>
      </c>
      <c r="C20" s="8" t="inlineStr">
        <is>
          <t>팝업/모달 창 오픈 시</t>
        </is>
      </c>
      <c r="D20" s="8" t="inlineStr">
        <is>
          <t>부드러운 스와이프 + 딩</t>
        </is>
      </c>
      <c r="E20" s="8" t="inlineStr">
        <is>
          <t>필수</t>
        </is>
      </c>
    </row>
    <row r="21">
      <c r="A21" s="9" t="n">
        <v>18</v>
      </c>
      <c r="B21" s="9" t="inlineStr">
        <is>
          <t>골드 획득</t>
        </is>
      </c>
      <c r="C21" s="9" t="inlineStr">
        <is>
          <t>골드 보상 수령 시</t>
        </is>
      </c>
      <c r="D21" s="9" t="inlineStr">
        <is>
          <t>동전 쨍그랑 (수량에 비례)</t>
        </is>
      </c>
      <c r="E21" s="9" t="inlineStr">
        <is>
          <t>필수</t>
        </is>
      </c>
    </row>
    <row r="22">
      <c r="A22" s="8" t="n">
        <v>19</v>
      </c>
      <c r="B22" s="8" t="inlineStr">
        <is>
          <t>다이아 획득</t>
        </is>
      </c>
      <c r="C22" s="8" t="inlineStr">
        <is>
          <t>다이아몬드 보상 수령 시</t>
        </is>
      </c>
      <c r="D22" s="8" t="inlineStr">
        <is>
          <t>크리스탈 공명 + 반짝임</t>
        </is>
      </c>
      <c r="E22" s="8" t="inlineStr">
        <is>
          <t>필수</t>
        </is>
      </c>
    </row>
    <row r="23">
      <c r="A23" s="9" t="n">
        <v>20</v>
      </c>
      <c r="B23" s="9" t="inlineStr">
        <is>
          <t>소환 시작</t>
        </is>
      </c>
      <c r="C23" s="9" t="inlineStr">
        <is>
          <t>용병 소환 연출 시작 시</t>
        </is>
      </c>
      <c r="D23" s="9" t="inlineStr">
        <is>
          <t>마법진 전개 + 기대감 상승음</t>
        </is>
      </c>
      <c r="E23" s="9" t="inlineStr">
        <is>
          <t>필수</t>
        </is>
      </c>
    </row>
    <row r="24">
      <c r="A24" s="8" t="n">
        <v>21</v>
      </c>
      <c r="B24" s="8" t="inlineStr">
        <is>
          <t>카드 뒤집기</t>
        </is>
      </c>
      <c r="C24" s="8" t="inlineStr">
        <is>
          <t>소환 결과 카드 공개 시</t>
        </is>
      </c>
      <c r="D24" s="8" t="inlineStr">
        <is>
          <t>종이 넘기는 소리 + 등급별 효과</t>
        </is>
      </c>
      <c r="E24" s="8" t="inlineStr">
        <is>
          <t>필수</t>
        </is>
      </c>
    </row>
    <row r="25">
      <c r="A25" s="9" t="n">
        <v>22</v>
      </c>
      <c r="B25" s="9" t="inlineStr">
        <is>
          <t>성공 알림</t>
        </is>
      </c>
      <c r="C25" s="9" t="inlineStr">
        <is>
          <t>강화/합성 성공 시</t>
        </is>
      </c>
      <c r="D25" s="9" t="inlineStr">
        <is>
          <t>밝은 팡파레 + 축하 효과</t>
        </is>
      </c>
      <c r="E25" s="9" t="inlineStr">
        <is>
          <t>필수</t>
        </is>
      </c>
    </row>
    <row r="26">
      <c r="A26" s="8" t="n">
        <v>23</v>
      </c>
      <c r="B26" s="8" t="inlineStr">
        <is>
          <t>실패 알림</t>
        </is>
      </c>
      <c r="C26" s="8" t="inlineStr">
        <is>
          <t>강화/합성 실패 시</t>
        </is>
      </c>
      <c r="D26" s="8" t="inlineStr">
        <is>
          <t>어두운 하강음 + 깨지는 소리</t>
        </is>
      </c>
      <c r="E26" s="8" t="inlineStr">
        <is>
          <t>필수</t>
        </is>
      </c>
    </row>
    <row r="27">
      <c r="A27" s="9" t="n">
        <v>24</v>
      </c>
      <c r="B27" s="9" t="inlineStr">
        <is>
          <t>퀘스트 완료</t>
        </is>
      </c>
      <c r="C27" s="9" t="inlineStr">
        <is>
          <t>퀘스트 달성 시</t>
        </is>
      </c>
      <c r="D27" s="9" t="inlineStr">
        <is>
          <t>완료 징글 (3음 상승)</t>
        </is>
      </c>
      <c r="E27" s="9" t="inlineStr">
        <is>
          <t>필수</t>
        </is>
      </c>
    </row>
    <row r="28">
      <c r="A28" s="8" t="n">
        <v>25</v>
      </c>
      <c r="B28" s="8" t="inlineStr">
        <is>
          <t>업적 해금</t>
        </is>
      </c>
      <c r="C28" s="8" t="inlineStr">
        <is>
          <t>업적 달성 시</t>
        </is>
      </c>
      <c r="D28" s="8" t="inlineStr">
        <is>
          <t>메달 각인 + 팡파레</t>
        </is>
      </c>
      <c r="E28" s="8" t="inlineStr">
        <is>
          <t>중요</t>
        </is>
      </c>
    </row>
    <row r="29">
      <c r="A29" s="9" t="n">
        <v>26</v>
      </c>
      <c r="B29" s="9" t="inlineStr">
        <is>
          <t>마차 출발</t>
        </is>
      </c>
      <c r="C29" s="9" t="inlineStr">
        <is>
          <t>무역 카라반 출발 시</t>
        </is>
      </c>
      <c r="D29" s="9" t="inlineStr">
        <is>
          <t>말 울음 + 바퀴 구르기 + 채찍</t>
        </is>
      </c>
      <c r="E29" s="9" t="inlineStr">
        <is>
          <t>필수</t>
        </is>
      </c>
    </row>
    <row r="30">
      <c r="A30" s="8" t="n">
        <v>27</v>
      </c>
      <c r="B30" s="8" t="inlineStr">
        <is>
          <t>마차 도착</t>
        </is>
      </c>
      <c r="C30" s="8" t="inlineStr">
        <is>
          <t>무역 카라반 도착 시</t>
        </is>
      </c>
      <c r="D30" s="8" t="inlineStr">
        <is>
          <t>말 멈춤 + 짐 내리는 소리 + 징글</t>
        </is>
      </c>
      <c r="E30" s="8" t="inlineStr">
        <is>
          <t>필수</t>
        </is>
      </c>
    </row>
    <row r="31">
      <c r="A31" s="9" t="n">
        <v>28</v>
      </c>
      <c r="B31" s="9" t="inlineStr">
        <is>
          <t>도적 습격</t>
        </is>
      </c>
      <c r="C31" s="9" t="inlineStr">
        <is>
          <t>무역 중 도적 이벤트 발생 시</t>
        </is>
      </c>
      <c r="D31" s="9" t="inlineStr">
        <is>
          <t>말 놀라는 소리 + 긴급 경고음</t>
        </is>
      </c>
      <c r="E31" s="9" t="inlineStr">
        <is>
          <t>필수</t>
        </is>
      </c>
    </row>
    <row r="32">
      <c r="A32" s="8" t="n">
        <v>29</v>
      </c>
      <c r="B32" s="8" t="inlineStr">
        <is>
          <t>함정 발동</t>
        </is>
      </c>
      <c r="C32" s="8" t="inlineStr">
        <is>
          <t>공성전 함정 작동 시</t>
        </is>
      </c>
      <c r="D32" s="8" t="inlineStr">
        <is>
          <t>기계 작동 + 스프링/폭발</t>
        </is>
      </c>
      <c r="E32" s="8" t="inlineStr">
        <is>
          <t>필수</t>
        </is>
      </c>
    </row>
    <row r="33">
      <c r="A33" s="9" t="n">
        <v>30</v>
      </c>
      <c r="B33" s="9" t="inlineStr">
        <is>
          <t>성벽 부서짐</t>
        </is>
      </c>
      <c r="C33" s="9" t="inlineStr">
        <is>
          <t>공성전 성벽 파괴 시</t>
        </is>
      </c>
      <c r="D33" s="9" t="inlineStr">
        <is>
          <t>돌 무너짐 + 먼지 폭발</t>
        </is>
      </c>
      <c r="E33" s="9" t="inlineStr">
        <is>
          <t>필수</t>
        </is>
      </c>
    </row>
    <row r="34">
      <c r="A34" s="8" t="n">
        <v>31</v>
      </c>
      <c r="B34" s="8" t="inlineStr">
        <is>
          <t>왕좌 점령</t>
        </is>
      </c>
      <c r="C34" s="8" t="inlineStr">
        <is>
          <t>공성전 왕좌 점령 완료 시</t>
        </is>
      </c>
      <c r="D34" s="8" t="inlineStr">
        <is>
          <t>왕관 착용 + 승리 팡파레</t>
        </is>
      </c>
      <c r="E34" s="8" t="inlineStr">
        <is>
          <t>필수</t>
        </is>
      </c>
    </row>
    <row r="35">
      <c r="A35" s="9" t="n">
        <v>32</v>
      </c>
      <c r="B35" s="9" t="inlineStr">
        <is>
          <t>승리 팡파레</t>
        </is>
      </c>
      <c r="C35" s="9" t="inlineStr">
        <is>
          <t>전투/공성 승리 시</t>
        </is>
      </c>
      <c r="D35" s="9" t="inlineStr">
        <is>
          <t>풀 브라스 팡파레 + 환호</t>
        </is>
      </c>
      <c r="E35" s="9" t="inlineStr">
        <is>
          <t>필수</t>
        </is>
      </c>
    </row>
    <row r="36">
      <c r="A36" s="8" t="n">
        <v>33</v>
      </c>
      <c r="B36" s="8" t="inlineStr">
        <is>
          <t>패배</t>
        </is>
      </c>
      <c r="C36" s="8" t="inlineStr">
        <is>
          <t>전투/공성 패배 시</t>
        </is>
      </c>
      <c r="D36" s="8" t="inlineStr">
        <is>
          <t>어두운 스트링스 하강 + 침묵</t>
        </is>
      </c>
      <c r="E36" s="8" t="inlineStr">
        <is>
          <t>필수</t>
        </is>
      </c>
    </row>
    <row r="37">
      <c r="A37" s="9" t="n">
        <v>34</v>
      </c>
      <c r="B37" s="9" t="inlineStr">
        <is>
          <t>공성 시작 알림</t>
        </is>
      </c>
      <c r="C37" s="9" t="inlineStr">
        <is>
          <t>공성전 시작 카운트다운 시</t>
        </is>
      </c>
      <c r="D37" s="9" t="inlineStr">
        <is>
          <t>전쟁 뿔피리 + 북소리</t>
        </is>
      </c>
      <c r="E37" s="9" t="inlineStr">
        <is>
          <t>중요</t>
        </is>
      </c>
    </row>
    <row r="38">
      <c r="A38" s="8" t="n">
        <v>35</v>
      </c>
      <c r="B38" s="8" t="inlineStr">
        <is>
          <t>관전 환호</t>
        </is>
      </c>
      <c r="C38" s="8" t="inlineStr">
        <is>
          <t>관전 모드 중 킬/클러치 발생 시</t>
        </is>
      </c>
      <c r="D38" s="8" t="inlineStr">
        <is>
          <t>군중 환호 + 박수</t>
        </is>
      </c>
      <c r="E38" s="8" t="inlineStr">
        <is>
          <t>선택</t>
        </is>
      </c>
    </row>
    <row r="39">
      <c r="A39" s="9" t="n">
        <v>36</v>
      </c>
      <c r="B39" s="9" t="inlineStr">
        <is>
          <t>낚시 찌</t>
        </is>
      </c>
      <c r="C39" s="9" t="inlineStr">
        <is>
          <t>낚시 찌 던지기/물에 닿을 때</t>
        </is>
      </c>
      <c r="D39" s="9" t="inlineStr">
        <is>
          <t>릴 돌아가기 + 풍덩</t>
        </is>
      </c>
      <c r="E39" s="9" t="inlineStr">
        <is>
          <t>중요</t>
        </is>
      </c>
    </row>
    <row r="40">
      <c r="A40" s="8" t="n">
        <v>37</v>
      </c>
      <c r="B40" s="8" t="inlineStr">
        <is>
          <t>물고기 잡힘</t>
        </is>
      </c>
      <c r="C40" s="8" t="inlineStr">
        <is>
          <t>낚시 성공 시</t>
        </is>
      </c>
      <c r="D40" s="8" t="inlineStr">
        <is>
          <t>릴 감기 + 물 튀김 + 팡파레</t>
        </is>
      </c>
      <c r="E40" s="8" t="inlineStr">
        <is>
          <t>중요</t>
        </is>
      </c>
    </row>
    <row r="41">
      <c r="A41" s="9" t="n">
        <v>38</v>
      </c>
      <c r="B41" s="9" t="inlineStr">
        <is>
          <t>요리 완성</t>
        </is>
      </c>
      <c r="C41" s="9" t="inlineStr">
        <is>
          <t>요리 완성 시</t>
        </is>
      </c>
      <c r="D41" s="9" t="inlineStr">
        <is>
          <t>지글지글 + 냄비 뚜껑 + 완성 징글</t>
        </is>
      </c>
      <c r="E41" s="9" t="inlineStr">
        <is>
          <t>중요</t>
        </is>
      </c>
    </row>
    <row r="42">
      <c r="A42" s="8" t="n">
        <v>39</v>
      </c>
      <c r="B42" s="8" t="inlineStr">
        <is>
          <t>수확</t>
        </is>
      </c>
      <c r="C42" s="8" t="inlineStr">
        <is>
          <t>농작물 수확 시</t>
        </is>
      </c>
      <c r="D42" s="8" t="inlineStr">
        <is>
          <t>풀 뽑히는 소리 + 바구니 담기</t>
        </is>
      </c>
      <c r="E42" s="8" t="inlineStr">
        <is>
          <t>중요</t>
        </is>
      </c>
    </row>
    <row r="43">
      <c r="A43" s="9" t="n">
        <v>40</v>
      </c>
      <c r="B43" s="9" t="inlineStr">
        <is>
          <t>펫 울음소리</t>
        </is>
      </c>
      <c r="C43" s="9" t="inlineStr">
        <is>
          <t>펫 상호작용 시</t>
        </is>
      </c>
      <c r="D43" s="9" t="inlineStr">
        <is>
          <t>동물 종류별 귀여운 울음 (5종)</t>
        </is>
      </c>
      <c r="E43" s="9" t="inlineStr">
        <is>
          <t>중요</t>
        </is>
      </c>
    </row>
    <row r="44">
      <c r="A44" s="8" t="n">
        <v>41</v>
      </c>
      <c r="B44" s="8" t="inlineStr">
        <is>
          <t>정원 물주기</t>
        </is>
      </c>
      <c r="C44" s="8" t="inlineStr">
        <is>
          <t>정원 물 주기 시</t>
        </is>
      </c>
      <c r="D44" s="8" t="inlineStr">
        <is>
          <t>물뿌리개 사라사라 + 식물 성장</t>
        </is>
      </c>
      <c r="E44" s="8" t="inlineStr">
        <is>
          <t>선택</t>
        </is>
      </c>
    </row>
    <row r="45">
      <c r="A45" s="9" t="n">
        <v>42</v>
      </c>
      <c r="B45" s="9" t="inlineStr">
        <is>
          <t>가구 배치</t>
        </is>
      </c>
      <c r="C45" s="9" t="inlineStr">
        <is>
          <t>집꾸미기 가구 배치 시</t>
        </is>
      </c>
      <c r="D45" s="9" t="inlineStr">
        <is>
          <t>쿵 + 만족스러운 착 소리</t>
        </is>
      </c>
      <c r="E45" s="9" t="inlineStr">
        <is>
          <t>선택</t>
        </is>
      </c>
    </row>
    <row r="46">
      <c r="A46" s="8" t="n">
        <v>43</v>
      </c>
      <c r="B46" s="8" t="inlineStr">
        <is>
          <t>경매 낙찰</t>
        </is>
      </c>
      <c r="C46" s="8" t="inlineStr">
        <is>
          <t>경매장 낙찰 시</t>
        </is>
      </c>
      <c r="D46" s="8" t="inlineStr">
        <is>
          <t>경매 망치 탕탕 + 축하 효과</t>
        </is>
      </c>
      <c r="E46" s="8" t="inlineStr">
        <is>
          <t>중요</t>
        </is>
      </c>
    </row>
    <row r="47">
      <c r="A47" s="9" t="n">
        <v>44</v>
      </c>
      <c r="B47" s="9" t="inlineStr">
        <is>
          <t>비</t>
        </is>
      </c>
      <c r="C47" s="9" t="inlineStr">
        <is>
          <t>비 오는 날씨 시</t>
        </is>
      </c>
      <c r="D47" s="9" t="inlineStr">
        <is>
          <t>빗소리 루프 (강약 2단계)</t>
        </is>
      </c>
      <c r="E47" s="9" t="inlineStr">
        <is>
          <t>중요</t>
        </is>
      </c>
    </row>
    <row r="48">
      <c r="A48" s="8" t="n">
        <v>45</v>
      </c>
      <c r="B48" s="8" t="inlineStr">
        <is>
          <t>눈</t>
        </is>
      </c>
      <c r="C48" s="8" t="inlineStr">
        <is>
          <t>눈 오는 날씨 시</t>
        </is>
      </c>
      <c r="D48" s="8" t="inlineStr">
        <is>
          <t>바람 + 부드러운 사각거림</t>
        </is>
      </c>
      <c r="E48" s="8" t="inlineStr">
        <is>
          <t>중요</t>
        </is>
      </c>
    </row>
    <row r="49">
      <c r="A49" s="9" t="n">
        <v>46</v>
      </c>
      <c r="B49" s="9" t="inlineStr">
        <is>
          <t>폭풍</t>
        </is>
      </c>
      <c r="C49" s="9" t="inlineStr">
        <is>
          <t>폭풍 날씨 이벤트 시</t>
        </is>
      </c>
      <c r="D49" s="9" t="inlineStr">
        <is>
          <t>강풍 + 낙뢰 + 빗소리 강화</t>
        </is>
      </c>
      <c r="E49" s="9" t="inlineStr">
        <is>
          <t>중요</t>
        </is>
      </c>
    </row>
    <row r="50">
      <c r="A50" s="8" t="n">
        <v>47</v>
      </c>
      <c r="B50" s="8" t="inlineStr">
        <is>
          <t>낮밤 전환</t>
        </is>
      </c>
      <c r="C50" s="8" t="inlineStr">
        <is>
          <t>게임 내 시간 전환 시</t>
        </is>
      </c>
      <c r="D50" s="8" t="inlineStr">
        <is>
          <t>새소리→귀뚜라미 / 귀뚜라미→새소리 크로스페이드</t>
        </is>
      </c>
      <c r="E50" s="8" t="inlineStr">
        <is>
          <t>중요</t>
        </is>
      </c>
    </row>
    <row r="51">
      <c r="A51" s="9" t="n">
        <v>48</v>
      </c>
      <c r="B51" s="9" t="inlineStr">
        <is>
          <t>보스 BGM 전환</t>
        </is>
      </c>
      <c r="C51" s="9" t="inlineStr">
        <is>
          <t>보스 조우 시 BGM 전환</t>
        </is>
      </c>
      <c r="D51" s="9" t="inlineStr">
        <is>
          <t>현재 BGM 페이드아웃 + 긴장 스팅어 + 보스 BGM 인</t>
        </is>
      </c>
      <c r="E51" s="9" t="inlineStr">
        <is>
          <t>필수</t>
        </is>
      </c>
    </row>
    <row r="52">
      <c r="A52" s="8" t="n">
        <v>49</v>
      </c>
      <c r="B52" s="8" t="inlineStr">
        <is>
          <t>월드 이벤트 알림</t>
        </is>
      </c>
      <c r="C52" s="8" t="inlineStr">
        <is>
          <t>서버 월드 이벤트 발생 시</t>
        </is>
      </c>
      <c r="D52" s="8" t="inlineStr">
        <is>
          <t>경고 사이렌 + 공지 징글</t>
        </is>
      </c>
      <c r="E52" s="8" t="inlineStr">
        <is>
          <t>중요</t>
        </is>
      </c>
    </row>
    <row r="53">
      <c r="A53" s="9" t="n">
        <v>50</v>
      </c>
      <c r="B53" s="9" t="inlineStr">
        <is>
          <t>서버 공지</t>
        </is>
      </c>
      <c r="C53" s="9" t="inlineStr">
        <is>
          <t>운영 공지 수신 시</t>
        </is>
      </c>
      <c r="D53" s="9" t="inlineStr">
        <is>
          <t>알림 차임 (3연타)</t>
        </is>
      </c>
      <c r="E53" s="9" t="inlineStr">
        <is>
          <t>선택</t>
        </is>
      </c>
    </row>
  </sheetData>
  <mergeCells count="1">
    <mergeCell ref="A1:E1"/>
  </mergeCell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0" customWidth="1" min="1" max="1"/>
    <col width="20" customWidth="1" min="2" max="2"/>
    <col width="36" customWidth="1" min="3" max="3"/>
    <col width="32" customWidth="1" min="4" max="4"/>
    <col width="32" customWidth="1" min="5" max="5"/>
    <col width="42" customWidth="1" min="6" max="6"/>
  </cols>
  <sheetData>
    <row r="1">
      <c r="A1" s="6" t="inlineStr">
        <is>
          <t>경쟁작 분석 &amp; AutoBattle.io 차별점</t>
        </is>
      </c>
    </row>
    <row r="3">
      <c r="A3" s="7" t="inlineStr">
        <is>
          <t>게임</t>
        </is>
      </c>
      <c r="B3" s="7" t="inlineStr">
        <is>
          <t>장르</t>
        </is>
      </c>
      <c r="C3" s="7" t="inlineStr">
        <is>
          <t>핵심 시스템</t>
        </is>
      </c>
      <c r="D3" s="7" t="inlineStr">
        <is>
          <t>장점</t>
        </is>
      </c>
      <c r="E3" s="7" t="inlineStr">
        <is>
          <t>단점</t>
        </is>
      </c>
      <c r="F3" s="7" t="inlineStr">
        <is>
          <t>AutoBattle.io 차별점</t>
        </is>
      </c>
    </row>
    <row r="4">
      <c r="A4" s="8" t="inlineStr">
        <is>
          <t>Vampire Survivors</t>
        </is>
      </c>
      <c r="B4" s="8" t="inlineStr">
        <is>
          <t>IO 서바이벌 (뱀서류 원조)</t>
        </is>
      </c>
      <c r="C4" s="8" t="inlineStr">
        <is>
          <t>자동 공격 + 이동만 조작 + 무기 조합 + 웨이브 생존</t>
        </is>
      </c>
      <c r="D4" s="8" t="inlineStr">
        <is>
          <t>중독성 높은 루프, 낮은 진입장벽, 무기 조합 재미</t>
        </is>
      </c>
      <c r="E4" s="8" t="inlineStr">
        <is>
          <t>엔드게임 부재, 멀티플레이 없음, 성장 루프 한정적</t>
        </is>
      </c>
      <c r="F4" s="8" t="inlineStr">
        <is>
          <t>IO 서바이벌 재미 유지 + SLG 용병육성/공성전으로 엔드게임 확장, 실시간 멀티플레이 지원</t>
        </is>
      </c>
    </row>
    <row r="5">
      <c r="A5" s="9" t="inlineStr">
        <is>
          <t>Surviv.io</t>
        </is>
      </c>
      <c r="B5" s="9" t="inlineStr">
        <is>
          <t>.io 배틀로얄</t>
        </is>
      </c>
      <c r="C5" s="9" t="inlineStr">
        <is>
          <t>탑다운 슈터 + 아이템 루팅 + 수축 원형, 웹 브라우저 즉시 접속</t>
        </is>
      </c>
      <c r="D5" s="9" t="inlineStr">
        <is>
          <t>빠른 접속, 브라우저 기반 접근성, 짧은 판</t>
        </is>
      </c>
      <c r="E5" s="9" t="inlineStr">
        <is>
          <t>성장 요소 없음, 콘텐츠 다양성 부족, 수익모델 제한</t>
        </is>
      </c>
      <c r="F5" s="9" t="inlineStr">
        <is>
          <t>브라우저 즉시 접속 유지 + 판 사이 영구 성장(용병 수집), 무역/공성으로 콘텐츠 깊이 추가</t>
        </is>
      </c>
    </row>
    <row r="6">
      <c r="A6" s="8" t="inlineStr">
        <is>
          <t>거상</t>
        </is>
      </c>
      <c r="B6" s="8" t="inlineStr">
        <is>
          <t>무역 MMORPG</t>
        </is>
      </c>
      <c r="C6" s="8" t="inlineStr">
        <is>
          <t>도시 간 무역 + 용병 고용 + 전투 + 경제 시스템</t>
        </is>
      </c>
      <c r="D6" s="8" t="inlineStr">
        <is>
          <t>독보적 무역 시스템, 용병 수집 재미, 장기 운영 검증</t>
        </is>
      </c>
      <c r="E6" s="8" t="inlineStr">
        <is>
          <t>구형 그래픽, 느린 게임플레이, 신규 유입 장벽</t>
        </is>
      </c>
      <c r="F6" s="8" t="inlineStr">
        <is>
          <t>거상식 무역 시스템을 IO 스피드로 재해석, 실시간 동적 수요공급 + 카라반 전투 긴장감</t>
        </is>
      </c>
    </row>
    <row r="7">
      <c r="A7" s="9" t="inlineStr">
        <is>
          <t>리니지M</t>
        </is>
      </c>
      <c r="B7" s="9" t="inlineStr">
        <is>
          <t>PK/공성 MMORPG</t>
        </is>
      </c>
      <c r="C7" s="9" t="inlineStr">
        <is>
          <t>PK + 카르마 + 혈맹 공성전 + 보스 사냥 + 거래</t>
        </is>
      </c>
      <c r="D7" s="9" t="inlineStr">
        <is>
          <t>강력한 커뮤니티, PK 긴장감, 공성전 대규모 전투</t>
        </is>
      </c>
      <c r="E7" s="9" t="inlineStr">
        <is>
          <t>극심한 과금 의존, 시간 투자 필수, 신규 격차 큼</t>
        </is>
      </c>
      <c r="F7" s="9" t="inlineStr">
        <is>
          <t>PK/공성의 긴장감을 IO 10분 판에 압축, 과금 없이 실력+전략으로 승부, 빠른 매칭</t>
        </is>
      </c>
    </row>
    <row r="8">
      <c r="A8" s="8" t="inlineStr">
        <is>
          <t>포켓몬 유나이트</t>
        </is>
      </c>
      <c r="B8" s="8" t="inlineStr">
        <is>
          <t>포켓몬 PvP MOBA</t>
        </is>
      </c>
      <c r="C8" s="8" t="inlineStr">
        <is>
          <t>포켓몬 선택 + 레인 전투 + 팀 협동 + 진화</t>
        </is>
      </c>
      <c r="D8" s="8" t="inlineStr">
        <is>
          <t>포켓몬 IP, 직관적 MOBA, 크로스플랫폼</t>
        </is>
      </c>
      <c r="E8" s="8" t="inlineStr">
        <is>
          <t>IP 의존, 밸런스 이슈, 과금 유닛 논란</t>
        </is>
      </c>
      <c r="F8" s="8" t="inlineStr">
        <is>
          <t>몬스터 포획+진화를 IO 전투에 통합, IP 없이 60종 오리지널 용병으로 수집 재미 제공</t>
        </is>
      </c>
    </row>
    <row r="9">
      <c r="A9" s="9" t="inlineStr">
        <is>
          <t>AFK Arena</t>
        </is>
      </c>
      <c r="B9" s="9" t="inlineStr">
        <is>
          <t>방치형 RPG</t>
        </is>
      </c>
      <c r="C9" s="9" t="inlineStr">
        <is>
          <t>자동 전투 + 영웅 수집 + 진급 + 캠페인 + PvP</t>
        </is>
      </c>
      <c r="D9" s="9" t="inlineStr">
        <is>
          <t>가벼운 플레이, 수집 재미, 안정적 수익모델</t>
        </is>
      </c>
      <c r="E9" s="9" t="inlineStr">
        <is>
          <t>실질적 조작감 없음, 반복적 콘텐츠, 과금 벽</t>
        </is>
      </c>
      <c r="F9" s="9" t="inlineStr">
        <is>
          <t>방치형의 수집+진급 편의성 유지 + IO 모드에서 직접 조작 재미, 공성전으로 전략적 깊이 추가</t>
        </is>
      </c>
    </row>
    <row r="10">
      <c r="A10" s="8" t="inlineStr">
        <is>
          <t>클래시 로얄</t>
        </is>
      </c>
      <c r="B10" s="8" t="inlineStr">
        <is>
          <t>실시간 전략 카드 PvP</t>
        </is>
      </c>
      <c r="C10" s="8" t="inlineStr">
        <is>
          <t>카드 덱 빌딩 + 실시간 배치 + 타워 공방 + 클랜전</t>
        </is>
      </c>
      <c r="D10" s="8" t="inlineStr">
        <is>
          <t>짧은 판, 전략 깊이, 강력한 e스포츠</t>
        </is>
      </c>
      <c r="E10" s="8" t="inlineStr">
        <is>
          <t>카드 레벨 과금 벽, 메타 고착화, 콘텐츠 한정</t>
        </is>
      </c>
      <c r="F10" s="8" t="inlineStr">
        <is>
          <t>카드 수집 전략을 용병 조합에 적용 + IO 서바이벌과 공성전 2가지 모드로 다양성 확보</t>
        </is>
      </c>
    </row>
    <row r="11">
      <c r="A11" s="9" t="inlineStr">
        <is>
          <t>알비온 온라인</t>
        </is>
      </c>
      <c r="B11" s="9" t="inlineStr">
        <is>
          <t>샌드박스 MMO</t>
        </is>
      </c>
      <c r="C11" s="9" t="inlineStr">
        <is>
          <t>풀룻 PvP + 영토전 + 자유경제 + 크래프팅 + 길드전</t>
        </is>
      </c>
      <c r="D11" s="9" t="inlineStr">
        <is>
          <t>진정한 샌드박스, 풀룻 긴장감, 플레이어 주도 경제</t>
        </is>
      </c>
      <c r="E11" s="9" t="inlineStr">
        <is>
          <t>가파른 학습곡선, 시간 요구량, 풀룻 스트레스</t>
        </is>
      </c>
      <c r="F11" s="9" t="inlineStr">
        <is>
          <t>알비온식 풀룻 긴장감을 IO 약탈전 모드로 축소 적용, 10분 내 경험 가능한 영토 쟁탈</t>
        </is>
      </c>
    </row>
    <row r="12">
      <c r="A12" s="8" t="inlineStr">
        <is>
          <t>TFT (팀파이트 택틱스)</t>
        </is>
      </c>
      <c r="B12" s="8" t="inlineStr">
        <is>
          <t>자동 전투 전략</t>
        </is>
      </c>
      <c r="C12" s="8" t="inlineStr">
        <is>
          <t>챔피언 조합 + 아이템 빌드 + 포지셔닝 + 경제 관리</t>
        </is>
      </c>
      <c r="D12" s="8" t="inlineStr">
        <is>
          <t>깊은 전략성, LoL IP 시너지, 시즌제 변화</t>
        </is>
      </c>
      <c r="E12" s="8" t="inlineStr">
        <is>
          <t>LoL 지식 필요, 긴 판(30분+), 운 요소</t>
        </is>
      </c>
      <c r="F12" s="8" t="inlineStr">
        <is>
          <t>자동전투 전략을 IO 스피드(10분)로 압축 + SLG 용병 사전 육성이 전략 깊이 추가</t>
        </is>
      </c>
    </row>
    <row r="13">
      <c r="A13" s="9" t="inlineStr">
        <is>
          <t>쿠키런: 킹덤</t>
        </is>
      </c>
      <c r="B13" s="9" t="inlineStr">
        <is>
          <t>수집+건설 RPG</t>
        </is>
      </c>
      <c r="C13" s="9" t="inlineStr">
        <is>
          <t>쿠키 수집 + 왕국 건설 + 스토리 캠페인 + 길드전</t>
        </is>
      </c>
      <c r="D13" s="9" t="inlineStr">
        <is>
          <t>매력적 캐릭터, 건설+RPG 융합, 스토리</t>
        </is>
      </c>
      <c r="E13" s="9" t="inlineStr">
        <is>
          <t>콘텐츠 소진 빠름, 자동전투 단조, 과금 가속화</t>
        </is>
      </c>
      <c r="F13" s="9" t="inlineStr">
        <is>
          <t>건설 재미(성 5레벨)를 유지하면서 IO+공성전으로 실시간 전투 긴장감 제공, 무역으로 경제 순환</t>
        </is>
      </c>
    </row>
  </sheetData>
  <mergeCells count="1">
    <mergeCell ref="A1:F1"/>
  </mergeCell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2" customWidth="1" min="1" max="1"/>
    <col width="12" customWidth="1" min="2" max="2"/>
    <col width="14" customWidth="1" min="3" max="3"/>
    <col width="16" customWidth="1" min="4" max="4"/>
    <col width="20" customWidth="1" min="5" max="5"/>
    <col width="14" customWidth="1" min="6" max="6"/>
    <col width="40" customWidth="1" min="7" max="7"/>
  </cols>
  <sheetData>
    <row r="1">
      <c r="A1" s="6" t="inlineStr">
        <is>
          <t>용병 합성 시뮬레이터 결과표 — 비용·효율 분석</t>
        </is>
      </c>
    </row>
    <row r="3">
      <c r="A3" s="7" t="inlineStr">
        <is>
          <t>시작 용병</t>
        </is>
      </c>
      <c r="B3" s="7" t="inlineStr">
        <is>
          <t>합성 횟수</t>
        </is>
      </c>
      <c r="C3" s="7" t="inlineStr">
        <is>
          <t>소요 골드</t>
        </is>
      </c>
      <c r="D3" s="7" t="inlineStr">
        <is>
          <t>소요 시간(일)</t>
        </is>
      </c>
      <c r="E3" s="7" t="inlineStr">
        <is>
          <t>최종 용병</t>
        </is>
      </c>
      <c r="F3" s="7" t="inlineStr">
        <is>
          <t>최종 전투력</t>
        </is>
      </c>
      <c r="G3" s="7" t="inlineStr">
        <is>
          <t>효율 평가</t>
        </is>
      </c>
    </row>
    <row r="4">
      <c r="A4" s="8" t="inlineStr">
        <is>
          <t>보병 ×3</t>
        </is>
      </c>
      <c r="B4" s="8" t="n">
        <v>1</v>
      </c>
      <c r="C4" s="8" t="inlineStr">
        <is>
          <t>5,000G</t>
        </is>
      </c>
      <c r="D4" s="8" t="inlineStr">
        <is>
          <t>1일</t>
        </is>
      </c>
      <c r="E4" s="8" t="inlineStr">
        <is>
          <t>기사</t>
        </is>
      </c>
      <c r="F4" s="8" t="n">
        <v>1200</v>
      </c>
      <c r="G4" s="8" t="inlineStr">
        <is>
          <t>★★★★★ 초반 필수, 가성비 최고</t>
        </is>
      </c>
    </row>
    <row r="5">
      <c r="A5" s="9" t="inlineStr">
        <is>
          <t>보병 ×6 + 사제 ×1</t>
        </is>
      </c>
      <c r="B5" s="9" t="n">
        <v>2</v>
      </c>
      <c r="C5" s="9" t="inlineStr">
        <is>
          <t>20,000G</t>
        </is>
      </c>
      <c r="D5" s="9" t="inlineStr">
        <is>
          <t>3일</t>
        </is>
      </c>
      <c r="E5" s="9" t="inlineStr">
        <is>
          <t>성기사</t>
        </is>
      </c>
      <c r="F5" s="9" t="n">
        <v>3500</v>
      </c>
      <c r="G5" s="9" t="inlineStr">
        <is>
          <t>★★★★☆ 중반 핵심, 회복+탱킹</t>
        </is>
      </c>
    </row>
    <row r="6">
      <c r="A6" s="8" t="inlineStr">
        <is>
          <t>보병 ×9 + 사제 ×1 + 용알</t>
        </is>
      </c>
      <c r="B6" s="8" t="n">
        <v>3</v>
      </c>
      <c r="C6" s="8" t="inlineStr">
        <is>
          <t>75,000G</t>
        </is>
      </c>
      <c r="D6" s="8" t="inlineStr">
        <is>
          <t>7일</t>
        </is>
      </c>
      <c r="E6" s="8" t="inlineStr">
        <is>
          <t>드래곤나이트</t>
        </is>
      </c>
      <c r="F6" s="8" t="n">
        <v>8200</v>
      </c>
      <c r="G6" s="8" t="inlineStr">
        <is>
          <t>★★★★☆ 전환점, 비행+화염</t>
        </is>
      </c>
    </row>
    <row r="7">
      <c r="A7" s="9" t="inlineStr">
        <is>
          <t>마법사 ×4 (경로A)</t>
        </is>
      </c>
      <c r="B7" s="9" t="n">
        <v>2</v>
      </c>
      <c r="C7" s="9" t="inlineStr">
        <is>
          <t>30,000G</t>
        </is>
      </c>
      <c r="D7" s="9" t="inlineStr">
        <is>
          <t>4일</t>
        </is>
      </c>
      <c r="E7" s="9" t="inlineStr">
        <is>
          <t>흑마법사</t>
        </is>
      </c>
      <c r="F7" s="9" t="n">
        <v>4100</v>
      </c>
      <c r="G7" s="9" t="inlineStr">
        <is>
          <t>★★★☆☆ 범위딜 특화, 방어 취약</t>
        </is>
      </c>
    </row>
    <row r="8">
      <c r="A8" s="8" t="inlineStr">
        <is>
          <t>마법사 ×4 (경로B)</t>
        </is>
      </c>
      <c r="B8" s="8" t="n">
        <v>2</v>
      </c>
      <c r="C8" s="8" t="inlineStr">
        <is>
          <t>35,000G</t>
        </is>
      </c>
      <c r="D8" s="8" t="inlineStr">
        <is>
          <t>4일</t>
        </is>
      </c>
      <c r="E8" s="8" t="inlineStr">
        <is>
          <t>서리여왕</t>
        </is>
      </c>
      <c r="F8" s="8" t="n">
        <v>4800</v>
      </c>
      <c r="G8" s="8" t="inlineStr">
        <is>
          <t>★★★★☆ CC 특화, 골드 5천 더 들지만 전투력 700↑</t>
        </is>
      </c>
    </row>
    <row r="9">
      <c r="A9" s="9" t="inlineStr">
        <is>
          <t>기사 → 성기사 → 드래곤나이트 → 드래곤로드</t>
        </is>
      </c>
      <c r="B9" s="9" t="n">
        <v>4</v>
      </c>
      <c r="C9" s="9" t="inlineStr">
        <is>
          <t>150,000G</t>
        </is>
      </c>
      <c r="D9" s="9" t="inlineStr">
        <is>
          <t>14일</t>
        </is>
      </c>
      <c r="E9" s="9" t="inlineStr">
        <is>
          <t>드래곤로드</t>
        </is>
      </c>
      <c r="F9" s="9" t="n">
        <v>15000</v>
      </c>
      <c r="G9" s="9" t="inlineStr">
        <is>
          <t>★★★☆☆ 정석 루트, 안정적</t>
        </is>
      </c>
    </row>
    <row r="10">
      <c r="A10" s="8" t="inlineStr">
        <is>
          <t>드래곤로드 → 천상의기사 → 바하무트</t>
        </is>
      </c>
      <c r="B10" s="8" t="n">
        <v>6</v>
      </c>
      <c r="C10" s="8" t="inlineStr">
        <is>
          <t>500,000G</t>
        </is>
      </c>
      <c r="D10" s="8" t="inlineStr">
        <is>
          <t>30일</t>
        </is>
      </c>
      <c r="E10" s="8" t="inlineStr">
        <is>
          <t>바하무트</t>
        </is>
      </c>
      <c r="F10" s="8" t="n">
        <v>45000</v>
      </c>
      <c r="G10" s="8" t="inlineStr">
        <is>
          <t>★★★★★ 최종 목표, 서버 최강</t>
        </is>
      </c>
    </row>
    <row r="11">
      <c r="A11" s="9" t="inlineStr">
        <is>
          <t>보병 ×1 → … → 바하무트 (풀경로 합산)</t>
        </is>
      </c>
      <c r="B11" s="9" t="n">
        <v>6</v>
      </c>
      <c r="C11" s="9" t="inlineStr">
        <is>
          <t>550,000G</t>
        </is>
      </c>
      <c r="D11" s="9" t="inlineStr">
        <is>
          <t>31일</t>
        </is>
      </c>
      <c r="E11" s="9" t="inlineStr">
        <is>
          <t>바하무트</t>
        </is>
      </c>
      <c r="F11" s="9" t="n">
        <v>45000</v>
      </c>
      <c r="G11" s="9" t="inlineStr">
        <is>
          <t>★★★☆☆ 총 투자 대비 효율 보통, 장기 플레이어용</t>
        </is>
      </c>
    </row>
    <row r="12">
      <c r="A12" s="8" t="inlineStr">
        <is>
          <t>암살자 ×3 + 흑마법사 + 저주의검</t>
        </is>
      </c>
      <c r="B12" s="8" t="n">
        <v>3</v>
      </c>
      <c r="C12" s="8" t="inlineStr">
        <is>
          <t>120,000G</t>
        </is>
      </c>
      <c r="D12" s="8" t="inlineStr">
        <is>
          <t>10일</t>
        </is>
      </c>
      <c r="E12" s="8" t="inlineStr">
        <is>
          <t>전쟁군주 (비밀)</t>
        </is>
      </c>
      <c r="F12" s="8" t="n">
        <v>22000</v>
      </c>
      <c r="G12" s="8" t="inlineStr">
        <is>
          <t>★★★★★ 비밀합성 1, PvP 최강</t>
        </is>
      </c>
    </row>
    <row r="13">
      <c r="A13" s="9" t="inlineStr">
        <is>
          <t>서리여왕 + 대마법사 + 정령석 ×4</t>
        </is>
      </c>
      <c r="B13" s="9" t="n">
        <v>3</v>
      </c>
      <c r="C13" s="9" t="inlineStr">
        <is>
          <t>180,000G</t>
        </is>
      </c>
      <c r="D13" s="9" t="inlineStr">
        <is>
          <t>12일</t>
        </is>
      </c>
      <c r="E13" s="9" t="inlineStr">
        <is>
          <t>원소의왕 (비밀)</t>
        </is>
      </c>
      <c r="F13" s="9" t="n">
        <v>28000</v>
      </c>
      <c r="G13" s="9" t="inlineStr">
        <is>
          <t>★★★★☆ 비밀합성 2, 범위딜 극대화</t>
        </is>
      </c>
    </row>
    <row r="14">
      <c r="A14" s="8" t="inlineStr">
        <is>
          <t>바하무트 + 전쟁군주 + 원소의왕 + 세계수의잎</t>
        </is>
      </c>
      <c r="B14" s="8" t="n">
        <v>1</v>
      </c>
      <c r="C14" s="8" t="inlineStr">
        <is>
          <t>1,000,000G</t>
        </is>
      </c>
      <c r="D14" s="8" t="inlineStr">
        <is>
          <t>1일(재료 합산 53일)</t>
        </is>
      </c>
      <c r="E14" s="8" t="inlineStr">
        <is>
          <t>태초의존재 (비밀)</t>
        </is>
      </c>
      <c r="F14" s="8" t="n">
        <v>99999</v>
      </c>
      <c r="G14" s="8" t="inlineStr">
        <is>
          <t>★★★★★ 비밀합성 3, 전설급 최종 유닛</t>
        </is>
      </c>
    </row>
    <row r="15">
      <c r="A15" s="9" t="inlineStr">
        <is>
          <t>사제 ×5 + 성수</t>
        </is>
      </c>
      <c r="B15" s="9" t="n">
        <v>2</v>
      </c>
      <c r="C15" s="9" t="inlineStr">
        <is>
          <t>40,000G</t>
        </is>
      </c>
      <c r="D15" s="9" t="inlineStr">
        <is>
          <t>5일</t>
        </is>
      </c>
      <c r="E15" s="9" t="inlineStr">
        <is>
          <t>대사제</t>
        </is>
      </c>
      <c r="F15" s="9" t="n">
        <v>5500</v>
      </c>
      <c r="G15" s="9" t="inlineStr">
        <is>
          <t>★★★★☆ 힐러 최종, 공성전 필수</t>
        </is>
      </c>
    </row>
  </sheetData>
  <mergeCells count="1">
    <mergeCell ref="A1:G1"/>
  </mergeCell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8" customWidth="1" min="1" max="1"/>
    <col width="22" customWidth="1" min="2" max="2"/>
    <col width="34" customWidth="1" min="3" max="3"/>
    <col width="30" customWidth="1" min="4" max="4"/>
    <col width="36" customWidth="1" min="5" max="5"/>
    <col width="30" customWidth="1" min="6" max="6"/>
    <col width="28" customWidth="1" min="7" max="7"/>
    <col width="12" customWidth="1" min="8" max="8"/>
  </cols>
  <sheetData>
    <row r="1">
      <c r="A1" s="6" t="inlineStr">
        <is>
          <t>진영별 전략 &amp; 메타 분석 — 시즌 1 기준</t>
        </is>
      </c>
    </row>
    <row r="3">
      <c r="A3" s="7" t="inlineStr">
        <is>
          <t>진영</t>
        </is>
      </c>
      <c r="B3" s="7" t="inlineStr">
        <is>
          <t>고유 버프</t>
        </is>
      </c>
      <c r="C3" s="7" t="inlineStr">
        <is>
          <t>추천 용병 TOP5</t>
        </is>
      </c>
      <c r="D3" s="7" t="inlineStr">
        <is>
          <t>추천 무역 루트</t>
        </is>
      </c>
      <c r="E3" s="7" t="inlineStr">
        <is>
          <t>추천 공성 전략</t>
        </is>
      </c>
      <c r="F3" s="7" t="inlineStr">
        <is>
          <t>약점</t>
        </is>
      </c>
      <c r="G3" s="7" t="inlineStr">
        <is>
          <t>카운터 진영</t>
        </is>
      </c>
      <c r="H3" s="7" t="inlineStr">
        <is>
          <t>메타 등급</t>
        </is>
      </c>
    </row>
    <row r="4">
      <c r="A4" s="8" t="inlineStr">
        <is>
          <t>왕국 기사단 🦁</t>
        </is>
      </c>
      <c r="B4" s="8" t="inlineStr">
        <is>
          <t>DEF+10% (전 용병)</t>
        </is>
      </c>
      <c r="C4" s="8" t="inlineStr">
        <is>
          <t>성기사, 드래곤나이트, 대사제, 기사단장, 수호천사</t>
        </is>
      </c>
      <c r="D4" s="8" t="inlineStr">
        <is>
          <t>왕도→항구도시 (방어구 수출, 마진 40%)</t>
        </is>
      </c>
      <c r="E4" s="8" t="inlineStr">
        <is>
          <t>철벽 방어진 — 탱커 전진+힐러 후방, 성벽 업그레이드 우선</t>
        </is>
      </c>
      <c r="F4" s="8" t="inlineStr">
        <is>
          <t>기동력 부족, 속공에 취약, 마법 관통 피해</t>
        </is>
      </c>
      <c r="G4" s="8" t="inlineStr">
        <is>
          <t>드래곤 로드 (화염이 방어 무시)</t>
        </is>
      </c>
      <c r="H4" s="8" t="inlineStr">
        <is>
          <t>A</t>
        </is>
      </c>
    </row>
    <row r="5">
      <c r="A5" s="9" t="inlineStr">
        <is>
          <t>드래곤 로드 🐲</t>
        </is>
      </c>
      <c r="B5" s="9" t="inlineStr">
        <is>
          <t>ATK+10% (전 용병)</t>
        </is>
      </c>
      <c r="C5" s="9" t="inlineStr">
        <is>
          <t>드래곤로드, 바하무트, 와이번라이더, 화염마법사, 드래곤나이트</t>
        </is>
      </c>
      <c r="D5" s="9" t="inlineStr">
        <is>
          <t>용의 둥지→제련소 (용인 광석, 마진 55%)</t>
        </is>
      </c>
      <c r="E5" s="9" t="inlineStr">
        <is>
          <t>속공 돌파 — 비행 유닛 기습+화염 범위딜로 성벽 무력화</t>
        </is>
      </c>
      <c r="F5" s="9" t="inlineStr">
        <is>
          <t>자원 소모 극심, 장기전 불리, 힐 부족</t>
        </is>
      </c>
      <c r="G5" s="9" t="inlineStr">
        <is>
          <t>자연의 수호자 (힐+디버프로 소모전)</t>
        </is>
      </c>
      <c r="H5" s="9" t="inlineStr">
        <is>
          <t>S</t>
        </is>
      </c>
    </row>
    <row r="6">
      <c r="A6" s="8" t="inlineStr">
        <is>
          <t>암흑 결사 🌙</t>
        </is>
      </c>
      <c r="B6" s="8" t="inlineStr">
        <is>
          <t>크리티컬+15% (전 용병)</t>
        </is>
      </c>
      <c r="C6" s="8" t="inlineStr">
        <is>
          <t>전쟁군주, 암살자, 흑마법사, 저주술사, 사신</t>
        </is>
      </c>
      <c r="D6" s="8" t="inlineStr">
        <is>
          <t>암시장→항구 (밀수품, 마진 70% 고위험)</t>
        </is>
      </c>
      <c r="E6" s="8" t="inlineStr">
        <is>
          <t>잠입 암살 — 은신 유닛으로 지휘관 타겟, 저주로 사기 저하</t>
        </is>
      </c>
      <c r="F6" s="8" t="inlineStr">
        <is>
          <t>정면 전투력 약함, 탐지 스킬에 무력화</t>
        </is>
      </c>
      <c r="G6" s="8" t="inlineStr">
        <is>
          <t>왕국 기사단 (탐지+높은 방어로 암살 차단)</t>
        </is>
      </c>
      <c r="H6" s="8" t="inlineStr">
        <is>
          <t>S</t>
        </is>
      </c>
    </row>
    <row r="7">
      <c r="A7" s="9" t="inlineStr">
        <is>
          <t>자연의 수호자 🌿</t>
        </is>
      </c>
      <c r="B7" s="9" t="inlineStr">
        <is>
          <t>힐+20% (전 용병)</t>
        </is>
      </c>
      <c r="C7" s="9" t="inlineStr">
        <is>
          <t>대사제, 드루이드, 정령왕, 유니콘기사, 세계수의수호자</t>
        </is>
      </c>
      <c r="D7" s="9" t="inlineStr">
        <is>
          <t>숲마을→초원도시 (약초·정령석, 마진 35%)</t>
        </is>
      </c>
      <c r="E7" s="9" t="inlineStr">
        <is>
          <t>소모전 지구전 — 힐+소환수 벽, 자연함정(덩굴·독안개)으로 진입 차단</t>
        </is>
      </c>
      <c r="F7" s="9" t="inlineStr">
        <is>
          <t>화력 부족, 속공 밀림, 화염에 약함</t>
        </is>
      </c>
      <c r="G7" s="9" t="inlineStr">
        <is>
          <t>상인 연합 (경제력으로 장기전 압도)</t>
        </is>
      </c>
      <c r="H7" s="9" t="inlineStr">
        <is>
          <t>B</t>
        </is>
      </c>
    </row>
    <row r="8">
      <c r="A8" s="8" t="inlineStr">
        <is>
          <t>상인 연합 💰</t>
        </is>
      </c>
      <c r="B8" s="8" t="inlineStr">
        <is>
          <t>무역 수익+15%, 고용비-10%</t>
        </is>
      </c>
      <c r="C8" s="8" t="inlineStr">
        <is>
          <t>용병대장, 교역상, 포병대, 기갑기사, 황금골렘</t>
        </is>
      </c>
      <c r="D8" s="8" t="inlineStr">
        <is>
          <t>전 루트 활용 (독점 시세조작, 마진 50~80%)</t>
        </is>
      </c>
      <c r="E8" s="8" t="inlineStr">
        <is>
          <t>용병 물량전 — 골드로 용병 대량 고용, 포병으로 성벽 파괴</t>
        </is>
      </c>
      <c r="F8" s="8" t="inlineStr">
        <is>
          <t>핵심 용병 부재, 고유 전투력 낮음, 경제 봉쇄 시 와해</t>
        </is>
      </c>
      <c r="G8" s="8" t="inlineStr">
        <is>
          <t>암흑 결사 (밀수 방해+암살로 경제 마비)</t>
        </is>
      </c>
      <c r="H8" s="8" t="inlineStr">
        <is>
          <t>A</t>
        </is>
      </c>
    </row>
  </sheetData>
  <mergeCells count="1">
    <mergeCell ref="A1:H1"/>
  </mergeCell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6" customWidth="1" min="1" max="1"/>
    <col width="6" customWidth="1" min="2" max="2"/>
    <col width="26" customWidth="1" min="3" max="3"/>
    <col width="26" customWidth="1" min="4" max="4"/>
    <col width="26" customWidth="1" min="5" max="5"/>
    <col width="36" customWidth="1" min="6" max="6"/>
    <col width="18" customWidth="1" min="7" max="7"/>
  </cols>
  <sheetData>
    <row r="1">
      <c r="A1" s="6" t="inlineStr">
        <is>
          <t>서버 이벤트 달력 — 1개월(30일) 상세 스케줄</t>
        </is>
      </c>
    </row>
    <row r="3">
      <c r="A3" s="7" t="inlineStr">
        <is>
          <t>일</t>
        </is>
      </c>
      <c r="B3" s="7" t="inlineStr">
        <is>
          <t>요일</t>
        </is>
      </c>
      <c r="C3" s="7" t="inlineStr">
        <is>
          <t>오전 이벤트</t>
        </is>
      </c>
      <c r="D3" s="7" t="inlineStr">
        <is>
          <t>오후 이벤트</t>
        </is>
      </c>
      <c r="E3" s="7" t="inlineStr">
        <is>
          <t>저녁 이벤트</t>
        </is>
      </c>
      <c r="F3" s="7" t="inlineStr">
        <is>
          <t>특별 이벤트</t>
        </is>
      </c>
      <c r="G3" s="7" t="inlineStr">
        <is>
          <t>보상 총합</t>
        </is>
      </c>
    </row>
    <row r="4">
      <c r="A4" s="8" t="n">
        <v>1</v>
      </c>
      <c r="B4" s="8" t="inlineStr">
        <is>
          <t>월</t>
        </is>
      </c>
      <c r="C4" s="8" t="inlineStr">
        <is>
          <t>골드 러시 (채굴 2배)</t>
        </is>
      </c>
      <c r="D4" s="8" t="inlineStr">
        <is>
          <t>심연의 탑 도전</t>
        </is>
      </c>
      <c r="E4" s="8" t="inlineStr">
        <is>
          <t>월드 보스 (서버 협동)</t>
        </is>
      </c>
      <c r="F4" s="8" t="inlineStr">
        <is>
          <t>🎉 시즌 개막 이벤트 (로그인 보상 3배)</t>
        </is>
      </c>
      <c r="G4" s="8" t="inlineStr">
        <is>
          <t>6,100G + 60💎</t>
        </is>
      </c>
    </row>
    <row r="5">
      <c r="A5" s="9" t="n">
        <v>2</v>
      </c>
      <c r="B5" s="9" t="inlineStr">
        <is>
          <t>화</t>
        </is>
      </c>
      <c r="C5" s="9" t="inlineStr">
        <is>
          <t>무역 보너스 (수익 +30%)</t>
        </is>
      </c>
      <c r="D5" s="9" t="inlineStr">
        <is>
          <t>무역 카라반 호위전</t>
        </is>
      </c>
      <c r="E5" s="9" t="inlineStr">
        <is>
          <t>비밀 던전 개방</t>
        </is>
      </c>
      <c r="F5" s="9" t="inlineStr">
        <is>
          <t>🎉 시즌 개막 이벤트 (로그인 보상 3배)</t>
        </is>
      </c>
      <c r="G5" s="9" t="inlineStr">
        <is>
          <t>6,200G + 60💎</t>
        </is>
      </c>
    </row>
    <row r="6">
      <c r="A6" s="8" t="n">
        <v>3</v>
      </c>
      <c r="B6" s="8" t="inlineStr">
        <is>
          <t>수</t>
        </is>
      </c>
      <c r="C6" s="8" t="inlineStr">
        <is>
          <t>경험치 폭풍 (EXP 2배)</t>
        </is>
      </c>
      <c r="D6" s="8" t="inlineStr">
        <is>
          <t>PvP 토너먼트 예선</t>
        </is>
      </c>
      <c r="E6" s="8" t="inlineStr">
        <is>
          <t>혈맹 대전 리그</t>
        </is>
      </c>
      <c r="F6" s="8" t="inlineStr">
        <is>
          <t>🎉 시즌 개막 이벤트 (로그인 보상 3배)</t>
        </is>
      </c>
      <c r="G6" s="8" t="inlineStr">
        <is>
          <t>6,300G + 60💎</t>
        </is>
      </c>
    </row>
    <row r="7">
      <c r="A7" s="9" t="n">
        <v>4</v>
      </c>
      <c r="B7" s="9" t="inlineStr">
        <is>
          <t>목</t>
        </is>
      </c>
      <c r="C7" s="9" t="inlineStr">
        <is>
          <t>포획 확률 UP (+15%)</t>
        </is>
      </c>
      <c r="D7" s="9" t="inlineStr">
        <is>
          <t>몬스터 웨이브 방어전</t>
        </is>
      </c>
      <c r="E7" s="9" t="inlineStr">
        <is>
          <t>야간 무역 (밀수 루트)</t>
        </is>
      </c>
      <c r="F7" s="9" t="inlineStr">
        <is>
          <t>-</t>
        </is>
      </c>
      <c r="G7" s="9" t="inlineStr">
        <is>
          <t>3,400G + 30💎</t>
        </is>
      </c>
    </row>
    <row r="8">
      <c r="A8" s="8" t="n">
        <v>5</v>
      </c>
      <c r="B8" s="8" t="inlineStr">
        <is>
          <t>금</t>
        </is>
      </c>
      <c r="C8" s="8" t="inlineStr">
        <is>
          <t>합성 할인 (-20% 골드)</t>
        </is>
      </c>
      <c r="D8" s="8" t="inlineStr">
        <is>
          <t>보스 러시 (연속 5체)</t>
        </is>
      </c>
      <c r="E8" s="8" t="inlineStr">
        <is>
          <t>별빛 낚시 (희귀 물고기)</t>
        </is>
      </c>
      <c r="F8" s="8" t="inlineStr">
        <is>
          <t>🌙 금요일 야간 특별전 (22:00~02:00)</t>
        </is>
      </c>
      <c r="G8" s="8" t="inlineStr">
        <is>
          <t>5,500G + 50💎</t>
        </is>
      </c>
    </row>
    <row r="9">
      <c r="A9" s="9" t="n">
        <v>6</v>
      </c>
      <c r="B9" s="9" t="inlineStr">
        <is>
          <t>토</t>
        </is>
      </c>
      <c r="C9" s="9" t="inlineStr">
        <is>
          <t>무료 가챠 1회</t>
        </is>
      </c>
      <c r="D9" s="9" t="inlineStr">
        <is>
          <t>차원의 균열 개방</t>
        </is>
      </c>
      <c r="E9" s="9" t="inlineStr">
        <is>
          <t>몬스터 야행성 포획</t>
        </is>
      </c>
      <c r="F9" s="9" t="inlineStr">
        <is>
          <t>🏆 포획대회 + 보스러시 (종일)</t>
        </is>
      </c>
      <c r="G9" s="9" t="inlineStr">
        <is>
          <t>8,600G + 80💎</t>
        </is>
      </c>
    </row>
    <row r="10">
      <c r="A10" s="8" t="n">
        <v>7</v>
      </c>
      <c r="B10" s="8" t="inlineStr">
        <is>
          <t>일</t>
        </is>
      </c>
      <c r="C10" s="8" t="inlineStr">
        <is>
          <t>연구 가속 (시간 -30%)</t>
        </is>
      </c>
      <c r="D10" s="8" t="inlineStr">
        <is>
          <t>혈맹 미션 (오후부)</t>
        </is>
      </c>
      <c r="E10" s="8" t="inlineStr">
        <is>
          <t>심야 경매장 할인</t>
        </is>
      </c>
      <c r="F10" s="8" t="inlineStr">
        <is>
          <t>⚔️ 혈맹 공성전 (15:00~21:00)</t>
        </is>
      </c>
      <c r="G10" s="8" t="inlineStr">
        <is>
          <t>11,700G + 110💎</t>
        </is>
      </c>
    </row>
    <row r="11">
      <c r="A11" s="9" t="n">
        <v>8</v>
      </c>
      <c r="B11" s="9" t="inlineStr">
        <is>
          <t>월</t>
        </is>
      </c>
      <c r="C11" s="9" t="inlineStr">
        <is>
          <t>용병 훈련소 개방</t>
        </is>
      </c>
      <c r="D11" s="9" t="inlineStr">
        <is>
          <t>아레나 시즌전</t>
        </is>
      </c>
      <c r="E11" s="9" t="inlineStr">
        <is>
          <t>스토리 퀘스트 개방</t>
        </is>
      </c>
      <c r="F11" s="9" t="inlineStr">
        <is>
          <t>-</t>
        </is>
      </c>
      <c r="G11" s="9" t="inlineStr">
        <is>
          <t>3,800G + 30💎</t>
        </is>
      </c>
    </row>
    <row r="12">
      <c r="A12" s="8" t="n">
        <v>9</v>
      </c>
      <c r="B12" s="8" t="inlineStr">
        <is>
          <t>화</t>
        </is>
      </c>
      <c r="C12" s="8" t="inlineStr">
        <is>
          <t>정원 수확 2배</t>
        </is>
      </c>
      <c r="D12" s="8" t="inlineStr">
        <is>
          <t>IO 랭크 매치 2배 점수</t>
        </is>
      </c>
      <c r="E12" s="8" t="inlineStr">
        <is>
          <t>공성전 연습</t>
        </is>
      </c>
      <c r="F12" s="8" t="inlineStr">
        <is>
          <t>-</t>
        </is>
      </c>
      <c r="G12" s="8" t="inlineStr">
        <is>
          <t>3,900G + 30💎</t>
        </is>
      </c>
    </row>
    <row r="13">
      <c r="A13" s="9" t="n">
        <v>10</v>
      </c>
      <c r="B13" s="9" t="inlineStr">
        <is>
          <t>수</t>
        </is>
      </c>
      <c r="C13" s="9" t="inlineStr">
        <is>
          <t>낚시 대회 (오전부)</t>
        </is>
      </c>
      <c r="D13" s="9" t="inlineStr">
        <is>
          <t>레이드 보스 출현</t>
        </is>
      </c>
      <c r="E13" s="9" t="inlineStr">
        <is>
          <t>야간 PvP (PK 페널티 감소)</t>
        </is>
      </c>
      <c r="F13" s="9" t="inlineStr">
        <is>
          <t>🎁 10일 연속 출석 보상 (전설 가챠 1회)</t>
        </is>
      </c>
      <c r="G13" s="9" t="inlineStr">
        <is>
          <t>4,000G + 130💎</t>
        </is>
      </c>
    </row>
    <row r="14">
      <c r="A14" s="8" t="n">
        <v>11</v>
      </c>
      <c r="B14" s="8" t="inlineStr">
        <is>
          <t>목</t>
        </is>
      </c>
      <c r="C14" s="8" t="inlineStr">
        <is>
          <t>골드 러시 (채굴 2배)</t>
        </is>
      </c>
      <c r="D14" s="8" t="inlineStr">
        <is>
          <t>심연의 탑 도전</t>
        </is>
      </c>
      <c r="E14" s="8" t="inlineStr">
        <is>
          <t>월드 보스 (서버 협동)</t>
        </is>
      </c>
      <c r="F14" s="8" t="inlineStr">
        <is>
          <t>-</t>
        </is>
      </c>
      <c r="G14" s="8" t="inlineStr">
        <is>
          <t>4,100G + 30💎</t>
        </is>
      </c>
    </row>
    <row r="15">
      <c r="A15" s="9" t="n">
        <v>12</v>
      </c>
      <c r="B15" s="9" t="inlineStr">
        <is>
          <t>금</t>
        </is>
      </c>
      <c r="C15" s="9" t="inlineStr">
        <is>
          <t>무역 보너스 (수익 +30%)</t>
        </is>
      </c>
      <c r="D15" s="9" t="inlineStr">
        <is>
          <t>무역 카라반 호위전</t>
        </is>
      </c>
      <c r="E15" s="9" t="inlineStr">
        <is>
          <t>비밀 던전 개방</t>
        </is>
      </c>
      <c r="F15" s="9" t="inlineStr">
        <is>
          <t>🌙 금요일 야간 특별전 (22:00~02:00)</t>
        </is>
      </c>
      <c r="G15" s="9" t="inlineStr">
        <is>
          <t>6,200G + 50💎</t>
        </is>
      </c>
    </row>
    <row r="16">
      <c r="A16" s="8" t="n">
        <v>13</v>
      </c>
      <c r="B16" s="8" t="inlineStr">
        <is>
          <t>토</t>
        </is>
      </c>
      <c r="C16" s="8" t="inlineStr">
        <is>
          <t>경험치 폭풍 (EXP 2배)</t>
        </is>
      </c>
      <c r="D16" s="8" t="inlineStr">
        <is>
          <t>PvP 토너먼트 예선</t>
        </is>
      </c>
      <c r="E16" s="8" t="inlineStr">
        <is>
          <t>혈맹 대전 리그</t>
        </is>
      </c>
      <c r="F16" s="8" t="inlineStr">
        <is>
          <t>🏆 포획대회 + 보스러시 (종일)</t>
        </is>
      </c>
      <c r="G16" s="8" t="inlineStr">
        <is>
          <t>9,300G + 80💎</t>
        </is>
      </c>
    </row>
    <row r="17">
      <c r="A17" s="9" t="n">
        <v>14</v>
      </c>
      <c r="B17" s="9" t="inlineStr">
        <is>
          <t>일</t>
        </is>
      </c>
      <c r="C17" s="9" t="inlineStr">
        <is>
          <t>포획 확률 UP (+15%)</t>
        </is>
      </c>
      <c r="D17" s="9" t="inlineStr">
        <is>
          <t>몬스터 웨이브 방어전</t>
        </is>
      </c>
      <c r="E17" s="9" t="inlineStr">
        <is>
          <t>야간 무역 (밀수 루트)</t>
        </is>
      </c>
      <c r="F17" s="9" t="inlineStr">
        <is>
          <t>⚔️ 혈맹 공성전 (15:00~21:00)</t>
        </is>
      </c>
      <c r="G17" s="9" t="inlineStr">
        <is>
          <t>12,400G + 110💎</t>
        </is>
      </c>
    </row>
    <row r="18">
      <c r="A18" s="8" t="n">
        <v>15</v>
      </c>
      <c r="B18" s="8" t="inlineStr">
        <is>
          <t>월</t>
        </is>
      </c>
      <c r="C18" s="8" t="inlineStr">
        <is>
          <t>합성 할인 (-20% 골드)</t>
        </is>
      </c>
      <c r="D18" s="8" t="inlineStr">
        <is>
          <t>보스 러시 (연속 5체)</t>
        </is>
      </c>
      <c r="E18" s="8" t="inlineStr">
        <is>
          <t>별빛 낚시 (희귀 물고기)</t>
        </is>
      </c>
      <c r="F18" s="8" t="inlineStr">
        <is>
          <t>🔥 중간 결산 이벤트 (랭킹 보상 2배)</t>
        </is>
      </c>
      <c r="G18" s="8" t="inlineStr">
        <is>
          <t>8,500G + 70💎</t>
        </is>
      </c>
    </row>
    <row r="19">
      <c r="A19" s="9" t="n">
        <v>16</v>
      </c>
      <c r="B19" s="9" t="inlineStr">
        <is>
          <t>화</t>
        </is>
      </c>
      <c r="C19" s="9" t="inlineStr">
        <is>
          <t>무료 가챠 1회</t>
        </is>
      </c>
      <c r="D19" s="9" t="inlineStr">
        <is>
          <t>차원의 균열 개방</t>
        </is>
      </c>
      <c r="E19" s="9" t="inlineStr">
        <is>
          <t>몬스터 야행성 포획</t>
        </is>
      </c>
      <c r="F19" s="9" t="inlineStr">
        <is>
          <t>🔥 중간 결산 이벤트 (랭킹 보상 2배)</t>
        </is>
      </c>
      <c r="G19" s="9" t="inlineStr">
        <is>
          <t>8,600G + 70💎</t>
        </is>
      </c>
    </row>
    <row r="20">
      <c r="A20" s="8" t="n">
        <v>17</v>
      </c>
      <c r="B20" s="8" t="inlineStr">
        <is>
          <t>수</t>
        </is>
      </c>
      <c r="C20" s="8" t="inlineStr">
        <is>
          <t>연구 가속 (시간 -30%)</t>
        </is>
      </c>
      <c r="D20" s="8" t="inlineStr">
        <is>
          <t>혈맹 미션 (오후부)</t>
        </is>
      </c>
      <c r="E20" s="8" t="inlineStr">
        <is>
          <t>심야 경매장 할인</t>
        </is>
      </c>
      <c r="F20" s="8" t="inlineStr">
        <is>
          <t>-</t>
        </is>
      </c>
      <c r="G20" s="8" t="inlineStr">
        <is>
          <t>4,700G + 30💎</t>
        </is>
      </c>
    </row>
    <row r="21">
      <c r="A21" s="9" t="n">
        <v>18</v>
      </c>
      <c r="B21" s="9" t="inlineStr">
        <is>
          <t>목</t>
        </is>
      </c>
      <c r="C21" s="9" t="inlineStr">
        <is>
          <t>용병 훈련소 개방</t>
        </is>
      </c>
      <c r="D21" s="9" t="inlineStr">
        <is>
          <t>아레나 시즌전</t>
        </is>
      </c>
      <c r="E21" s="9" t="inlineStr">
        <is>
          <t>스토리 퀘스트 개방</t>
        </is>
      </c>
      <c r="F21" s="9" t="inlineStr">
        <is>
          <t>-</t>
        </is>
      </c>
      <c r="G21" s="9" t="inlineStr">
        <is>
          <t>4,800G + 30💎</t>
        </is>
      </c>
    </row>
    <row r="22">
      <c r="A22" s="8" t="n">
        <v>19</v>
      </c>
      <c r="B22" s="8" t="inlineStr">
        <is>
          <t>금</t>
        </is>
      </c>
      <c r="C22" s="8" t="inlineStr">
        <is>
          <t>정원 수확 2배</t>
        </is>
      </c>
      <c r="D22" s="8" t="inlineStr">
        <is>
          <t>IO 랭크 매치 2배 점수</t>
        </is>
      </c>
      <c r="E22" s="8" t="inlineStr">
        <is>
          <t>공성전 연습</t>
        </is>
      </c>
      <c r="F22" s="8" t="inlineStr">
        <is>
          <t>🌙 금요일 야간 특별전 (22:00~02:00)</t>
        </is>
      </c>
      <c r="G22" s="8" t="inlineStr">
        <is>
          <t>6,900G + 50💎</t>
        </is>
      </c>
    </row>
    <row r="23">
      <c r="A23" s="9" t="n">
        <v>20</v>
      </c>
      <c r="B23" s="9" t="inlineStr">
        <is>
          <t>토</t>
        </is>
      </c>
      <c r="C23" s="9" t="inlineStr">
        <is>
          <t>낚시 대회 (오전부)</t>
        </is>
      </c>
      <c r="D23" s="9" t="inlineStr">
        <is>
          <t>레이드 보스 출현</t>
        </is>
      </c>
      <c r="E23" s="9" t="inlineStr">
        <is>
          <t>야간 PvP (PK 페널티 감소)</t>
        </is>
      </c>
      <c r="F23" s="9" t="inlineStr">
        <is>
          <t>🏆 포획대회 + 보스러시 (종일)</t>
        </is>
      </c>
      <c r="G23" s="9" t="inlineStr">
        <is>
          <t>10,000G + 80💎</t>
        </is>
      </c>
    </row>
    <row r="24">
      <c r="A24" s="8" t="n">
        <v>21</v>
      </c>
      <c r="B24" s="8" t="inlineStr">
        <is>
          <t>일</t>
        </is>
      </c>
      <c r="C24" s="8" t="inlineStr">
        <is>
          <t>골드 러시 (채굴 2배)</t>
        </is>
      </c>
      <c r="D24" s="8" t="inlineStr">
        <is>
          <t>심연의 탑 도전</t>
        </is>
      </c>
      <c r="E24" s="8" t="inlineStr">
        <is>
          <t>월드 보스 (서버 협동)</t>
        </is>
      </c>
      <c r="F24" s="8" t="inlineStr">
        <is>
          <t>⚔️ 혈맹 공성전 (15:00~21:00)</t>
        </is>
      </c>
      <c r="G24" s="8" t="inlineStr">
        <is>
          <t>13,100G + 110💎</t>
        </is>
      </c>
    </row>
    <row r="25">
      <c r="A25" s="9" t="n">
        <v>22</v>
      </c>
      <c r="B25" s="9" t="inlineStr">
        <is>
          <t>월</t>
        </is>
      </c>
      <c r="C25" s="9" t="inlineStr">
        <is>
          <t>무역 보너스 (수익 +30%)</t>
        </is>
      </c>
      <c r="D25" s="9" t="inlineStr">
        <is>
          <t>무역 카라반 호위전</t>
        </is>
      </c>
      <c r="E25" s="9" t="inlineStr">
        <is>
          <t>비밀 던전 개방</t>
        </is>
      </c>
      <c r="F25" s="9" t="inlineStr">
        <is>
          <t>-</t>
        </is>
      </c>
      <c r="G25" s="9" t="inlineStr">
        <is>
          <t>5,200G + 30💎</t>
        </is>
      </c>
    </row>
    <row r="26">
      <c r="A26" s="8" t="n">
        <v>23</v>
      </c>
      <c r="B26" s="8" t="inlineStr">
        <is>
          <t>화</t>
        </is>
      </c>
      <c r="C26" s="8" t="inlineStr">
        <is>
          <t>경험치 폭풍 (EXP 2배)</t>
        </is>
      </c>
      <c r="D26" s="8" t="inlineStr">
        <is>
          <t>PvP 토너먼트 예선</t>
        </is>
      </c>
      <c r="E26" s="8" t="inlineStr">
        <is>
          <t>혈맹 대전 리그</t>
        </is>
      </c>
      <c r="F26" s="8" t="inlineStr">
        <is>
          <t>-</t>
        </is>
      </c>
      <c r="G26" s="8" t="inlineStr">
        <is>
          <t>5,300G + 30💎</t>
        </is>
      </c>
    </row>
    <row r="27">
      <c r="A27" s="9" t="n">
        <v>24</v>
      </c>
      <c r="B27" s="9" t="inlineStr">
        <is>
          <t>수</t>
        </is>
      </c>
      <c r="C27" s="9" t="inlineStr">
        <is>
          <t>포획 확률 UP (+15%)</t>
        </is>
      </c>
      <c r="D27" s="9" t="inlineStr">
        <is>
          <t>몬스터 웨이브 방어전</t>
        </is>
      </c>
      <c r="E27" s="9" t="inlineStr">
        <is>
          <t>야간 무역 (밀수 루트)</t>
        </is>
      </c>
      <c r="F27" s="9" t="inlineStr">
        <is>
          <t>-</t>
        </is>
      </c>
      <c r="G27" s="9" t="inlineStr">
        <is>
          <t>5,400G + 30💎</t>
        </is>
      </c>
    </row>
    <row r="28">
      <c r="A28" s="8" t="n">
        <v>25</v>
      </c>
      <c r="B28" s="8" t="inlineStr">
        <is>
          <t>목</t>
        </is>
      </c>
      <c r="C28" s="8" t="inlineStr">
        <is>
          <t>합성 할인 (-20% 골드)</t>
        </is>
      </c>
      <c r="D28" s="8" t="inlineStr">
        <is>
          <t>보스 러시 (연속 5체)</t>
        </is>
      </c>
      <c r="E28" s="8" t="inlineStr">
        <is>
          <t>별빛 낚시 (희귀 물고기)</t>
        </is>
      </c>
      <c r="F28" s="8" t="inlineStr">
        <is>
          <t>-</t>
        </is>
      </c>
      <c r="G28" s="8" t="inlineStr">
        <is>
          <t>5,500G + 30💎</t>
        </is>
      </c>
    </row>
    <row r="29">
      <c r="A29" s="9" t="n">
        <v>26</v>
      </c>
      <c r="B29" s="9" t="inlineStr">
        <is>
          <t>금</t>
        </is>
      </c>
      <c r="C29" s="9" t="inlineStr">
        <is>
          <t>무료 가챠 1회</t>
        </is>
      </c>
      <c r="D29" s="9" t="inlineStr">
        <is>
          <t>차원의 균열 개방</t>
        </is>
      </c>
      <c r="E29" s="9" t="inlineStr">
        <is>
          <t>몬스터 야행성 포획</t>
        </is>
      </c>
      <c r="F29" s="9" t="inlineStr">
        <is>
          <t>🌙 금요일 야간 특별전 (22:00~02:00)</t>
        </is>
      </c>
      <c r="G29" s="9" t="inlineStr">
        <is>
          <t>7,600G + 50💎</t>
        </is>
      </c>
    </row>
    <row r="30">
      <c r="A30" s="8" t="n">
        <v>27</v>
      </c>
      <c r="B30" s="8" t="inlineStr">
        <is>
          <t>토</t>
        </is>
      </c>
      <c r="C30" s="8" t="inlineStr">
        <is>
          <t>연구 가속 (시간 -30%)</t>
        </is>
      </c>
      <c r="D30" s="8" t="inlineStr">
        <is>
          <t>혈맹 미션 (오후부)</t>
        </is>
      </c>
      <c r="E30" s="8" t="inlineStr">
        <is>
          <t>심야 경매장 할인</t>
        </is>
      </c>
      <c r="F30" s="8" t="inlineStr">
        <is>
          <t>🏆 포획대회 + 보스러시 (종일)</t>
        </is>
      </c>
      <c r="G30" s="8" t="inlineStr">
        <is>
          <t>10,700G + 80💎</t>
        </is>
      </c>
    </row>
    <row r="31">
      <c r="A31" s="9" t="n">
        <v>28</v>
      </c>
      <c r="B31" s="9" t="inlineStr">
        <is>
          <t>일</t>
        </is>
      </c>
      <c r="C31" s="9" t="inlineStr">
        <is>
          <t>용병 훈련소 개방</t>
        </is>
      </c>
      <c r="D31" s="9" t="inlineStr">
        <is>
          <t>아레나 시즌전</t>
        </is>
      </c>
      <c r="E31" s="9" t="inlineStr">
        <is>
          <t>스토리 퀘스트 개방</t>
        </is>
      </c>
      <c r="F31" s="9" t="inlineStr">
        <is>
          <t>⚔️ 혈맹 공성전 (15:00~21:00)</t>
        </is>
      </c>
      <c r="G31" s="9" t="inlineStr">
        <is>
          <t>13,800G + 110💎</t>
        </is>
      </c>
    </row>
    <row r="32">
      <c r="A32" s="8" t="n">
        <v>29</v>
      </c>
      <c r="B32" s="8" t="inlineStr">
        <is>
          <t>월</t>
        </is>
      </c>
      <c r="C32" s="8" t="inlineStr">
        <is>
          <t>정원 수확 2배</t>
        </is>
      </c>
      <c r="D32" s="8" t="inlineStr">
        <is>
          <t>IO 랭크 매치 2배 점수</t>
        </is>
      </c>
      <c r="E32" s="8" t="inlineStr">
        <is>
          <t>공성전 연습</t>
        </is>
      </c>
      <c r="F32" s="8" t="inlineStr">
        <is>
          <t>🏁 시즌 마감 이벤트 (최종 랭킹 보상)</t>
        </is>
      </c>
      <c r="G32" s="8" t="inlineStr">
        <is>
          <t>11,900G + 90💎</t>
        </is>
      </c>
    </row>
    <row r="33">
      <c r="A33" s="9" t="n">
        <v>30</v>
      </c>
      <c r="B33" s="9" t="inlineStr">
        <is>
          <t>화</t>
        </is>
      </c>
      <c r="C33" s="9" t="inlineStr">
        <is>
          <t>낚시 대회 (오전부)</t>
        </is>
      </c>
      <c r="D33" s="9" t="inlineStr">
        <is>
          <t>레이드 보스 출현</t>
        </is>
      </c>
      <c r="E33" s="9" t="inlineStr">
        <is>
          <t>야간 PvP (PK 페널티 감소)</t>
        </is>
      </c>
      <c r="F33" s="9" t="inlineStr">
        <is>
          <t>🏁 시즌 마감 이벤트 (최종 랭킹 보상)</t>
        </is>
      </c>
      <c r="G33" s="9" t="inlineStr">
        <is>
          <t>12,000G + 90💎</t>
        </is>
      </c>
    </row>
  </sheetData>
  <mergeCells count="1">
    <mergeCell ref="A1:G1"/>
  </mergeCell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8" customWidth="1" min="1" max="1"/>
    <col width="22" customWidth="1" min="2" max="2"/>
    <col width="16" customWidth="1" min="3" max="3"/>
    <col width="28" customWidth="1" min="4" max="4"/>
    <col width="28" customWidth="1" min="5" max="5"/>
    <col width="30" customWidth="1" min="6" max="6"/>
    <col width="26" customWidth="1" min="7" max="7"/>
  </cols>
  <sheetData>
    <row r="1">
      <c r="A1" s="6" t="inlineStr">
        <is>
          <t>용병 대회 주간 일정 &amp; 보상</t>
        </is>
      </c>
    </row>
    <row r="3">
      <c r="A3" s="7" t="inlineStr">
        <is>
          <t>요일</t>
        </is>
      </c>
      <c r="B3" s="7" t="inlineStr">
        <is>
          <t>대회 종류</t>
        </is>
      </c>
      <c r="C3" s="7" t="inlineStr">
        <is>
          <t>시간</t>
        </is>
      </c>
      <c r="D3" s="7" t="inlineStr">
        <is>
          <t>참가 조건</t>
        </is>
      </c>
      <c r="E3" s="7" t="inlineStr">
        <is>
          <t>규칙</t>
        </is>
      </c>
      <c r="F3" s="7" t="inlineStr">
        <is>
          <t>1위 보상</t>
        </is>
      </c>
      <c r="G3" s="7" t="inlineStr">
        <is>
          <t>참가 보상</t>
        </is>
      </c>
    </row>
    <row r="4">
      <c r="A4" s="8" t="inlineStr">
        <is>
          <t>월</t>
        </is>
      </c>
      <c r="B4" s="8" t="inlineStr">
        <is>
          <t>등급 제한전 (희귀 이하)</t>
        </is>
      </c>
      <c r="C4" s="8" t="inlineStr">
        <is>
          <t>20:00~21:00</t>
        </is>
      </c>
      <c r="D4" s="8" t="inlineStr">
        <is>
          <t>용병 등급 희귀 이하만 편성</t>
        </is>
      </c>
      <c r="E4" s="8" t="inlineStr">
        <is>
          <t>5vs5 자동배틀, 3판 2선승</t>
        </is>
      </c>
      <c r="F4" s="8" t="inlineStr">
        <is>
          <t>희귀 용병 선택권 1장 + 5,000G</t>
        </is>
      </c>
      <c r="G4" s="8" t="inlineStr">
        <is>
          <t>1,000G + 강화석 3개</t>
        </is>
      </c>
    </row>
    <row r="5">
      <c r="A5" s="9" t="inlineStr">
        <is>
          <t>화</t>
        </is>
      </c>
      <c r="B5" s="9" t="inlineStr">
        <is>
          <t>역할 제한전 (전사 금지)</t>
        </is>
      </c>
      <c r="C5" s="9" t="inlineStr">
        <is>
          <t>20:00~21:00</t>
        </is>
      </c>
      <c r="D5" s="9" t="inlineStr">
        <is>
          <t>전사 클래스 편성 불가</t>
        </is>
      </c>
      <c r="E5" s="9" t="inlineStr">
        <is>
          <t>5vs5 자동배틀, 3판 2선승</t>
        </is>
      </c>
      <c r="F5" s="9" t="inlineStr">
        <is>
          <t>역할 변환 주문서 + 5,000G</t>
        </is>
      </c>
      <c r="G5" s="9" t="inlineStr">
        <is>
          <t>1,000G + 스킬북 1개</t>
        </is>
      </c>
    </row>
    <row r="6">
      <c r="A6" s="8" t="inlineStr">
        <is>
          <t>수</t>
        </is>
      </c>
      <c r="B6" s="8" t="inlineStr">
        <is>
          <t>1:1 결투</t>
        </is>
      </c>
      <c r="C6" s="8" t="inlineStr">
        <is>
          <t>19:00~21:00</t>
        </is>
      </c>
      <c r="D6" s="8" t="inlineStr">
        <is>
          <t>대표 용병 1명 선택</t>
        </is>
      </c>
      <c r="E6" s="8" t="inlineStr">
        <is>
          <t>1vs1 실시간 배틀, 토너먼트 16강</t>
        </is>
      </c>
      <c r="F6" s="8" t="inlineStr">
        <is>
          <t>전설 용병 조각 10개 + 10,000G</t>
        </is>
      </c>
      <c r="G6" s="8" t="inlineStr">
        <is>
          <t>2,000G + 결투 코인 5개</t>
        </is>
      </c>
    </row>
    <row r="7">
      <c r="A7" s="9" t="inlineStr">
        <is>
          <t>목</t>
        </is>
      </c>
      <c r="B7" s="9" t="inlineStr">
        <is>
          <t>3vs3 팀전</t>
        </is>
      </c>
      <c r="C7" s="9" t="inlineStr">
        <is>
          <t>20:00~22:00</t>
        </is>
      </c>
      <c r="D7" s="9" t="inlineStr">
        <is>
          <t>용병 3명 편성, 레벨 합계 제한</t>
        </is>
      </c>
      <c r="E7" s="9" t="inlineStr">
        <is>
          <t>3vs3 팀 배틀, 더블 엘리미네이션</t>
        </is>
      </c>
      <c r="F7" s="9" t="inlineStr">
        <is>
          <t>영웅 용병 선택권 + 8,000G</t>
        </is>
      </c>
      <c r="G7" s="9" t="inlineStr">
        <is>
          <t>2,000G + 팀전 코인 5개</t>
        </is>
      </c>
    </row>
    <row r="8">
      <c r="A8" s="8" t="inlineStr">
        <is>
          <t>금</t>
        </is>
      </c>
      <c r="B8" s="8" t="inlineStr">
        <is>
          <t>속성 제한전</t>
        </is>
      </c>
      <c r="C8" s="8" t="inlineStr">
        <is>
          <t>21:00~22:00</t>
        </is>
      </c>
      <c r="D8" s="8" t="inlineStr">
        <is>
          <t>지정 속성 용병만 편성 (매주 변경)</t>
        </is>
      </c>
      <c r="E8" s="8" t="inlineStr">
        <is>
          <t>5vs5 자동배틀, 속성 보너스 적용</t>
        </is>
      </c>
      <c r="F8" s="8" t="inlineStr">
        <is>
          <t>속성 강화석 5개 + 7,000G</t>
        </is>
      </c>
      <c r="G8" s="8" t="inlineStr">
        <is>
          <t>1,500G + 속성석 2개</t>
        </is>
      </c>
    </row>
    <row r="9">
      <c r="A9" s="9" t="inlineStr">
        <is>
          <t>토</t>
        </is>
      </c>
      <c r="B9" s="9" t="inlineStr">
        <is>
          <t>16강 대회</t>
        </is>
      </c>
      <c r="C9" s="9" t="inlineStr">
        <is>
          <t>14:00~18:00</t>
        </is>
      </c>
      <c r="D9" s="9" t="inlineStr">
        <is>
          <t>주간 포인트 상위 64명 참가</t>
        </is>
      </c>
      <c r="E9" s="9" t="inlineStr">
        <is>
          <t>5vs5 토너먼트, 16강→결승</t>
        </is>
      </c>
      <c r="F9" s="9" t="inlineStr">
        <is>
          <t>전설 용병 선택권 + 30,000G + 칭호</t>
        </is>
      </c>
      <c r="G9" s="9" t="inlineStr">
        <is>
          <t>5,000G + 대회 코인 10개</t>
        </is>
      </c>
    </row>
    <row r="10">
      <c r="A10" s="8" t="inlineStr">
        <is>
          <t>일</t>
        </is>
      </c>
      <c r="B10" s="8" t="inlineStr">
        <is>
          <t>자유 대전</t>
        </is>
      </c>
      <c r="C10" s="8" t="inlineStr">
        <is>
          <t>종일 (00:00~23:59)</t>
        </is>
      </c>
      <c r="D10" s="8" t="inlineStr">
        <is>
          <t>제한 없음</t>
        </is>
      </c>
      <c r="E10" s="8" t="inlineStr">
        <is>
          <t>5vs5 자동배틀, 매칭 레이팅 기반</t>
        </is>
      </c>
      <c r="F10" s="8" t="inlineStr">
        <is>
          <t>주간 랭킹 보상 (다이아 100개)</t>
        </is>
      </c>
      <c r="G10" s="8" t="inlineStr">
        <is>
          <t>1,000G + 경험치 2배 부스터</t>
        </is>
      </c>
    </row>
  </sheetData>
  <mergeCells count="1">
    <mergeCell ref="A1:G1"/>
  </mergeCell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8" customWidth="1" min="1" max="1"/>
    <col width="40" customWidth="1" min="2" max="2"/>
    <col width="36" customWidth="1" min="3" max="3"/>
    <col width="32" customWidth="1" min="4" max="4"/>
    <col width="30" customWidth="1" min="5" max="5"/>
  </cols>
  <sheetData>
    <row r="1">
      <c r="A1" s="6" t="inlineStr">
        <is>
          <t>포획 몬스터 배틀 시스템</t>
        </is>
      </c>
    </row>
    <row r="3">
      <c r="A3" s="7" t="inlineStr">
        <is>
          <t>시스템</t>
        </is>
      </c>
      <c r="B3" s="7" t="inlineStr">
        <is>
          <t>상세</t>
        </is>
      </c>
      <c r="C3" s="7" t="inlineStr">
        <is>
          <t>규칙</t>
        </is>
      </c>
      <c r="D3" s="7" t="inlineStr">
        <is>
          <t>보상</t>
        </is>
      </c>
      <c r="E3" s="7" t="inlineStr">
        <is>
          <t>재미 포인트</t>
        </is>
      </c>
    </row>
    <row r="4">
      <c r="A4" s="8" t="inlineStr">
        <is>
          <t>1:1 배틀 기본</t>
        </is>
      </c>
      <c r="B4" s="8" t="inlineStr">
        <is>
          <t>포획한 몬스터 1마리를 선택하여 상대와 대전</t>
        </is>
      </c>
      <c r="C4" s="8" t="inlineStr">
        <is>
          <t>턴제 배틀, 선공은 스피드 높은 쪽</t>
        </is>
      </c>
      <c r="D4" s="8" t="inlineStr">
        <is>
          <t>승리 시 배틀 포인트 30 + 골드 500</t>
        </is>
      </c>
      <c r="E4" s="8" t="inlineStr">
        <is>
          <t>상성과 스킬 조합으로 전략적 긴장감</t>
        </is>
      </c>
    </row>
    <row r="5">
      <c r="A5" s="9" t="inlineStr">
        <is>
          <t>속성 상성</t>
        </is>
      </c>
      <c r="B5" s="9" t="inlineStr">
        <is>
          <t>불→풀→물→불 / 빛↔암 상호 강점</t>
        </is>
      </c>
      <c r="C5" s="9" t="inlineStr">
        <is>
          <t>상성 유리 시 데미지 1.5배, 불리 시 0.7배</t>
        </is>
      </c>
      <c r="D5" s="9" t="inlineStr">
        <is>
          <t>상성 역전 승리 시 보너스 포인트 10</t>
        </is>
      </c>
      <c r="E5" s="9" t="inlineStr">
        <is>
          <t>불리한 상성을 스킬로 극복하는 쾌감</t>
        </is>
      </c>
    </row>
    <row r="6">
      <c r="A6" s="8" t="inlineStr">
        <is>
          <t>스킬 선택</t>
        </is>
      </c>
      <c r="B6" s="8" t="inlineStr">
        <is>
          <t>몬스터당 학습 가능 스킬 최대 8개, 배틀용 4개 장착</t>
        </is>
      </c>
      <c r="C6" s="8" t="inlineStr">
        <is>
          <t>턴마다 장착 스킬 중 1개 사용, PP 소모</t>
        </is>
      </c>
      <c r="D6" s="8" t="inlineStr">
        <is>
          <t>신규 스킬 습득 시 스킬북 획득</t>
        </is>
      </c>
      <c r="E6" s="8" t="inlineStr">
        <is>
          <t>상대 편성에 따라 스킬 세팅을 바꾸는 전략</t>
        </is>
      </c>
    </row>
    <row r="7">
      <c r="A7" s="9" t="inlineStr">
        <is>
          <t>교체 시스템</t>
        </is>
      </c>
      <c r="B7" s="9" t="inlineStr">
        <is>
          <t>배틀 중 대기 몬스터로 교체 가능 (턴 소모)</t>
        </is>
      </c>
      <c r="C7" s="9" t="inlineStr">
        <is>
          <t>교체 시 상대에게 1회 무방비 공격 허용</t>
        </is>
      </c>
      <c r="D7" s="9" t="inlineStr">
        <is>
          <t>교체 없이 승리 시 추가 보상</t>
        </is>
      </c>
      <c r="E7" s="9" t="inlineStr">
        <is>
          <t>교체 타이밍 판단이 승패를 가름</t>
        </is>
      </c>
    </row>
    <row r="8">
      <c r="A8" s="8" t="inlineStr">
        <is>
          <t>3vs3 팀 배틀</t>
        </is>
      </c>
      <c r="B8" s="8" t="inlineStr">
        <is>
          <t>몬스터 3마리 편성, 1마리씩 순서대로 배틀</t>
        </is>
      </c>
      <c r="C8" s="8" t="inlineStr">
        <is>
          <t>선발 몬스터 기절 시 다음 몬스터 자동 투입</t>
        </is>
      </c>
      <c r="D8" s="8" t="inlineStr">
        <is>
          <t>3:0 완승 시 보상 3배</t>
        </is>
      </c>
      <c r="E8" s="8" t="inlineStr">
        <is>
          <t>남은 체력 관리와 순서 배치 전략</t>
        </is>
      </c>
    </row>
    <row r="9">
      <c r="A9" s="9" t="inlineStr">
        <is>
          <t>토너먼트</t>
        </is>
      </c>
      <c r="B9" s="9" t="inlineStr">
        <is>
          <t>16명 참가, 싱글 엘리미네이션 방식</t>
        </is>
      </c>
      <c r="C9" s="9" t="inlineStr">
        <is>
          <t>각 라운드 3vs3 배틀, 제한시간 5분</t>
        </is>
      </c>
      <c r="D9" s="9" t="inlineStr">
        <is>
          <t>우승: 전설 몬스터 알 + 다이아 200</t>
        </is>
      </c>
      <c r="E9" s="9" t="inlineStr">
        <is>
          <t>한판 승부의 긴장감과 관전 재미</t>
        </is>
      </c>
    </row>
    <row r="10">
      <c r="A10" s="8" t="inlineStr">
        <is>
          <t>랭킹 시스템</t>
        </is>
      </c>
      <c r="B10" s="8" t="inlineStr">
        <is>
          <t>시즌별 배틀 랭킹, 레이팅 점수 기반</t>
        </is>
      </c>
      <c r="C10" s="8" t="inlineStr">
        <is>
          <t>승리 +25, 패배 -20, 연승 보너스 적용</t>
        </is>
      </c>
      <c r="D10" s="8" t="inlineStr">
        <is>
          <t>시즌 종료 시 랭킹별 보상 차등 지급</t>
        </is>
      </c>
      <c r="E10" s="8" t="inlineStr">
        <is>
          <t>매 시즌 리셋으로 신선한 경쟁</t>
        </is>
      </c>
    </row>
    <row r="11">
      <c r="A11" s="9" t="inlineStr">
        <is>
          <t>주간 대회</t>
        </is>
      </c>
      <c r="B11" s="9" t="inlineStr">
        <is>
          <t>매주 토요일 14시 자동 개최, 상위 32명 참가</t>
        </is>
      </c>
      <c r="C11" s="9" t="inlineStr">
        <is>
          <t>스위스 라운드 5회전 후 상위 8명 결선</t>
        </is>
      </c>
      <c r="D11" s="9" t="inlineStr">
        <is>
          <t>1위: 한정 스킨 + 다이아 500</t>
        </is>
      </c>
      <c r="E11" s="9" t="inlineStr">
        <is>
          <t>주간 목표가 되어 꾸준한 플레이 동기 부여</t>
        </is>
      </c>
    </row>
    <row r="12">
      <c r="A12" s="8" t="inlineStr">
        <is>
          <t>야생 도전 배틀</t>
        </is>
      </c>
      <c r="B12" s="8" t="inlineStr">
        <is>
          <t>IO 맵에서 야생 몬스터와 조우 시 배틀 돌입</t>
        </is>
      </c>
      <c r="C12" s="8" t="inlineStr">
        <is>
          <t>야생 몬스터 HP 비례 포획 확률 증가</t>
        </is>
      </c>
      <c r="D12" s="8" t="inlineStr">
        <is>
          <t>승리 시 포획 시도 가능 + 경험치</t>
        </is>
      </c>
      <c r="E12" s="8" t="inlineStr">
        <is>
          <t>탐험 중 예측 불가능한 강적 등장</t>
        </is>
      </c>
    </row>
    <row r="13">
      <c r="A13" s="9" t="inlineStr">
        <is>
          <t>속성 조합 보너스</t>
        </is>
      </c>
      <c r="B13" s="9" t="inlineStr">
        <is>
          <t>같은 속성 3마리 편성 시 팀 버프 발동</t>
        </is>
      </c>
      <c r="C13" s="9" t="inlineStr">
        <is>
          <t>속성 버프: 해당 속성 데미지 +20%</t>
        </is>
      </c>
      <c r="D13" s="9" t="inlineStr">
        <is>
          <t>조합 보너스 달성 시 업적 보상</t>
        </is>
      </c>
      <c r="E13" s="9" t="inlineStr">
        <is>
          <t>다양한 편성 실험 유도</t>
        </is>
      </c>
    </row>
    <row r="14">
      <c r="A14" s="8" t="inlineStr">
        <is>
          <t>진화 배틀</t>
        </is>
      </c>
      <c r="B14" s="8" t="inlineStr">
        <is>
          <t>특정 배틀 조건 달성 시 몬스터 진화 가능</t>
        </is>
      </c>
      <c r="C14" s="8" t="inlineStr">
        <is>
          <t>진화 조건: 배틀 승리 10회 + 진화석 보유</t>
        </is>
      </c>
      <c r="D14" s="8" t="inlineStr">
        <is>
          <t>진화 시 스탯 대폭 상승 + 신규 스킬</t>
        </is>
      </c>
      <c r="E14" s="8" t="inlineStr">
        <is>
          <t>육성 목표가 되어 애착 형성</t>
        </is>
      </c>
    </row>
    <row r="15">
      <c r="A15" s="9" t="inlineStr">
        <is>
          <t>관전 시스템</t>
        </is>
      </c>
      <c r="B15" s="9" t="inlineStr">
        <is>
          <t>다른 플레이어의 배틀을 실시간 관전 가능</t>
        </is>
      </c>
      <c r="C15" s="9" t="inlineStr">
        <is>
          <t>관전 중 응원 시 배틀 참가자에게 버프</t>
        </is>
      </c>
      <c r="D15" s="9" t="inlineStr">
        <is>
          <t>관전 포인트 누적으로 보상 교환</t>
        </is>
      </c>
      <c r="E15" s="9" t="inlineStr">
        <is>
          <t>커뮤니티 활성화와 전략 학습</t>
        </is>
      </c>
    </row>
    <row r="16">
      <c r="A16" s="8" t="inlineStr">
        <is>
          <t>배틀 아이템</t>
        </is>
      </c>
      <c r="B16" s="8" t="inlineStr">
        <is>
          <t>배틀 중 사용 가능한 소모 아이템 (회복약 등)</t>
        </is>
      </c>
      <c r="C16" s="8" t="inlineStr">
        <is>
          <t>턴당 아이템 1개 사용 가능, 배틀당 3개 제한</t>
        </is>
      </c>
      <c r="D16" s="8" t="inlineStr">
        <is>
          <t>아이템 사용 없이 승리 시 보너스</t>
        </is>
      </c>
      <c r="E16" s="8" t="inlineStr">
        <is>
          <t>아이템 사용 타이밍 판단 전략</t>
        </is>
      </c>
    </row>
    <row r="17">
      <c r="A17" s="9" t="inlineStr">
        <is>
          <t>시즌 특별 규칙</t>
        </is>
      </c>
      <c r="B17" s="9" t="inlineStr">
        <is>
          <t>매 시즌 특별 배틀 규칙 적용 (ex: 2배속, 랜덤 속성)</t>
        </is>
      </c>
      <c r="C17" s="9" t="inlineStr">
        <is>
          <t>시즌 공지에 따라 규칙 변경</t>
        </is>
      </c>
      <c r="D17" s="9" t="inlineStr">
        <is>
          <t>시즌 한정 보상 (칭호, 스킨, 프레임)</t>
        </is>
      </c>
      <c r="E17" s="9" t="inlineStr">
        <is>
          <t>매 시즌 새로운 메타 형성</t>
        </is>
      </c>
    </row>
    <row r="18">
      <c r="A18" s="8" t="inlineStr">
        <is>
          <t>길드 배틀</t>
        </is>
      </c>
      <c r="B18" s="8" t="inlineStr">
        <is>
          <t>길드 간 몬스터 배틀 대항전 (주 1회)</t>
        </is>
      </c>
      <c r="C18" s="8" t="inlineStr">
        <is>
          <t>길드원 각 1마리씩 출전, 총 승수로 판정</t>
        </is>
      </c>
      <c r="D18" s="8" t="inlineStr">
        <is>
          <t>승리 길드: 길드 경험치 + 길드 상점 재화</t>
        </is>
      </c>
      <c r="E18" s="8" t="inlineStr">
        <is>
          <t>길드 소속감과 협동 전략</t>
        </is>
      </c>
    </row>
  </sheetData>
  <mergeCells count="1">
    <mergeCell ref="A1:E1"/>
  </mergeCell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12" customWidth="1" min="1" max="1"/>
    <col width="18" customWidth="1" min="2" max="2"/>
    <col width="20" customWidth="1" min="3" max="3"/>
    <col width="40" customWidth="1" min="4" max="4"/>
  </cols>
  <sheetData>
    <row r="1">
      <c r="A1" s="6" t="inlineStr">
        <is>
          <t>전체 단축키 &amp; 조작 가이드</t>
        </is>
      </c>
    </row>
    <row r="3">
      <c r="A3" s="7" t="inlineStr">
        <is>
          <t>모드</t>
        </is>
      </c>
      <c r="B3" s="7" t="inlineStr">
        <is>
          <t>키/버튼</t>
        </is>
      </c>
      <c r="C3" s="7" t="inlineStr">
        <is>
          <t>기능</t>
        </is>
      </c>
      <c r="D3" s="7" t="inlineStr">
        <is>
          <t>설명</t>
        </is>
      </c>
    </row>
    <row r="4">
      <c r="A4" s="8" t="inlineStr">
        <is>
          <t>IO모드</t>
        </is>
      </c>
      <c r="B4" s="8" t="inlineStr">
        <is>
          <t>W / A / S / D</t>
        </is>
      </c>
      <c r="C4" s="8" t="inlineStr">
        <is>
          <t>이동</t>
        </is>
      </c>
      <c r="D4" s="8" t="inlineStr">
        <is>
          <t>캐릭터 상하좌우 이동</t>
        </is>
      </c>
    </row>
    <row r="5">
      <c r="A5" s="9" t="inlineStr">
        <is>
          <t>IO모드</t>
        </is>
      </c>
      <c r="B5" s="9" t="inlineStr">
        <is>
          <t>1 ~ 5</t>
        </is>
      </c>
      <c r="C5" s="9" t="inlineStr">
        <is>
          <t>스킬 사용</t>
        </is>
      </c>
      <c r="D5" s="9" t="inlineStr">
        <is>
          <t>장착된 스킬 슬롯 1~5번 발동</t>
        </is>
      </c>
    </row>
    <row r="6">
      <c r="A6" s="8" t="inlineStr">
        <is>
          <t>IO모드</t>
        </is>
      </c>
      <c r="B6" s="8" t="inlineStr">
        <is>
          <t>Space</t>
        </is>
      </c>
      <c r="C6" s="8" t="inlineStr">
        <is>
          <t>점프 / 회피</t>
        </is>
      </c>
      <c r="D6" s="8" t="inlineStr">
        <is>
          <t>짧은 거리 점프, 쿨타임 3초</t>
        </is>
      </c>
    </row>
    <row r="7">
      <c r="A7" s="9" t="inlineStr">
        <is>
          <t>IO모드</t>
        </is>
      </c>
      <c r="B7" s="9" t="inlineStr">
        <is>
          <t>Tab</t>
        </is>
      </c>
      <c r="C7" s="9" t="inlineStr">
        <is>
          <t>리더보드</t>
        </is>
      </c>
      <c r="D7" s="9" t="inlineStr">
        <is>
          <t>현재 서버 순위표 표시/숨김</t>
        </is>
      </c>
    </row>
    <row r="8">
      <c r="A8" s="8" t="inlineStr">
        <is>
          <t>IO모드</t>
        </is>
      </c>
      <c r="B8" s="8" t="inlineStr">
        <is>
          <t>Q</t>
        </is>
      </c>
      <c r="C8" s="8" t="inlineStr">
        <is>
          <t>포획 시도</t>
        </is>
      </c>
      <c r="D8" s="8" t="inlineStr">
        <is>
          <t>약화된 야생 몬스터에게 포획볼 투척</t>
        </is>
      </c>
    </row>
    <row r="9">
      <c r="A9" s="9" t="inlineStr">
        <is>
          <t>IO모드</t>
        </is>
      </c>
      <c r="B9" s="9" t="inlineStr">
        <is>
          <t>E</t>
        </is>
      </c>
      <c r="C9" s="9" t="inlineStr">
        <is>
          <t>상호작용</t>
        </is>
      </c>
      <c r="D9" s="9" t="inlineStr">
        <is>
          <t>NPC 대화 / 아이템 줍기 / 오브젝트 사용</t>
        </is>
      </c>
    </row>
    <row r="10">
      <c r="A10" s="8" t="inlineStr">
        <is>
          <t>IO모드</t>
        </is>
      </c>
      <c r="B10" s="8" t="inlineStr">
        <is>
          <t>R</t>
        </is>
      </c>
      <c r="C10" s="8" t="inlineStr">
        <is>
          <t>궁극기</t>
        </is>
      </c>
      <c r="D10" s="8" t="inlineStr">
        <is>
          <t>게이지 100% 시 궁극기 발동</t>
        </is>
      </c>
    </row>
    <row r="11">
      <c r="A11" s="9" t="inlineStr">
        <is>
          <t>IO모드</t>
        </is>
      </c>
      <c r="B11" s="9" t="inlineStr">
        <is>
          <t>F</t>
        </is>
      </c>
      <c r="C11" s="9" t="inlineStr">
        <is>
          <t>자동전투 토글</t>
        </is>
      </c>
      <c r="D11" s="9" t="inlineStr">
        <is>
          <t>자동전투 ON/OFF 전환</t>
        </is>
      </c>
    </row>
    <row r="12">
      <c r="A12" s="8" t="inlineStr">
        <is>
          <t>SLG모드</t>
        </is>
      </c>
      <c r="B12" s="8" t="inlineStr">
        <is>
          <t>마우스 좌클릭</t>
        </is>
      </c>
      <c r="C12" s="8" t="inlineStr">
        <is>
          <t>유닛 선택</t>
        </is>
      </c>
      <c r="D12" s="8" t="inlineStr">
        <is>
          <t>용병 또는 건물 선택</t>
        </is>
      </c>
    </row>
    <row r="13">
      <c r="A13" s="9" t="inlineStr">
        <is>
          <t>SLG모드</t>
        </is>
      </c>
      <c r="B13" s="9" t="inlineStr">
        <is>
          <t>마우스 우클릭</t>
        </is>
      </c>
      <c r="C13" s="9" t="inlineStr">
        <is>
          <t>이동/공격 명령</t>
        </is>
      </c>
      <c r="D13" s="9" t="inlineStr">
        <is>
          <t>선택된 유닛에게 이동 또는 공격 명령</t>
        </is>
      </c>
    </row>
    <row r="14">
      <c r="A14" s="8" t="inlineStr">
        <is>
          <t>SLG모드</t>
        </is>
      </c>
      <c r="B14" s="8" t="inlineStr">
        <is>
          <t>드래그</t>
        </is>
      </c>
      <c r="C14" s="8" t="inlineStr">
        <is>
          <t>범위 선택 / 배치</t>
        </is>
      </c>
      <c r="D14" s="8" t="inlineStr">
        <is>
          <t>유닛 다중 선택 또는 건물 배치 영역 지정</t>
        </is>
      </c>
    </row>
    <row r="15">
      <c r="A15" s="9" t="inlineStr">
        <is>
          <t>SLG모드</t>
        </is>
      </c>
      <c r="B15" s="9" t="inlineStr">
        <is>
          <t>1 ~ 6</t>
        </is>
      </c>
      <c r="C15" s="9" t="inlineStr">
        <is>
          <t>부대 단축키</t>
        </is>
      </c>
      <c r="D15" s="9" t="inlineStr">
        <is>
          <t>저장된 부대 그룹 선택 (Ctrl+숫자로 저장)</t>
        </is>
      </c>
    </row>
    <row r="16">
      <c r="A16" s="8" t="inlineStr">
        <is>
          <t>SLG모드</t>
        </is>
      </c>
      <c r="B16" s="8" t="inlineStr">
        <is>
          <t>Ctrl + 1~6</t>
        </is>
      </c>
      <c r="C16" s="8" t="inlineStr">
        <is>
          <t>부대 저장</t>
        </is>
      </c>
      <c r="D16" s="8" t="inlineStr">
        <is>
          <t>현재 선택된 유닛을 부대 그룹으로 저장</t>
        </is>
      </c>
    </row>
    <row r="17">
      <c r="A17" s="9" t="inlineStr">
        <is>
          <t>SLG모드</t>
        </is>
      </c>
      <c r="B17" s="9" t="inlineStr">
        <is>
          <t>B</t>
        </is>
      </c>
      <c r="C17" s="9" t="inlineStr">
        <is>
          <t>건설 모드</t>
        </is>
      </c>
      <c r="D17" s="9" t="inlineStr">
        <is>
          <t>건물 건설 메뉴 열기</t>
        </is>
      </c>
    </row>
    <row r="18">
      <c r="A18" s="8" t="inlineStr">
        <is>
          <t>SLG모드</t>
        </is>
      </c>
      <c r="B18" s="8" t="inlineStr">
        <is>
          <t>G</t>
        </is>
      </c>
      <c r="C18" s="8" t="inlineStr">
        <is>
          <t>격자 표시</t>
        </is>
      </c>
      <c r="D18" s="8" t="inlineStr">
        <is>
          <t>배치 격자 ON/OFF 토글</t>
        </is>
      </c>
    </row>
    <row r="19">
      <c r="A19" s="9" t="inlineStr">
        <is>
          <t>공성전</t>
        </is>
      </c>
      <c r="B19" s="9" t="inlineStr">
        <is>
          <t>W / A / S / D</t>
        </is>
      </c>
      <c r="C19" s="9" t="inlineStr">
        <is>
          <t>캐릭터 이동</t>
        </is>
      </c>
      <c r="D19" s="9" t="inlineStr">
        <is>
          <t>공성전 맵에서 캐릭터 직접 이동</t>
        </is>
      </c>
    </row>
    <row r="20">
      <c r="A20" s="8" t="inlineStr">
        <is>
          <t>공성전</t>
        </is>
      </c>
      <c r="B20" s="8" t="inlineStr">
        <is>
          <t>자동전투</t>
        </is>
      </c>
      <c r="C20" s="8" t="inlineStr">
        <is>
          <t>전투 자동 진행</t>
        </is>
      </c>
      <c r="D20" s="8" t="inlineStr">
        <is>
          <t>범위 내 적 자동 공격 (기본 ON)</t>
        </is>
      </c>
    </row>
    <row r="21">
      <c r="A21" s="9" t="inlineStr">
        <is>
          <t>공성전</t>
        </is>
      </c>
      <c r="B21" s="9" t="inlineStr">
        <is>
          <t>V</t>
        </is>
      </c>
      <c r="C21" s="9" t="inlineStr">
        <is>
          <t>집결 신호</t>
        </is>
      </c>
      <c r="D21" s="9" t="inlineStr">
        <is>
          <t>아군에게 집결 위치 표시 (길드원 공유)</t>
        </is>
      </c>
    </row>
    <row r="22">
      <c r="A22" s="8" t="inlineStr">
        <is>
          <t>공성전</t>
        </is>
      </c>
      <c r="B22" s="8" t="inlineStr">
        <is>
          <t>Z</t>
        </is>
      </c>
      <c r="C22" s="8" t="inlineStr">
        <is>
          <t>성문 공격</t>
        </is>
      </c>
      <c r="D22" s="8" t="inlineStr">
        <is>
          <t>성문 근처에서 공성 무기 사용</t>
        </is>
      </c>
    </row>
    <row r="23">
      <c r="A23" s="9" t="inlineStr">
        <is>
          <t>공성전</t>
        </is>
      </c>
      <c r="B23" s="9" t="inlineStr">
        <is>
          <t>X</t>
        </is>
      </c>
      <c r="C23" s="9" t="inlineStr">
        <is>
          <t>방어 배치</t>
        </is>
      </c>
      <c r="D23" s="9" t="inlineStr">
        <is>
          <t>수성 시 방어 구조물 배치</t>
        </is>
      </c>
    </row>
    <row r="24">
      <c r="A24" s="8" t="inlineStr">
        <is>
          <t>공통</t>
        </is>
      </c>
      <c r="B24" s="8" t="inlineStr">
        <is>
          <t>ESC</t>
        </is>
      </c>
      <c r="C24" s="8" t="inlineStr">
        <is>
          <t>메뉴 / 닫기</t>
        </is>
      </c>
      <c r="D24" s="8" t="inlineStr">
        <is>
          <t>게임 메뉴 열기 또는 현재 창 닫기</t>
        </is>
      </c>
    </row>
    <row r="25">
      <c r="A25" s="9" t="inlineStr">
        <is>
          <t>공통</t>
        </is>
      </c>
      <c r="B25" s="9" t="inlineStr">
        <is>
          <t>M</t>
        </is>
      </c>
      <c r="C25" s="9" t="inlineStr">
        <is>
          <t>전체 맵</t>
        </is>
      </c>
      <c r="D25" s="9" t="inlineStr">
        <is>
          <t>월드맵 / 미니맵 확대 토글</t>
        </is>
      </c>
    </row>
    <row r="26">
      <c r="A26" s="8" t="inlineStr">
        <is>
          <t>공통</t>
        </is>
      </c>
      <c r="B26" s="8" t="inlineStr">
        <is>
          <t>I</t>
        </is>
      </c>
      <c r="C26" s="8" t="inlineStr">
        <is>
          <t>인벤토리</t>
        </is>
      </c>
      <c r="D26" s="8" t="inlineStr">
        <is>
          <t>보유 아이템 목록 열기</t>
        </is>
      </c>
    </row>
    <row r="27">
      <c r="A27" s="9" t="inlineStr">
        <is>
          <t>공통</t>
        </is>
      </c>
      <c r="B27" s="9" t="inlineStr">
        <is>
          <t>C</t>
        </is>
      </c>
      <c r="C27" s="9" t="inlineStr">
        <is>
          <t>캐릭터 정보</t>
        </is>
      </c>
      <c r="D27" s="9" t="inlineStr">
        <is>
          <t>캐릭터 스탯 / 장비 / 스킬 정보 창</t>
        </is>
      </c>
    </row>
    <row r="28">
      <c r="A28" s="8" t="inlineStr">
        <is>
          <t>공통</t>
        </is>
      </c>
      <c r="B28" s="8" t="inlineStr">
        <is>
          <t>P</t>
        </is>
      </c>
      <c r="C28" s="8" t="inlineStr">
        <is>
          <t>몬스터 도감</t>
        </is>
      </c>
      <c r="D28" s="8" t="inlineStr">
        <is>
          <t>포획한 몬스터 목록 및 도감 열기</t>
        </is>
      </c>
    </row>
  </sheetData>
  <mergeCells count="1">
    <mergeCell ref="A1:D1"/>
  </mergeCell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8" customWidth="1" min="1" max="1"/>
    <col width="30" customWidth="1" min="2" max="2"/>
    <col width="18" customWidth="1" min="3" max="3"/>
    <col width="24" customWidth="1" min="4" max="4"/>
  </cols>
  <sheetData>
    <row r="1">
      <c r="A1" s="6" t="inlineStr">
        <is>
          <t>용병 도감 완성 보상</t>
        </is>
      </c>
    </row>
    <row r="3">
      <c r="A3" s="7" t="inlineStr">
        <is>
          <t>수집 수</t>
        </is>
      </c>
      <c r="B3" s="7" t="inlineStr">
        <is>
          <t>보상</t>
        </is>
      </c>
      <c r="C3" s="7" t="inlineStr">
        <is>
          <t>칭호</t>
        </is>
      </c>
      <c r="D3" s="7" t="inlineStr">
        <is>
          <t>추가 효과</t>
        </is>
      </c>
    </row>
    <row r="4">
      <c r="A4" s="8" t="inlineStr">
        <is>
          <t>5명</t>
        </is>
      </c>
      <c r="B4" s="8" t="inlineStr">
        <is>
          <t>골드 5,000</t>
        </is>
      </c>
      <c r="C4" s="8" t="inlineStr">
        <is>
          <t>-</t>
        </is>
      </c>
      <c r="D4" s="8" t="inlineStr">
        <is>
          <t>-</t>
        </is>
      </c>
    </row>
    <row r="5">
      <c r="A5" s="9" t="inlineStr">
        <is>
          <t>10명</t>
        </is>
      </c>
      <c r="B5" s="9" t="inlineStr">
        <is>
          <t>소환 티켓 x3</t>
        </is>
      </c>
      <c r="C5" s="9" t="inlineStr">
        <is>
          <t>초보 수집가</t>
        </is>
      </c>
      <c r="D5" s="9" t="inlineStr">
        <is>
          <t>전투력 +1%</t>
        </is>
      </c>
    </row>
    <row r="6">
      <c r="A6" s="8" t="inlineStr">
        <is>
          <t>15명</t>
        </is>
      </c>
      <c r="B6" s="8" t="inlineStr">
        <is>
          <t>골드 15,000</t>
        </is>
      </c>
      <c r="C6" s="8" t="inlineStr">
        <is>
          <t>-</t>
        </is>
      </c>
      <c r="D6" s="8" t="inlineStr">
        <is>
          <t>-</t>
        </is>
      </c>
    </row>
    <row r="7">
      <c r="A7" s="9" t="inlineStr">
        <is>
          <t>20명</t>
        </is>
      </c>
      <c r="B7" s="9" t="inlineStr">
        <is>
          <t>스킬석 x5</t>
        </is>
      </c>
      <c r="C7" s="9" t="inlineStr">
        <is>
          <t>숙련 수집가</t>
        </is>
      </c>
      <c r="D7" s="9" t="inlineStr">
        <is>
          <t>전투력 +2%</t>
        </is>
      </c>
    </row>
    <row r="8">
      <c r="A8" s="8" t="inlineStr">
        <is>
          <t>25명</t>
        </is>
      </c>
      <c r="B8" s="8" t="inlineStr">
        <is>
          <t>소환 티켓 x5 + 골드 30,000</t>
        </is>
      </c>
      <c r="C8" s="8" t="inlineStr">
        <is>
          <t>-</t>
        </is>
      </c>
      <c r="D8" s="8" t="inlineStr">
        <is>
          <t>-</t>
        </is>
      </c>
    </row>
    <row r="9">
      <c r="A9" s="9" t="inlineStr">
        <is>
          <t>30명</t>
        </is>
      </c>
      <c r="B9" s="9" t="inlineStr">
        <is>
          <t>전설 소환 티켓 x1</t>
        </is>
      </c>
      <c r="C9" s="9" t="inlineStr">
        <is>
          <t>베테랑 수집가</t>
        </is>
      </c>
      <c r="D9" s="9" t="inlineStr">
        <is>
          <t>전투력 +3%</t>
        </is>
      </c>
    </row>
    <row r="10">
      <c r="A10" s="8" t="inlineStr">
        <is>
          <t>35명</t>
        </is>
      </c>
      <c r="B10" s="8" t="inlineStr">
        <is>
          <t>각성석 x3 + 골드 50,000</t>
        </is>
      </c>
      <c r="C10" s="8" t="inlineStr">
        <is>
          <t>-</t>
        </is>
      </c>
      <c r="D10" s="8" t="inlineStr">
        <is>
          <t>-</t>
        </is>
      </c>
    </row>
    <row r="11">
      <c r="A11" s="9" t="inlineStr">
        <is>
          <t>40명</t>
        </is>
      </c>
      <c r="B11" s="9" t="inlineStr">
        <is>
          <t>선택 전설 소환권 x1</t>
        </is>
      </c>
      <c r="C11" s="9" t="inlineStr">
        <is>
          <t>마스터 수집가</t>
        </is>
      </c>
      <c r="D11" s="9" t="inlineStr">
        <is>
          <t>전투력 +5%</t>
        </is>
      </c>
    </row>
    <row r="12">
      <c r="A12" s="8" t="inlineStr">
        <is>
          <t>45명</t>
        </is>
      </c>
      <c r="B12" s="8" t="inlineStr">
        <is>
          <t>초월석 x2 + 골드 80,000</t>
        </is>
      </c>
      <c r="C12" s="8" t="inlineStr">
        <is>
          <t>-</t>
        </is>
      </c>
      <c r="D12" s="8" t="inlineStr">
        <is>
          <t>-</t>
        </is>
      </c>
    </row>
    <row r="13">
      <c r="A13" s="9" t="inlineStr">
        <is>
          <t>50명</t>
        </is>
      </c>
      <c r="B13" s="9" t="inlineStr">
        <is>
          <t>신화 소환 티켓 x1</t>
        </is>
      </c>
      <c r="C13" s="9" t="inlineStr">
        <is>
          <t>전설의 수집가</t>
        </is>
      </c>
      <c r="D13" s="9" t="inlineStr">
        <is>
          <t>전투력 +7%</t>
        </is>
      </c>
    </row>
    <row r="14">
      <c r="A14" s="8" t="inlineStr">
        <is>
          <t>55명</t>
        </is>
      </c>
      <c r="B14" s="8" t="inlineStr">
        <is>
          <t>초월석 x5 + 각성석 x10</t>
        </is>
      </c>
      <c r="C14" s="8" t="inlineStr">
        <is>
          <t>-</t>
        </is>
      </c>
      <c r="D14" s="8" t="inlineStr">
        <is>
          <t>-</t>
        </is>
      </c>
    </row>
    <row r="15">
      <c r="A15" s="9" t="inlineStr">
        <is>
          <t>60명</t>
        </is>
      </c>
      <c r="B15" s="9" t="inlineStr">
        <is>
          <t>신화 선택 소환권 x1 + 골드 200,000</t>
        </is>
      </c>
      <c r="C15" s="9" t="inlineStr">
        <is>
          <t>완전체 수집가</t>
        </is>
      </c>
      <c r="D15" s="9" t="inlineStr">
        <is>
          <t>전투력 +10%</t>
        </is>
      </c>
    </row>
    <row r="16">
      <c r="A16" s="8" t="inlineStr">
        <is>
          <t>전 등급 완성</t>
        </is>
      </c>
      <c r="B16" s="8" t="inlineStr">
        <is>
          <t>칭호 + 다이아 500</t>
        </is>
      </c>
      <c r="C16" s="8" t="inlineStr">
        <is>
          <t>등급 정복자</t>
        </is>
      </c>
      <c r="D16" s="8" t="inlineStr">
        <is>
          <t>용병 경험치 획득 +10%</t>
        </is>
      </c>
    </row>
    <row r="17">
      <c r="A17" s="9" t="inlineStr">
        <is>
          <t>전 시너지 발동</t>
        </is>
      </c>
      <c r="B17" s="9" t="inlineStr">
        <is>
          <t>칭호 + 스킬석 x20</t>
        </is>
      </c>
      <c r="C17" s="9" t="inlineStr">
        <is>
          <t>시너지 마스터</t>
        </is>
      </c>
      <c r="D17" s="9" t="inlineStr">
        <is>
          <t>시너지 효과 +5%</t>
        </is>
      </c>
    </row>
    <row r="18">
      <c r="A18" s="8" t="inlineStr">
        <is>
          <t>전 유대 해금</t>
        </is>
      </c>
      <c r="B18" s="8" t="inlineStr">
        <is>
          <t>칭호 + 초월석 x10</t>
        </is>
      </c>
      <c r="C18" s="8" t="inlineStr">
        <is>
          <t>유대의 완성자</t>
        </is>
      </c>
      <c r="D18" s="8" t="inlineStr">
        <is>
          <t>유대 효과 +15%</t>
        </is>
      </c>
    </row>
  </sheetData>
  <mergeCells count="1">
    <mergeCell ref="A1:D1"/>
  </mergeCell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10" customWidth="1" min="2" max="2"/>
    <col width="12" customWidth="1" min="3" max="3"/>
    <col width="22" customWidth="1" min="4" max="4"/>
    <col width="32" customWidth="1" min="5" max="5"/>
  </cols>
  <sheetData>
    <row r="1">
      <c r="A1" s="6" t="inlineStr">
        <is>
          <t>공성전 시즌 점수표</t>
        </is>
      </c>
    </row>
    <row r="3">
      <c r="A3" s="7" t="inlineStr">
        <is>
          <t>활동</t>
        </is>
      </c>
      <c r="B3" s="7" t="inlineStr">
        <is>
          <t>점수</t>
        </is>
      </c>
      <c r="C3" s="7" t="inlineStr">
        <is>
          <t>상한</t>
        </is>
      </c>
      <c r="D3" s="7" t="inlineStr">
        <is>
          <t>시즌 보상 기준</t>
        </is>
      </c>
      <c r="E3" s="7" t="inlineStr">
        <is>
          <t>비고</t>
        </is>
      </c>
    </row>
    <row r="4">
      <c r="A4" s="8" t="inlineStr">
        <is>
          <t>공성 승리</t>
        </is>
      </c>
      <c r="B4" s="8" t="inlineStr">
        <is>
          <t>+100</t>
        </is>
      </c>
      <c r="C4" s="8" t="inlineStr">
        <is>
          <t>일 300</t>
        </is>
      </c>
      <c r="D4" s="8" t="inlineStr">
        <is>
          <t>-</t>
        </is>
      </c>
      <c r="E4" s="8" t="inlineStr">
        <is>
          <t>공격 측 승리 시</t>
        </is>
      </c>
    </row>
    <row r="5">
      <c r="A5" s="9" t="inlineStr">
        <is>
          <t>방어 성공</t>
        </is>
      </c>
      <c r="B5" s="9" t="inlineStr">
        <is>
          <t>+80</t>
        </is>
      </c>
      <c r="C5" s="9" t="inlineStr">
        <is>
          <t>일 240</t>
        </is>
      </c>
      <c r="D5" s="9" t="inlineStr">
        <is>
          <t>-</t>
        </is>
      </c>
      <c r="E5" s="9" t="inlineStr">
        <is>
          <t>수비 측 승리 시</t>
        </is>
      </c>
    </row>
    <row r="6">
      <c r="A6" s="8" t="inlineStr">
        <is>
          <t>공성 참가</t>
        </is>
      </c>
      <c r="B6" s="8" t="inlineStr">
        <is>
          <t>+20</t>
        </is>
      </c>
      <c r="C6" s="8" t="inlineStr">
        <is>
          <t>일 60</t>
        </is>
      </c>
      <c r="D6" s="8" t="inlineStr">
        <is>
          <t>-</t>
        </is>
      </c>
      <c r="E6" s="8" t="inlineStr">
        <is>
          <t>승패 무관, 참가만으로 획득</t>
        </is>
      </c>
    </row>
    <row r="7">
      <c r="A7" s="9" t="inlineStr">
        <is>
          <t>적 처치 (킬)</t>
        </is>
      </c>
      <c r="B7" s="9" t="inlineStr">
        <is>
          <t>+5</t>
        </is>
      </c>
      <c r="C7" s="9" t="inlineStr">
        <is>
          <t>일 100</t>
        </is>
      </c>
      <c r="D7" s="9" t="inlineStr">
        <is>
          <t>-</t>
        </is>
      </c>
      <c r="E7" s="9" t="inlineStr">
        <is>
          <t>공성전 내 적 유닛 처치당</t>
        </is>
      </c>
    </row>
    <row r="8">
      <c r="A8" s="8" t="inlineStr">
        <is>
          <t>트로피 획득</t>
        </is>
      </c>
      <c r="B8" s="8" t="inlineStr">
        <is>
          <t>+50</t>
        </is>
      </c>
      <c r="C8" s="8" t="inlineStr">
        <is>
          <t>무제한</t>
        </is>
      </c>
      <c r="D8" s="8" t="inlineStr">
        <is>
          <t>-</t>
        </is>
      </c>
      <c r="E8" s="8" t="inlineStr">
        <is>
          <t>성 점령 시 트로피 보너스</t>
        </is>
      </c>
    </row>
    <row r="9">
      <c r="A9" s="9" t="inlineStr">
        <is>
          <t>성문 파괴</t>
        </is>
      </c>
      <c r="B9" s="9" t="inlineStr">
        <is>
          <t>+30</t>
        </is>
      </c>
      <c r="C9" s="9" t="inlineStr">
        <is>
          <t>일 90</t>
        </is>
      </c>
      <c r="D9" s="9" t="inlineStr">
        <is>
          <t>-</t>
        </is>
      </c>
      <c r="E9" s="9" t="inlineStr">
        <is>
          <t>공성 시 성문 파괴 기여</t>
        </is>
      </c>
    </row>
    <row r="10">
      <c r="A10" s="8" t="inlineStr">
        <is>
          <t>수성 구조물 설치</t>
        </is>
      </c>
      <c r="B10" s="8" t="inlineStr">
        <is>
          <t>+10</t>
        </is>
      </c>
      <c r="C10" s="8" t="inlineStr">
        <is>
          <t>일 50</t>
        </is>
      </c>
      <c r="D10" s="8" t="inlineStr">
        <is>
          <t>-</t>
        </is>
      </c>
      <c r="E10" s="8" t="inlineStr">
        <is>
          <t>방어 구조물 배치 기여</t>
        </is>
      </c>
    </row>
    <row r="11">
      <c r="A11" s="9" t="inlineStr">
        <is>
          <t>집결 참여</t>
        </is>
      </c>
      <c r="B11" s="9" t="inlineStr">
        <is>
          <t>+15</t>
        </is>
      </c>
      <c r="C11" s="9" t="inlineStr">
        <is>
          <t>일 45</t>
        </is>
      </c>
      <c r="D11" s="9" t="inlineStr">
        <is>
          <t>-</t>
        </is>
      </c>
      <c r="E11" s="9" t="inlineStr">
        <is>
          <t>길드 집결 호출에 응답</t>
        </is>
      </c>
    </row>
    <row r="12">
      <c r="A12" s="8" t="inlineStr">
        <is>
          <t>MVP 보너스</t>
        </is>
      </c>
      <c r="B12" s="8" t="inlineStr">
        <is>
          <t>+50</t>
        </is>
      </c>
      <c r="C12" s="8" t="inlineStr">
        <is>
          <t>일 50</t>
        </is>
      </c>
      <c r="D12" s="8" t="inlineStr">
        <is>
          <t>-</t>
        </is>
      </c>
      <c r="E12" s="8" t="inlineStr">
        <is>
          <t>공성전 MVP 선정 시 추가</t>
        </is>
      </c>
    </row>
    <row r="13">
      <c r="A13" s="9" t="inlineStr">
        <is>
          <t>연속 참가 보너스</t>
        </is>
      </c>
      <c r="B13" s="9" t="inlineStr">
        <is>
          <t>+10</t>
        </is>
      </c>
      <c r="C13" s="9" t="inlineStr">
        <is>
          <t>주 70</t>
        </is>
      </c>
      <c r="D13" s="9" t="inlineStr">
        <is>
          <t>-</t>
        </is>
      </c>
      <c r="E13" s="9" t="inlineStr">
        <is>
          <t>7일 연속 참가 시 누적</t>
        </is>
      </c>
    </row>
    <row r="14">
      <c r="A14" s="8" t="inlineStr">
        <is>
          <t>--- 시즌 등급 ---</t>
        </is>
      </c>
      <c r="B14" s="8" t="inlineStr">
        <is>
          <t>---</t>
        </is>
      </c>
      <c r="C14" s="8" t="inlineStr">
        <is>
          <t>---</t>
        </is>
      </c>
      <c r="D14" s="8" t="inlineStr">
        <is>
          <t>---</t>
        </is>
      </c>
      <c r="E14" s="8" t="inlineStr">
        <is>
          <t>---</t>
        </is>
      </c>
    </row>
    <row r="15">
      <c r="A15" s="9" t="inlineStr">
        <is>
          <t>브론즈</t>
        </is>
      </c>
      <c r="B15" s="9" t="inlineStr">
        <is>
          <t>-</t>
        </is>
      </c>
      <c r="C15" s="9" t="inlineStr">
        <is>
          <t>-</t>
        </is>
      </c>
      <c r="D15" s="9" t="inlineStr">
        <is>
          <t>0 ~ 500점</t>
        </is>
      </c>
      <c r="E15" s="9" t="inlineStr">
        <is>
          <t>시즌 보상: 골드 10,000</t>
        </is>
      </c>
    </row>
    <row r="16">
      <c r="A16" s="8" t="inlineStr">
        <is>
          <t>실버</t>
        </is>
      </c>
      <c r="B16" s="8" t="inlineStr">
        <is>
          <t>-</t>
        </is>
      </c>
      <c r="C16" s="8" t="inlineStr">
        <is>
          <t>-</t>
        </is>
      </c>
      <c r="D16" s="8" t="inlineStr">
        <is>
          <t>501 ~ 1,500점</t>
        </is>
      </c>
      <c r="E16" s="8" t="inlineStr">
        <is>
          <t>시즌 보상: 골드 30,000 + 소환권 x3</t>
        </is>
      </c>
    </row>
    <row r="17">
      <c r="A17" s="9" t="inlineStr">
        <is>
          <t>골드</t>
        </is>
      </c>
      <c r="B17" s="9" t="inlineStr">
        <is>
          <t>-</t>
        </is>
      </c>
      <c r="C17" s="9" t="inlineStr">
        <is>
          <t>-</t>
        </is>
      </c>
      <c r="D17" s="9" t="inlineStr">
        <is>
          <t>1,501 ~ 3,000점</t>
        </is>
      </c>
      <c r="E17" s="9" t="inlineStr">
        <is>
          <t>시즌 보상: 골드 50,000 + 전설 소환권 x1</t>
        </is>
      </c>
    </row>
    <row r="18">
      <c r="A18" s="8" t="inlineStr">
        <is>
          <t>다이아</t>
        </is>
      </c>
      <c r="B18" s="8" t="inlineStr">
        <is>
          <t>-</t>
        </is>
      </c>
      <c r="C18" s="8" t="inlineStr">
        <is>
          <t>-</t>
        </is>
      </c>
      <c r="D18" s="8" t="inlineStr">
        <is>
          <t>3,001 ~ 5,000점</t>
        </is>
      </c>
      <c r="E18" s="8" t="inlineStr">
        <is>
          <t>시즌 보상: 골드 100,000 + 각성석 x5</t>
        </is>
      </c>
    </row>
    <row r="19">
      <c r="A19" s="9" t="inlineStr">
        <is>
          <t>마스터</t>
        </is>
      </c>
      <c r="B19" s="9" t="inlineStr">
        <is>
          <t>-</t>
        </is>
      </c>
      <c r="C19" s="9" t="inlineStr">
        <is>
          <t>-</t>
        </is>
      </c>
      <c r="D19" s="9" t="inlineStr">
        <is>
          <t>5,001점 이상</t>
        </is>
      </c>
      <c r="E19" s="9" t="inlineStr">
        <is>
          <t>시즌 보상: 골드 200,000 + 신화 소환권 x1</t>
        </is>
      </c>
    </row>
    <row r="20">
      <c r="A20" s="8" t="inlineStr">
        <is>
          <t>--- 시즌 보상표 ---</t>
        </is>
      </c>
      <c r="B20" s="8" t="inlineStr">
        <is>
          <t>---</t>
        </is>
      </c>
      <c r="C20" s="8" t="inlineStr">
        <is>
          <t>---</t>
        </is>
      </c>
      <c r="D20" s="8" t="inlineStr">
        <is>
          <t>---</t>
        </is>
      </c>
      <c r="E20" s="8" t="inlineStr">
        <is>
          <t>---</t>
        </is>
      </c>
    </row>
    <row r="21">
      <c r="A21" s="9" t="inlineStr">
        <is>
          <t>시즌 종료 등급 보상</t>
        </is>
      </c>
      <c r="B21" s="9" t="inlineStr">
        <is>
          <t>-</t>
        </is>
      </c>
      <c r="C21" s="9" t="inlineStr">
        <is>
          <t>-</t>
        </is>
      </c>
      <c r="D21" s="9" t="inlineStr">
        <is>
          <t>등급별 차등 지급</t>
        </is>
      </c>
      <c r="E21" s="9" t="inlineStr">
        <is>
          <t>시즌 종료 시 우편 지급</t>
        </is>
      </c>
    </row>
    <row r="22">
      <c r="A22" s="8" t="inlineStr">
        <is>
          <t>시즌 누적 랭킹 보상</t>
        </is>
      </c>
      <c r="B22" s="8" t="inlineStr">
        <is>
          <t>-</t>
        </is>
      </c>
      <c r="C22" s="8" t="inlineStr">
        <is>
          <t>-</t>
        </is>
      </c>
      <c r="D22" s="8" t="inlineStr">
        <is>
          <t>상위 1%/5%/10%/30%</t>
        </is>
      </c>
      <c r="E22" s="8" t="inlineStr">
        <is>
          <t>추가 칭호 + 한정 스킨</t>
        </is>
      </c>
    </row>
    <row r="23">
      <c r="A23" s="9" t="inlineStr">
        <is>
          <t>시즌 MVP</t>
        </is>
      </c>
      <c r="B23" s="9" t="inlineStr">
        <is>
          <t>-</t>
        </is>
      </c>
      <c r="C23" s="9" t="inlineStr">
        <is>
          <t>-</t>
        </is>
      </c>
      <c r="D23" s="9" t="inlineStr">
        <is>
          <t>총 점수 1위</t>
        </is>
      </c>
      <c r="E23" s="9" t="inlineStr">
        <is>
          <t>전용 칭호 "공성왕" + 신화 선택권</t>
        </is>
      </c>
    </row>
  </sheetData>
  <mergeCells count="1">
    <mergeCell ref="A1:E1"/>
  </mergeCell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8" customWidth="1" min="1" max="1"/>
    <col width="28" customWidth="1" min="2" max="2"/>
    <col width="28" customWidth="1" min="3" max="3"/>
    <col width="28" customWidth="1" min="4" max="4"/>
    <col width="24" customWidth="1" min="5" max="5"/>
  </cols>
  <sheetData>
    <row r="1">
      <c r="A1" s="6" t="inlineStr">
        <is>
          <t>최종 게임 플로우 다이어그램</t>
        </is>
      </c>
    </row>
    <row r="3">
      <c r="A3" s="7" t="inlineStr">
        <is>
          <t>단계</t>
        </is>
      </c>
      <c r="B3" s="7" t="inlineStr">
        <is>
          <t>콘텐츠</t>
        </is>
      </c>
      <c r="C3" s="7" t="inlineStr">
        <is>
          <t>연결</t>
        </is>
      </c>
      <c r="D3" s="7" t="inlineStr">
        <is>
          <t>보상 흐름</t>
        </is>
      </c>
      <c r="E3" s="7" t="inlineStr">
        <is>
          <t>핵심 재미</t>
        </is>
      </c>
    </row>
    <row r="4">
      <c r="A4" s="8" t="inlineStr">
        <is>
          <t>1</t>
        </is>
      </c>
      <c r="B4" s="8" t="inlineStr">
        <is>
          <t>첫 접속 / 계정 생성</t>
        </is>
      </c>
      <c r="C4" s="8" t="inlineStr">
        <is>
          <t>→ 튜토리얼</t>
        </is>
      </c>
      <c r="D4" s="8" t="inlineStr">
        <is>
          <t>-</t>
        </is>
      </c>
      <c r="E4" s="8" t="inlineStr">
        <is>
          <t>신규 유저 온보딩</t>
        </is>
      </c>
    </row>
    <row r="5">
      <c r="A5" s="9" t="inlineStr">
        <is>
          <t>2</t>
        </is>
      </c>
      <c r="B5" s="9" t="inlineStr">
        <is>
          <t>튜토리얼 (IO 기본 조작)</t>
        </is>
      </c>
      <c r="C5" s="9" t="inlineStr">
        <is>
          <t>→ IO 서바이벌</t>
        </is>
      </c>
      <c r="D5" s="9" t="inlineStr">
        <is>
          <t>초기 골드 + 기본 용병</t>
        </is>
      </c>
      <c r="E5" s="9" t="inlineStr">
        <is>
          <t>직관적 조작 학습</t>
        </is>
      </c>
    </row>
    <row r="6">
      <c r="A6" s="8" t="inlineStr">
        <is>
          <t>3</t>
        </is>
      </c>
      <c r="B6" s="8" t="inlineStr">
        <is>
          <t>IO 서바이벌 모드</t>
        </is>
      </c>
      <c r="C6" s="8" t="inlineStr">
        <is>
          <t>→ 용병 소환 해금</t>
        </is>
      </c>
      <c r="D6" s="8" t="inlineStr">
        <is>
          <t>골드, 카드 조각, 경험치</t>
        </is>
      </c>
      <c r="E6" s="8" t="inlineStr">
        <is>
          <t>PvP 긴장감, 성장 실감</t>
        </is>
      </c>
    </row>
    <row r="7">
      <c r="A7" s="9" t="inlineStr">
        <is>
          <t>4</t>
        </is>
      </c>
      <c r="B7" s="9" t="inlineStr">
        <is>
          <t>용병 소환 / 수집</t>
        </is>
      </c>
      <c r="C7" s="9" t="inlineStr">
        <is>
          <t>→ 도감 보상 / 편대 구성</t>
        </is>
      </c>
      <c r="D7" s="9" t="inlineStr">
        <is>
          <t>용병 카드, 도감 보상</t>
        </is>
      </c>
      <c r="E7" s="9" t="inlineStr">
        <is>
          <t>수집 욕구, 시너지 조합</t>
        </is>
      </c>
    </row>
    <row r="8">
      <c r="A8" s="8" t="inlineStr">
        <is>
          <t>5</t>
        </is>
      </c>
      <c r="B8" s="8" t="inlineStr">
        <is>
          <t>SLG 모드 진입 (성 건설)</t>
        </is>
      </c>
      <c r="C8" s="8" t="inlineStr">
        <is>
          <t>→ 자원 생산 / 건물 업그레이드</t>
        </is>
      </c>
      <c r="D8" s="8" t="inlineStr">
        <is>
          <t>자원 (식량·목재·철·골드)</t>
        </is>
      </c>
      <c r="E8" s="8" t="inlineStr">
        <is>
          <t>성장 계획, 전략적 건설</t>
        </is>
      </c>
    </row>
    <row r="9">
      <c r="A9" s="9" t="inlineStr">
        <is>
          <t>6</t>
        </is>
      </c>
      <c r="B9" s="9" t="inlineStr">
        <is>
          <t>편대 구성 &amp; 시너지</t>
        </is>
      </c>
      <c r="C9" s="9" t="inlineStr">
        <is>
          <t>→ 전투 효율 향상</t>
        </is>
      </c>
      <c r="D9" s="9" t="inlineStr">
        <is>
          <t>시너지 버프, 전투력 상승</t>
        </is>
      </c>
      <c r="E9" s="9" t="inlineStr">
        <is>
          <t>조합 최적화의 재미</t>
        </is>
      </c>
    </row>
    <row r="10">
      <c r="A10" s="8" t="inlineStr">
        <is>
          <t>7</t>
        </is>
      </c>
      <c r="B10" s="8" t="inlineStr">
        <is>
          <t>용병 강화 (레벨업·각성)</t>
        </is>
      </c>
      <c r="C10" s="8" t="inlineStr">
        <is>
          <t>→ 상위 콘텐츠 도전</t>
        </is>
      </c>
      <c r="D10" s="8" t="inlineStr">
        <is>
          <t>전투력 대폭 상승</t>
        </is>
      </c>
      <c r="E10" s="8" t="inlineStr">
        <is>
          <t>육성의 성취감</t>
        </is>
      </c>
    </row>
    <row r="11">
      <c r="A11" s="9" t="inlineStr">
        <is>
          <t>8</t>
        </is>
      </c>
      <c r="B11" s="9" t="inlineStr">
        <is>
          <t>월드맵 탐험 / 몬스터 사냥</t>
        </is>
      </c>
      <c r="C11" s="9" t="inlineStr">
        <is>
          <t>→ 자원 획득 / 도감 등록</t>
        </is>
      </c>
      <c r="D11" s="9" t="inlineStr">
        <is>
          <t>희귀 재료, 몬스터 카드</t>
        </is>
      </c>
      <c r="E11" s="9" t="inlineStr">
        <is>
          <t>탐험과 발견의 재미</t>
        </is>
      </c>
    </row>
    <row r="12">
      <c r="A12" s="8" t="inlineStr">
        <is>
          <t>9</t>
        </is>
      </c>
      <c r="B12" s="8" t="inlineStr">
        <is>
          <t>길드 가입</t>
        </is>
      </c>
      <c r="C12" s="8" t="inlineStr">
        <is>
          <t>→ 길드 컨텐츠 해금</t>
        </is>
      </c>
      <c r="D12" s="8" t="inlineStr">
        <is>
          <t>길드 버프, 길드 상점</t>
        </is>
      </c>
      <c r="E12" s="8" t="inlineStr">
        <is>
          <t>사회적 연결, 소속감</t>
        </is>
      </c>
    </row>
    <row r="13">
      <c r="A13" s="9" t="inlineStr">
        <is>
          <t>10</t>
        </is>
      </c>
      <c r="B13" s="9" t="inlineStr">
        <is>
          <t>길드 공성전 참가</t>
        </is>
      </c>
      <c r="C13" s="9" t="inlineStr">
        <is>
          <t>→ 시즌 점수 누적</t>
        </is>
      </c>
      <c r="D13" s="9" t="inlineStr">
        <is>
          <t>공성 점수, 시즌 보상</t>
        </is>
      </c>
      <c r="E13" s="9" t="inlineStr">
        <is>
          <t>대규모 PvP, 협동 전략</t>
        </is>
      </c>
    </row>
    <row r="14">
      <c r="A14" s="8" t="inlineStr">
        <is>
          <t>11</t>
        </is>
      </c>
      <c r="B14" s="8" t="inlineStr">
        <is>
          <t>시즌 등급 달성</t>
        </is>
      </c>
      <c r="C14" s="8" t="inlineStr">
        <is>
          <t>→ 시즌 보상 수령</t>
        </is>
      </c>
      <c r="D14" s="8" t="inlineStr">
        <is>
          <t>등급별 보상 (골드·소환권 등)</t>
        </is>
      </c>
      <c r="E14" s="8" t="inlineStr">
        <is>
          <t>경쟁의 성취감</t>
        </is>
      </c>
    </row>
    <row r="15">
      <c r="A15" s="9" t="inlineStr">
        <is>
          <t>12</t>
        </is>
      </c>
      <c r="B15" s="9" t="inlineStr">
        <is>
          <t>유대 시스템 해금</t>
        </is>
      </c>
      <c r="C15" s="9" t="inlineStr">
        <is>
          <t>→ 용병 간 유대 스토리</t>
        </is>
      </c>
      <c r="D15" s="9" t="inlineStr">
        <is>
          <t>유대 버프, 스토리 보상</t>
        </is>
      </c>
      <c r="E15" s="9" t="inlineStr">
        <is>
          <t>스토리 몰입, 감정 연결</t>
        </is>
      </c>
    </row>
    <row r="16">
      <c r="A16" s="8" t="inlineStr">
        <is>
          <t>13</t>
        </is>
      </c>
      <c r="B16" s="8" t="inlineStr">
        <is>
          <t>초월 시스템 (고급 육성)</t>
        </is>
      </c>
      <c r="C16" s="8" t="inlineStr">
        <is>
          <t>→ 최강 편대 구축</t>
        </is>
      </c>
      <c r="D16" s="8" t="inlineStr">
        <is>
          <t>초월 스탯, 특수 스킬</t>
        </is>
      </c>
      <c r="E16" s="8" t="inlineStr">
        <is>
          <t>한계 돌파의 쾌감</t>
        </is>
      </c>
    </row>
    <row r="17">
      <c r="A17" s="9" t="inlineStr">
        <is>
          <t>14</t>
        </is>
      </c>
      <c r="B17" s="9" t="inlineStr">
        <is>
          <t>랭킹전 / PvP 아레나</t>
        </is>
      </c>
      <c r="C17" s="9" t="inlineStr">
        <is>
          <t>→ 서버 내 순위 경쟁</t>
        </is>
      </c>
      <c r="D17" s="9" t="inlineStr">
        <is>
          <t>아레나 코인, 한정 보상</t>
        </is>
      </c>
      <c r="E17" s="9" t="inlineStr">
        <is>
          <t>실력 증명, 랭킹 경쟁</t>
        </is>
      </c>
    </row>
    <row r="18">
      <c r="A18" s="8" t="inlineStr">
        <is>
          <t>15</t>
        </is>
      </c>
      <c r="B18" s="8" t="inlineStr">
        <is>
          <t>서버 대전 (크로스 서버)</t>
        </is>
      </c>
      <c r="C18" s="8" t="inlineStr">
        <is>
          <t>→ 다른 서버와 대결</t>
        </is>
      </c>
      <c r="D18" s="8" t="inlineStr">
        <is>
          <t>서버 대전 전용 보상</t>
        </is>
      </c>
      <c r="E18" s="8" t="inlineStr">
        <is>
          <t>서버 자존심, 대규모 전쟁</t>
        </is>
      </c>
    </row>
    <row r="19">
      <c r="A19" s="9" t="inlineStr">
        <is>
          <t>16</t>
        </is>
      </c>
      <c r="B19" s="9" t="inlineStr">
        <is>
          <t>차원 정복 (엔드게임 PvE)</t>
        </is>
      </c>
      <c r="C19" s="9" t="inlineStr">
        <is>
          <t>→ 최고 난이도 도전</t>
        </is>
      </c>
      <c r="D19" s="9" t="inlineStr">
        <is>
          <t>신화 장비, 초월 재료</t>
        </is>
      </c>
      <c r="E19" s="9" t="inlineStr">
        <is>
          <t>도전과 정복의 재미</t>
        </is>
      </c>
    </row>
    <row r="20">
      <c r="A20" s="8" t="inlineStr">
        <is>
          <t>17</t>
        </is>
      </c>
      <c r="B20" s="8" t="inlineStr">
        <is>
          <t>콘텐츠 순환 (일일/주간)</t>
        </is>
      </c>
      <c r="C20" s="8" t="inlineStr">
        <is>
          <t>→ 전 시스템 순환 플레이</t>
        </is>
      </c>
      <c r="D20" s="8" t="inlineStr">
        <is>
          <t>일일 보상, 주간 미션 보상</t>
        </is>
      </c>
      <c r="E20" s="8" t="inlineStr">
        <is>
          <t>매일 플레이 동기</t>
        </is>
      </c>
    </row>
    <row r="21">
      <c r="A21" s="9" t="inlineStr">
        <is>
          <t>18</t>
        </is>
      </c>
      <c r="B21" s="9" t="inlineStr">
        <is>
          <t>이벤트 / 시즌 콘텐츠</t>
        </is>
      </c>
      <c r="C21" s="9" t="inlineStr">
        <is>
          <t>→ 한정 보상, 복귀 유도</t>
        </is>
      </c>
      <c r="D21" s="9" t="inlineStr">
        <is>
          <t>한정 스킨, 이벤트 재화</t>
        </is>
      </c>
      <c r="E21" s="9" t="inlineStr">
        <is>
          <t>신선함, 복귀 동기</t>
        </is>
      </c>
    </row>
    <row r="22">
      <c r="A22" s="8" t="inlineStr">
        <is>
          <t>19</t>
        </is>
      </c>
      <c r="B22" s="8" t="inlineStr">
        <is>
          <t>도감 완성 / 칭호 수집</t>
        </is>
      </c>
      <c r="C22" s="8" t="inlineStr">
        <is>
          <t>→ 전 콘텐츠 연결</t>
        </is>
      </c>
      <c r="D22" s="8" t="inlineStr">
        <is>
          <t>도감 보상, 칭호 효과</t>
        </is>
      </c>
      <c r="E22" s="8" t="inlineStr">
        <is>
          <t>완전 정복의 만족감</t>
        </is>
      </c>
    </row>
    <row r="23">
      <c r="A23" s="9" t="inlineStr">
        <is>
          <t>20</t>
        </is>
      </c>
      <c r="B23" s="9" t="inlineStr">
        <is>
          <t>최종 목표: 서버 최강자</t>
        </is>
      </c>
      <c r="C23" s="9" t="inlineStr">
        <is>
          <t>← 전 시스템 통합</t>
        </is>
      </c>
      <c r="D23" s="9" t="inlineStr">
        <is>
          <t>명예의 전당, 전설 칭호</t>
        </is>
      </c>
      <c r="E23" s="9" t="inlineStr">
        <is>
          <t>장기 목표와 성취</t>
        </is>
      </c>
    </row>
  </sheetData>
  <mergeCells count="1">
    <mergeCell ref="A1:E1"/>
  </mergeCell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2" customWidth="1" min="1" max="1"/>
    <col width="50" customWidth="1" min="2" max="2"/>
    <col width="16" customWidth="1" min="3" max="3"/>
    <col width="42" customWidth="1" min="4" max="4"/>
  </cols>
  <sheetData>
    <row r="1">
      <c r="A1" s="6" t="inlineStr">
        <is>
          <t>진영 전쟁 상세 규칙</t>
        </is>
      </c>
    </row>
    <row r="3">
      <c r="A3" s="7" t="inlineStr">
        <is>
          <t>항목</t>
        </is>
      </c>
      <c r="B3" s="7" t="inlineStr">
        <is>
          <t>상세</t>
        </is>
      </c>
      <c r="C3" s="7" t="inlineStr">
        <is>
          <t>수치</t>
        </is>
      </c>
      <c r="D3" s="7" t="inlineStr">
        <is>
          <t>전략 팁</t>
        </is>
      </c>
    </row>
    <row r="4">
      <c r="A4" s="8" t="inlineStr">
        <is>
          <t>참가 조건</t>
        </is>
      </c>
      <c r="B4" s="8" t="inlineStr">
        <is>
          <t>플레이어 레벨 15 이상 &amp; 진영 선택 완료</t>
        </is>
      </c>
      <c r="C4" s="8" t="inlineStr">
        <is>
          <t>레벨 15+</t>
        </is>
      </c>
      <c r="D4" s="8" t="inlineStr">
        <is>
          <t>초반에 진영 선택을 서두르면 버프를 빨리 받을 수 있음</t>
        </is>
      </c>
    </row>
    <row r="5">
      <c r="A5" s="9" t="inlineStr">
        <is>
          <t>참가 조건</t>
        </is>
      </c>
      <c r="B5" s="9" t="inlineStr">
        <is>
          <t>길드 소속 필수 (최소 5인 길드)</t>
        </is>
      </c>
      <c r="C5" s="9" t="inlineStr">
        <is>
          <t>길드원 5명+</t>
        </is>
      </c>
      <c r="D5" s="9" t="inlineStr">
        <is>
          <t>소규모 길드도 연합 참여 가능</t>
        </is>
      </c>
    </row>
    <row r="6">
      <c r="A6" s="8" t="inlineStr">
        <is>
          <t>영토 구성</t>
        </is>
      </c>
      <c r="B6" s="8" t="inlineStr">
        <is>
          <t>전체 7개 지역으로 구성 (평원/산악/해안/사막/숲/설원/화산)</t>
        </is>
      </c>
      <c r="C6" s="8" t="inlineStr">
        <is>
          <t>7지역</t>
        </is>
      </c>
      <c r="D6" s="8" t="inlineStr">
        <is>
          <t>각 지역마다 고유 지형 효과 존재</t>
        </is>
      </c>
    </row>
    <row r="7">
      <c r="A7" s="9" t="inlineStr">
        <is>
          <t>영토 점령 규칙</t>
        </is>
      </c>
      <c r="B7" s="9" t="inlineStr">
        <is>
          <t>해당 지역 거점에 깃발을 꽂고 5분간 유지 시 점령 완료</t>
        </is>
      </c>
      <c r="C7" s="9" t="inlineStr">
        <is>
          <t>5분 유지</t>
        </is>
      </c>
      <c r="D7" s="9" t="inlineStr">
        <is>
          <t>적 처치보다 거점 사수가 우선</t>
        </is>
      </c>
    </row>
    <row r="8">
      <c r="A8" s="8" t="inlineStr">
        <is>
          <t>영토 점령 규칙</t>
        </is>
      </c>
      <c r="B8" s="8" t="inlineStr">
        <is>
          <t>점령 중 적 진영 플레이어가 거점 진입 시 점령 게이지 중단</t>
        </is>
      </c>
      <c r="C8" s="8" t="inlineStr">
        <is>
          <t>즉시 중단</t>
        </is>
      </c>
      <c r="D8" s="8" t="inlineStr">
        <is>
          <t>소수 교란병이 매우 효과적</t>
        </is>
      </c>
    </row>
    <row r="9">
      <c r="A9" s="9" t="inlineStr">
        <is>
          <t>영토 점령 규칙</t>
        </is>
      </c>
      <c r="B9" s="9" t="inlineStr">
        <is>
          <t>동시 점령 시도 시 인원수가 많은 진영이 게이지 우선</t>
        </is>
      </c>
      <c r="C9" s="9" t="inlineStr">
        <is>
          <t>인원 비례</t>
        </is>
      </c>
      <c r="D9" s="9" t="inlineStr">
        <is>
          <t>병력 집중 vs 분산 점령 전략 선택</t>
        </is>
      </c>
    </row>
    <row r="10">
      <c r="A10" s="8" t="inlineStr">
        <is>
          <t>대규모 전투</t>
        </is>
      </c>
      <c r="B10" s="8" t="inlineStr">
        <is>
          <t>최대 20인 동시 IO 전투 (4진영 x 5인)</t>
        </is>
      </c>
      <c r="C10" s="8" t="inlineStr">
        <is>
          <t>20인 최대</t>
        </is>
      </c>
      <c r="D10" s="8" t="inlineStr">
        <is>
          <t>팀 시너지 편성이 개인 전투력보다 중요</t>
        </is>
      </c>
    </row>
    <row r="11">
      <c r="A11" s="9" t="inlineStr">
        <is>
          <t>대규모 전투</t>
        </is>
      </c>
      <c r="B11" s="9" t="inlineStr">
        <is>
          <t>전투 시작 30초 전 진영별 대기 구역 배정</t>
        </is>
      </c>
      <c r="C11" s="9" t="inlineStr">
        <is>
          <t>30초 대기</t>
        </is>
      </c>
      <c r="D11" s="9" t="inlineStr">
        <is>
          <t>대기 시간에 편대 구성 최종 조정</t>
        </is>
      </c>
    </row>
    <row r="12">
      <c r="A12" s="8" t="inlineStr">
        <is>
          <t>대규모 전투</t>
        </is>
      </c>
      <c r="B12" s="8" t="inlineStr">
        <is>
          <t>부활 시간 10초, 최대 3회 부활 가능</t>
        </is>
      </c>
      <c r="C12" s="8" t="inlineStr">
        <is>
          <t>10초 / 3회</t>
        </is>
      </c>
      <c r="D12" s="8" t="inlineStr">
        <is>
          <t>부활 횟수 관리가 승패를 가름</t>
        </is>
      </c>
    </row>
    <row r="13">
      <c r="A13" s="9" t="inlineStr">
        <is>
          <t>진영 버프 - 불의 군단</t>
        </is>
      </c>
      <c r="B13" s="9" t="inlineStr">
        <is>
          <t>공격력 +15%, 스킬 쿨다운 -10%</t>
        </is>
      </c>
      <c r="C13" s="9" t="inlineStr">
        <is>
          <t>공 +15%</t>
        </is>
      </c>
      <c r="D13" s="9" t="inlineStr">
        <is>
          <t>화산·사막 지역에서 추가 공격력 +5%</t>
        </is>
      </c>
    </row>
    <row r="14">
      <c r="A14" s="8" t="inlineStr">
        <is>
          <t>진영 버프 - 바람의 연맹</t>
        </is>
      </c>
      <c r="B14" s="8" t="inlineStr">
        <is>
          <t>이동속도 +20%, 회피율 +10%</t>
        </is>
      </c>
      <c r="C14" s="8" t="inlineStr">
        <is>
          <t>이속 +20%</t>
        </is>
      </c>
      <c r="D14" s="8" t="inlineStr">
        <is>
          <t>평원·해안에서 이동속도 추가 +10%</t>
        </is>
      </c>
    </row>
    <row r="15">
      <c r="A15" s="9" t="inlineStr">
        <is>
          <t>진영 버프 - 대지의 수호자</t>
        </is>
      </c>
      <c r="B15" s="9" t="inlineStr">
        <is>
          <t>방어력 +20%, HP +15%</t>
        </is>
      </c>
      <c r="C15" s="9" t="inlineStr">
        <is>
          <t>방 +20%</t>
        </is>
      </c>
      <c r="D15" s="9" t="inlineStr">
        <is>
          <t>산악·숲 지역에서 방어력 추가 +10%</t>
        </is>
      </c>
    </row>
    <row r="16">
      <c r="A16" s="8" t="inlineStr">
        <is>
          <t>진영 버프 - 얼음의 왕국</t>
        </is>
      </c>
      <c r="B16" s="8" t="inlineStr">
        <is>
          <t>CC 지속시간 +20%, 마법 저항 +15%</t>
        </is>
      </c>
      <c r="C16" s="8" t="inlineStr">
        <is>
          <t>CC +20%</t>
        </is>
      </c>
      <c r="D16" s="8" t="inlineStr">
        <is>
          <t>설원 지역에서 CC 효과 추가 +10%</t>
        </is>
      </c>
    </row>
    <row r="17">
      <c r="A17" s="9" t="inlineStr">
        <is>
          <t>카운터 관계</t>
        </is>
      </c>
      <c r="B17" s="9" t="inlineStr">
        <is>
          <t>불 → 바람 → 대지 → 얼음 → 불 (상성 순환)</t>
        </is>
      </c>
      <c r="C17" s="9" t="inlineStr">
        <is>
          <t>피해 +10%</t>
        </is>
      </c>
      <c r="D17" s="9" t="inlineStr">
        <is>
          <t>상성 우위 시 추가 피해 10% 적용</t>
        </is>
      </c>
    </row>
    <row r="18">
      <c r="A18" s="8" t="inlineStr">
        <is>
          <t>카운터 관계</t>
        </is>
      </c>
      <c r="B18" s="8" t="inlineStr">
        <is>
          <t>같은 진영끼리는 상성 없음, 기본 전투력으로 대결</t>
        </is>
      </c>
      <c r="C18" s="8" t="inlineStr">
        <is>
          <t>상성 없음</t>
        </is>
      </c>
      <c r="D18" s="8" t="inlineStr">
        <is>
          <t>동일 진영 내전 시 순수 실력 대결</t>
        </is>
      </c>
    </row>
    <row r="19">
      <c r="A19" s="9" t="inlineStr">
        <is>
          <t>보상 - 영토 1개</t>
        </is>
      </c>
      <c r="B19" s="9" t="inlineStr">
        <is>
          <t>골드 5,000 + 자원 상자 x1</t>
        </is>
      </c>
      <c r="C19" s="9" t="inlineStr">
        <is>
          <t>일일 보상</t>
        </is>
      </c>
      <c r="D19" s="9" t="inlineStr">
        <is>
          <t>최소 1개 영토 확보가 기본 목표</t>
        </is>
      </c>
    </row>
    <row r="20">
      <c r="A20" s="8" t="inlineStr">
        <is>
          <t>보상 - 영토 3개</t>
        </is>
      </c>
      <c r="B20" s="8" t="inlineStr">
        <is>
          <t>골드 15,000 + 희귀 소환권 x1 + 자원 상자 x3</t>
        </is>
      </c>
      <c r="C20" s="8" t="inlineStr">
        <is>
          <t>일일 보상</t>
        </is>
      </c>
      <c r="D20" s="8" t="inlineStr">
        <is>
          <t>안정적 3개 확보 시 성장 속도 2배</t>
        </is>
      </c>
    </row>
    <row r="21">
      <c r="A21" s="9" t="inlineStr">
        <is>
          <t>보상 - 영토 5개</t>
        </is>
      </c>
      <c r="B21" s="9" t="inlineStr">
        <is>
          <t>골드 30,000 + 전설 소환권 x1 + 초월석 x1</t>
        </is>
      </c>
      <c r="C21" s="9" t="inlineStr">
        <is>
          <t>일일 보상</t>
        </is>
      </c>
      <c r="D21" s="9" t="inlineStr">
        <is>
          <t>5개 이상은 서버 최강 진영만 가능</t>
        </is>
      </c>
    </row>
    <row r="22">
      <c r="A22" s="8" t="inlineStr">
        <is>
          <t>시즌 1위 보상</t>
        </is>
      </c>
      <c r="B22" s="8" t="inlineStr">
        <is>
          <t>진영 전용 칭호 "대륙의 지배자" + 신화 소환권 x1 + 다이아 1,000</t>
        </is>
      </c>
      <c r="C22" s="8" t="inlineStr">
        <is>
          <t>시즌 종료</t>
        </is>
      </c>
      <c r="D22" s="8" t="inlineStr">
        <is>
          <t>시즌 1위는 서버 전체에 공지</t>
        </is>
      </c>
    </row>
    <row r="23">
      <c r="A23" s="9" t="inlineStr">
        <is>
          <t>시즌 규칙</t>
        </is>
      </c>
      <c r="B23" s="9" t="inlineStr">
        <is>
          <t>시즌 기간 4주, 매주 영토 보유 현황 집계</t>
        </is>
      </c>
      <c r="C23" s="9" t="inlineStr">
        <is>
          <t>4주 시즌</t>
        </is>
      </c>
      <c r="D23" s="9" t="inlineStr">
        <is>
          <t>후반 역전이 가능하도록 후반 점수 1.5배</t>
        </is>
      </c>
    </row>
  </sheetData>
  <mergeCells count="1">
    <mergeCell ref="A1:D1"/>
  </mergeCell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4" customWidth="1" min="1" max="1"/>
    <col width="16" customWidth="1" min="2" max="2"/>
    <col width="20" customWidth="1" min="3" max="3"/>
    <col width="14" customWidth="1" min="4" max="4"/>
    <col width="34" customWidth="1" min="5" max="5"/>
    <col width="28" customWidth="1" min="6" max="6"/>
  </cols>
  <sheetData>
    <row r="1">
      <c r="A1" s="6" t="inlineStr">
        <is>
          <t>마을별 상점 아이템 전체 목록</t>
        </is>
      </c>
    </row>
    <row r="3">
      <c r="A3" s="7" t="inlineStr">
        <is>
          <t>마을</t>
        </is>
      </c>
      <c r="B3" s="7" t="inlineStr">
        <is>
          <t>상점 종류</t>
        </is>
      </c>
      <c r="C3" s="7" t="inlineStr">
        <is>
          <t>아이템</t>
        </is>
      </c>
      <c r="D3" s="7" t="inlineStr">
        <is>
          <t>가격</t>
        </is>
      </c>
      <c r="E3" s="7" t="inlineStr">
        <is>
          <t>효과</t>
        </is>
      </c>
      <c r="F3" s="7" t="inlineStr">
        <is>
          <t>해금 조건</t>
        </is>
      </c>
    </row>
    <row r="4">
      <c r="A4" s="8" t="inlineStr">
        <is>
          <t>바람개비</t>
        </is>
      </c>
      <c r="B4" s="8" t="inlineStr">
        <is>
          <t>무기 상점</t>
        </is>
      </c>
      <c r="C4" s="8" t="inlineStr">
        <is>
          <t>초보자의 검</t>
        </is>
      </c>
      <c r="D4" s="8" t="inlineStr">
        <is>
          <t>500 골드</t>
        </is>
      </c>
      <c r="E4" s="8" t="inlineStr">
        <is>
          <t>공격력 +10</t>
        </is>
      </c>
      <c r="F4" s="8" t="inlineStr">
        <is>
          <t>없음 (기본)</t>
        </is>
      </c>
    </row>
    <row r="5">
      <c r="A5" s="9" t="inlineStr">
        <is>
          <t>바람개비</t>
        </is>
      </c>
      <c r="B5" s="9" t="inlineStr">
        <is>
          <t>무기 상점</t>
        </is>
      </c>
      <c r="C5" s="9" t="inlineStr">
        <is>
          <t>강철 대검</t>
        </is>
      </c>
      <c r="D5" s="9" t="inlineStr">
        <is>
          <t>2,000 골드</t>
        </is>
      </c>
      <c r="E5" s="9" t="inlineStr">
        <is>
          <t>공격력 +30</t>
        </is>
      </c>
      <c r="F5" s="9" t="inlineStr">
        <is>
          <t>레벨 5</t>
        </is>
      </c>
    </row>
    <row r="6">
      <c r="A6" s="8" t="inlineStr">
        <is>
          <t>바람개비</t>
        </is>
      </c>
      <c r="B6" s="8" t="inlineStr">
        <is>
          <t>방어구 상점</t>
        </is>
      </c>
      <c r="C6" s="8" t="inlineStr">
        <is>
          <t>가죽 갑옷</t>
        </is>
      </c>
      <c r="D6" s="8" t="inlineStr">
        <is>
          <t>800 골드</t>
        </is>
      </c>
      <c r="E6" s="8" t="inlineStr">
        <is>
          <t>방어력 +8</t>
        </is>
      </c>
      <c r="F6" s="8" t="inlineStr">
        <is>
          <t>없음 (기본)</t>
        </is>
      </c>
    </row>
    <row r="7">
      <c r="A7" s="9" t="inlineStr">
        <is>
          <t>바람개비</t>
        </is>
      </c>
      <c r="B7" s="9" t="inlineStr">
        <is>
          <t>방어구 상점</t>
        </is>
      </c>
      <c r="C7" s="9" t="inlineStr">
        <is>
          <t>철제 갑옷</t>
        </is>
      </c>
      <c r="D7" s="9" t="inlineStr">
        <is>
          <t>3,000 골드</t>
        </is>
      </c>
      <c r="E7" s="9" t="inlineStr">
        <is>
          <t>방어력 +25</t>
        </is>
      </c>
      <c r="F7" s="9" t="inlineStr">
        <is>
          <t>레벨 10</t>
        </is>
      </c>
    </row>
    <row r="8">
      <c r="A8" s="8" t="inlineStr">
        <is>
          <t>바람개비</t>
        </is>
      </c>
      <c r="B8" s="8" t="inlineStr">
        <is>
          <t>물약 상점</t>
        </is>
      </c>
      <c r="C8" s="8" t="inlineStr">
        <is>
          <t>HP 포션 (소)</t>
        </is>
      </c>
      <c r="D8" s="8" t="inlineStr">
        <is>
          <t>50 골드</t>
        </is>
      </c>
      <c r="E8" s="8" t="inlineStr">
        <is>
          <t>HP 200 회복</t>
        </is>
      </c>
      <c r="F8" s="8" t="inlineStr">
        <is>
          <t>없음 (기본)</t>
        </is>
      </c>
    </row>
    <row r="9">
      <c r="A9" s="9" t="inlineStr">
        <is>
          <t>별빛항구</t>
        </is>
      </c>
      <c r="B9" s="9" t="inlineStr">
        <is>
          <t>해상 장비점</t>
        </is>
      </c>
      <c r="C9" s="9" t="inlineStr">
        <is>
          <t>선원의 앵커</t>
        </is>
      </c>
      <c r="D9" s="9" t="inlineStr">
        <is>
          <t>4,000 골드</t>
        </is>
      </c>
      <c r="E9" s="9" t="inlineStr">
        <is>
          <t>공격력 +35, 해상 전투력 +10%</t>
        </is>
      </c>
      <c r="F9" s="9" t="inlineStr">
        <is>
          <t>레벨 12</t>
        </is>
      </c>
    </row>
    <row r="10">
      <c r="A10" s="8" t="inlineStr">
        <is>
          <t>별빛항구</t>
        </is>
      </c>
      <c r="B10" s="8" t="inlineStr">
        <is>
          <t>해상 장비점</t>
        </is>
      </c>
      <c r="C10" s="8" t="inlineStr">
        <is>
          <t>방수 외투</t>
        </is>
      </c>
      <c r="D10" s="8" t="inlineStr">
        <is>
          <t>3,500 골드</t>
        </is>
      </c>
      <c r="E10" s="8" t="inlineStr">
        <is>
          <t>방어력 +20, 해상 이속 +15%</t>
        </is>
      </c>
      <c r="F10" s="8" t="inlineStr">
        <is>
          <t>레벨 12</t>
        </is>
      </c>
    </row>
    <row r="11">
      <c r="A11" s="9" t="inlineStr">
        <is>
          <t>별빛항구</t>
        </is>
      </c>
      <c r="B11" s="9" t="inlineStr">
        <is>
          <t>낚시 도구점</t>
        </is>
      </c>
      <c r="C11" s="9" t="inlineStr">
        <is>
          <t>기본 낚싯대</t>
        </is>
      </c>
      <c r="D11" s="9" t="inlineStr">
        <is>
          <t>1,000 골드</t>
        </is>
      </c>
      <c r="E11" s="9" t="inlineStr">
        <is>
          <t>낚시 가능 (일반 어종)</t>
        </is>
      </c>
      <c r="F11" s="9" t="inlineStr">
        <is>
          <t>없음</t>
        </is>
      </c>
    </row>
    <row r="12">
      <c r="A12" s="8" t="inlineStr">
        <is>
          <t>별빛항구</t>
        </is>
      </c>
      <c r="B12" s="8" t="inlineStr">
        <is>
          <t>낚시 도구점</t>
        </is>
      </c>
      <c r="C12" s="8" t="inlineStr">
        <is>
          <t>강화 낚싯대</t>
        </is>
      </c>
      <c r="D12" s="8" t="inlineStr">
        <is>
          <t>5,000 골드</t>
        </is>
      </c>
      <c r="E12" s="8" t="inlineStr">
        <is>
          <t>희귀 어종 확률 +20%</t>
        </is>
      </c>
      <c r="F12" s="8" t="inlineStr">
        <is>
          <t>낚시 숙련도 3</t>
        </is>
      </c>
    </row>
    <row r="13">
      <c r="A13" s="9" t="inlineStr">
        <is>
          <t>달빛오아시스</t>
        </is>
      </c>
      <c r="B13" s="9" t="inlineStr">
        <is>
          <t>약초 상점</t>
        </is>
      </c>
      <c r="C13" s="9" t="inlineStr">
        <is>
          <t>생명의 풀</t>
        </is>
      </c>
      <c r="D13" s="9" t="inlineStr">
        <is>
          <t>200 골드</t>
        </is>
      </c>
      <c r="E13" s="9" t="inlineStr">
        <is>
          <t>HP 500 회복 (전투 중 사용)</t>
        </is>
      </c>
      <c r="F13" s="9" t="inlineStr">
        <is>
          <t>없음</t>
        </is>
      </c>
    </row>
    <row r="14">
      <c r="A14" s="8" t="inlineStr">
        <is>
          <t>달빛오아시스</t>
        </is>
      </c>
      <c r="B14" s="8" t="inlineStr">
        <is>
          <t>약초 상점</t>
        </is>
      </c>
      <c r="C14" s="8" t="inlineStr">
        <is>
          <t>정화의 꽃</t>
        </is>
      </c>
      <c r="D14" s="8" t="inlineStr">
        <is>
          <t>500 골드</t>
        </is>
      </c>
      <c r="E14" s="8" t="inlineStr">
        <is>
          <t>디버프 1개 제거</t>
        </is>
      </c>
      <c r="F14" s="8" t="inlineStr">
        <is>
          <t>레벨 8</t>
        </is>
      </c>
    </row>
    <row r="15">
      <c r="A15" s="9" t="inlineStr">
        <is>
          <t>달빛오아시스</t>
        </is>
      </c>
      <c r="B15" s="9" t="inlineStr">
        <is>
          <t>회복약 상점</t>
        </is>
      </c>
      <c r="C15" s="9" t="inlineStr">
        <is>
          <t>고급 HP 포션</t>
        </is>
      </c>
      <c r="D15" s="9" t="inlineStr">
        <is>
          <t>300 골드</t>
        </is>
      </c>
      <c r="E15" s="9" t="inlineStr">
        <is>
          <t>HP 800 회복</t>
        </is>
      </c>
      <c r="F15" s="9" t="inlineStr">
        <is>
          <t>레벨 10</t>
        </is>
      </c>
    </row>
    <row r="16">
      <c r="A16" s="8" t="inlineStr">
        <is>
          <t>달빛오아시스</t>
        </is>
      </c>
      <c r="B16" s="8" t="inlineStr">
        <is>
          <t>회복약 상점</t>
        </is>
      </c>
      <c r="C16" s="8" t="inlineStr">
        <is>
          <t>재생의 비약</t>
        </is>
      </c>
      <c r="D16" s="8" t="inlineStr">
        <is>
          <t>1,500 골드</t>
        </is>
      </c>
      <c r="E16" s="8" t="inlineStr">
        <is>
          <t>10초간 HP 초당 100 회복</t>
        </is>
      </c>
      <c r="F16" s="8" t="inlineStr">
        <is>
          <t>레벨 15</t>
        </is>
      </c>
    </row>
    <row r="17">
      <c r="A17" s="9" t="inlineStr">
        <is>
          <t>구름마루</t>
        </is>
      </c>
      <c r="B17" s="9" t="inlineStr">
        <is>
          <t>광석 상점</t>
        </is>
      </c>
      <c r="C17" s="9" t="inlineStr">
        <is>
          <t>철광석 x10</t>
        </is>
      </c>
      <c r="D17" s="9" t="inlineStr">
        <is>
          <t>1,000 골드</t>
        </is>
      </c>
      <c r="E17" s="9" t="inlineStr">
        <is>
          <t>장비 제작 재료</t>
        </is>
      </c>
      <c r="F17" s="9" t="inlineStr">
        <is>
          <t>없음</t>
        </is>
      </c>
    </row>
    <row r="18">
      <c r="A18" s="8" t="inlineStr">
        <is>
          <t>구름마루</t>
        </is>
      </c>
      <c r="B18" s="8" t="inlineStr">
        <is>
          <t>광석 상점</t>
        </is>
      </c>
      <c r="C18" s="8" t="inlineStr">
        <is>
          <t>미스릴 원석</t>
        </is>
      </c>
      <c r="D18" s="8" t="inlineStr">
        <is>
          <t>5,000 골드</t>
        </is>
      </c>
      <c r="E18" s="8" t="inlineStr">
        <is>
          <t>고급 장비 제작 재료</t>
        </is>
      </c>
      <c r="F18" s="8" t="inlineStr">
        <is>
          <t>레벨 20</t>
        </is>
      </c>
    </row>
    <row r="19">
      <c r="A19" s="9" t="inlineStr">
        <is>
          <t>구름마루</t>
        </is>
      </c>
      <c r="B19" s="9" t="inlineStr">
        <is>
          <t>제작 재료점</t>
        </is>
      </c>
      <c r="C19" s="9" t="inlineStr">
        <is>
          <t>마법 촉매</t>
        </is>
      </c>
      <c r="D19" s="9" t="inlineStr">
        <is>
          <t>2,000 골드</t>
        </is>
      </c>
      <c r="E19" s="9" t="inlineStr">
        <is>
          <t>마법 장비 제작 필수 재료</t>
        </is>
      </c>
      <c r="F19" s="9" t="inlineStr">
        <is>
          <t>레벨 15</t>
        </is>
      </c>
    </row>
    <row r="20">
      <c r="A20" s="8" t="inlineStr">
        <is>
          <t>구름마루</t>
        </is>
      </c>
      <c r="B20" s="8" t="inlineStr">
        <is>
          <t>제작 재료점</t>
        </is>
      </c>
      <c r="C20" s="8" t="inlineStr">
        <is>
          <t>용의 비늘</t>
        </is>
      </c>
      <c r="D20" s="8" t="inlineStr">
        <is>
          <t>8,000 골드</t>
        </is>
      </c>
      <c r="E20" s="8" t="inlineStr">
        <is>
          <t>전설 장비 제작 재료</t>
        </is>
      </c>
      <c r="F20" s="8" t="inlineStr">
        <is>
          <t>레벨 25</t>
        </is>
      </c>
    </row>
    <row r="21">
      <c r="A21" s="9" t="inlineStr">
        <is>
          <t>신전마을</t>
        </is>
      </c>
      <c r="B21" s="9" t="inlineStr">
        <is>
          <t>마법 상점</t>
        </is>
      </c>
      <c r="C21" s="9" t="inlineStr">
        <is>
          <t>보호의 부적</t>
        </is>
      </c>
      <c r="D21" s="9" t="inlineStr">
        <is>
          <t>3,000 골드</t>
        </is>
      </c>
      <c r="E21" s="9" t="inlineStr">
        <is>
          <t>피격 시 1회 데미지 50% 감소</t>
        </is>
      </c>
      <c r="F21" s="9" t="inlineStr">
        <is>
          <t>레벨 15</t>
        </is>
      </c>
    </row>
    <row r="22">
      <c r="A22" s="8" t="inlineStr">
        <is>
          <t>신전마을</t>
        </is>
      </c>
      <c r="B22" s="8" t="inlineStr">
        <is>
          <t>마법 상점</t>
        </is>
      </c>
      <c r="C22" s="8" t="inlineStr">
        <is>
          <t>신성한 축복서</t>
        </is>
      </c>
      <c r="D22" s="8" t="inlineStr">
        <is>
          <t>10,000 골드</t>
        </is>
      </c>
      <c r="E22" s="8" t="inlineStr">
        <is>
          <t>전 스탯 +5% (30분)</t>
        </is>
      </c>
      <c r="F22" s="8" t="inlineStr">
        <is>
          <t>레벨 20</t>
        </is>
      </c>
    </row>
    <row r="23">
      <c r="A23" s="9" t="inlineStr">
        <is>
          <t>신전마을</t>
        </is>
      </c>
      <c r="B23" s="9" t="inlineStr">
        <is>
          <t>축복 상점</t>
        </is>
      </c>
      <c r="C23" s="9" t="inlineStr">
        <is>
          <t>경험치 축복</t>
        </is>
      </c>
      <c r="D23" s="9" t="inlineStr">
        <is>
          <t>5,000 골드</t>
        </is>
      </c>
      <c r="E23" s="9" t="inlineStr">
        <is>
          <t>경험치 획득 +50% (1시간)</t>
        </is>
      </c>
      <c r="F23" s="9" t="inlineStr">
        <is>
          <t>레벨 10</t>
        </is>
      </c>
    </row>
    <row r="24">
      <c r="A24" s="8" t="inlineStr">
        <is>
          <t>신전마을</t>
        </is>
      </c>
      <c r="B24" s="8" t="inlineStr">
        <is>
          <t>축복 상점</t>
        </is>
      </c>
      <c r="C24" s="8" t="inlineStr">
        <is>
          <t>행운의 축복</t>
        </is>
      </c>
      <c r="D24" s="8" t="inlineStr">
        <is>
          <t>7,000 골드</t>
        </is>
      </c>
      <c r="E24" s="8" t="inlineStr">
        <is>
          <t>드랍률 +30% (1시간)</t>
        </is>
      </c>
      <c r="F24" s="8" t="inlineStr">
        <is>
          <t>레벨 18</t>
        </is>
      </c>
    </row>
    <row r="25">
      <c r="A25" s="9" t="inlineStr">
        <is>
          <t>사막시장</t>
        </is>
      </c>
      <c r="B25" s="9" t="inlineStr">
        <is>
          <t>고급 장비점</t>
        </is>
      </c>
      <c r="C25" s="9" t="inlineStr">
        <is>
          <t>사막의 곡검</t>
        </is>
      </c>
      <c r="D25" s="9" t="inlineStr">
        <is>
          <t>15,000 골드</t>
        </is>
      </c>
      <c r="E25" s="9" t="inlineStr">
        <is>
          <t>공격력 +60, 크리티컬 +10%</t>
        </is>
      </c>
      <c r="F25" s="9" t="inlineStr">
        <is>
          <t>레벨 25</t>
        </is>
      </c>
    </row>
    <row r="26">
      <c r="A26" s="8" t="inlineStr">
        <is>
          <t>사막시장</t>
        </is>
      </c>
      <c r="B26" s="8" t="inlineStr">
        <is>
          <t>고급 장비점</t>
        </is>
      </c>
      <c r="C26" s="8" t="inlineStr">
        <is>
          <t>미라지 로브</t>
        </is>
      </c>
      <c r="D26" s="8" t="inlineStr">
        <is>
          <t>12,000 골드</t>
        </is>
      </c>
      <c r="E26" s="8" t="inlineStr">
        <is>
          <t>마법 방어 +40, 회피 +8%</t>
        </is>
      </c>
      <c r="F26" s="8" t="inlineStr">
        <is>
          <t>레벨 25</t>
        </is>
      </c>
    </row>
    <row r="27">
      <c r="A27" s="9" t="inlineStr">
        <is>
          <t>사막시장</t>
        </is>
      </c>
      <c r="B27" s="9" t="inlineStr">
        <is>
          <t>보석 상점</t>
        </is>
      </c>
      <c r="C27" s="9" t="inlineStr">
        <is>
          <t>루비 (공격)</t>
        </is>
      </c>
      <c r="D27" s="9" t="inlineStr">
        <is>
          <t>8,000 골드</t>
        </is>
      </c>
      <c r="E27" s="9" t="inlineStr">
        <is>
          <t>장비 소켓 장착: 공격력 +15</t>
        </is>
      </c>
      <c r="F27" s="9" t="inlineStr">
        <is>
          <t>레벨 20</t>
        </is>
      </c>
    </row>
    <row r="28">
      <c r="A28" s="8" t="inlineStr">
        <is>
          <t>사막시장</t>
        </is>
      </c>
      <c r="B28" s="8" t="inlineStr">
        <is>
          <t>보석 상점</t>
        </is>
      </c>
      <c r="C28" s="8" t="inlineStr">
        <is>
          <t>사파이어 (마법)</t>
        </is>
      </c>
      <c r="D28" s="8" t="inlineStr">
        <is>
          <t>8,000 골드</t>
        </is>
      </c>
      <c r="E28" s="8" t="inlineStr">
        <is>
          <t>장비 소켓 장착: 마법력 +15</t>
        </is>
      </c>
      <c r="F28" s="8" t="inlineStr">
        <is>
          <t>레벨 20</t>
        </is>
      </c>
    </row>
    <row r="29">
      <c r="A29" s="9" t="inlineStr">
        <is>
          <t>사막시장</t>
        </is>
      </c>
      <c r="B29" s="9" t="inlineStr">
        <is>
          <t>보석 상점</t>
        </is>
      </c>
      <c r="C29" s="9" t="inlineStr">
        <is>
          <t>에메랄드 (체력)</t>
        </is>
      </c>
      <c r="D29" s="9" t="inlineStr">
        <is>
          <t>8,000 골드</t>
        </is>
      </c>
      <c r="E29" s="9" t="inlineStr">
        <is>
          <t>장비 소켓 장착: HP +500</t>
        </is>
      </c>
      <c r="F29" s="9" t="inlineStr">
        <is>
          <t>레벨 20</t>
        </is>
      </c>
    </row>
    <row r="30">
      <c r="A30" s="8" t="inlineStr">
        <is>
          <t>동쪽항구</t>
        </is>
      </c>
      <c r="B30" s="8" t="inlineStr">
        <is>
          <t>밀수품 상점</t>
        </is>
      </c>
      <c r="C30" s="8" t="inlineStr">
        <is>
          <t>암흑 단검</t>
        </is>
      </c>
      <c r="D30" s="8" t="inlineStr">
        <is>
          <t>20,000 골드</t>
        </is>
      </c>
      <c r="E30" s="8" t="inlineStr">
        <is>
          <t>공격력 +50, 독 데미지 추가</t>
        </is>
      </c>
      <c r="F30" s="8" t="inlineStr">
        <is>
          <t>레벨 28 + 암시장 해금 퀘스트</t>
        </is>
      </c>
    </row>
    <row r="31">
      <c r="A31" s="9" t="inlineStr">
        <is>
          <t>동쪽항구</t>
        </is>
      </c>
      <c r="B31" s="9" t="inlineStr">
        <is>
          <t>밀수품 상점</t>
        </is>
      </c>
      <c r="C31" s="9" t="inlineStr">
        <is>
          <t>은신의 망토</t>
        </is>
      </c>
      <c r="D31" s="9" t="inlineStr">
        <is>
          <t>18,000 골드</t>
        </is>
      </c>
      <c r="E31" s="9" t="inlineStr">
        <is>
          <t>투명화 5초 (쿨다운 60초)</t>
        </is>
      </c>
      <c r="F31" s="9" t="inlineStr">
        <is>
          <t>레벨 28 + 암시장 해금 퀘스트</t>
        </is>
      </c>
    </row>
    <row r="32">
      <c r="A32" s="8" t="inlineStr">
        <is>
          <t>동쪽항구</t>
        </is>
      </c>
      <c r="B32" s="8" t="inlineStr">
        <is>
          <t>특수 아이템점</t>
        </is>
      </c>
      <c r="C32" s="8" t="inlineStr">
        <is>
          <t>귀환 주문서</t>
        </is>
      </c>
      <c r="D32" s="8" t="inlineStr">
        <is>
          <t>500 골드</t>
        </is>
      </c>
      <c r="E32" s="8" t="inlineStr">
        <is>
          <t>마을로 즉시 귀환</t>
        </is>
      </c>
      <c r="F32" s="8" t="inlineStr">
        <is>
          <t>없음</t>
        </is>
      </c>
    </row>
    <row r="33">
      <c r="A33" s="9" t="inlineStr">
        <is>
          <t>동쪽항구</t>
        </is>
      </c>
      <c r="B33" s="9" t="inlineStr">
        <is>
          <t>특수 아이템점</t>
        </is>
      </c>
      <c r="C33" s="9" t="inlineStr">
        <is>
          <t>순간이동 두루마리</t>
        </is>
      </c>
      <c r="D33" s="9" t="inlineStr">
        <is>
          <t>3,000 골드</t>
        </is>
      </c>
      <c r="E33" s="9" t="inlineStr">
        <is>
          <t>방문한 마을로 이동 (1회용)</t>
        </is>
      </c>
      <c r="F33" s="9" t="inlineStr">
        <is>
          <t>레벨 15</t>
        </is>
      </c>
    </row>
  </sheetData>
  <mergeCells count="1">
    <mergeCell ref="A1:F1"/>
  </mergeCell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6" customWidth="1" min="1" max="1"/>
    <col width="20" customWidth="1" min="2" max="2"/>
    <col width="34" customWidth="1" min="3" max="3"/>
    <col width="34" customWidth="1" min="4" max="4"/>
    <col width="30" customWidth="1" min="5" max="5"/>
    <col width="40" customWidth="1" min="6" max="6"/>
    <col width="34" customWidth="1" min="7" max="7"/>
  </cols>
  <sheetData>
    <row r="1">
      <c r="A1" s="6" t="inlineStr">
        <is>
          <t>전체 퀘스트 NPC 연결도</t>
        </is>
      </c>
    </row>
    <row r="3">
      <c r="A3" s="7" t="inlineStr">
        <is>
          <t>NPC</t>
        </is>
      </c>
      <c r="B3" s="7" t="inlineStr">
        <is>
          <t>위치</t>
        </is>
      </c>
      <c r="C3" s="7" t="inlineStr">
        <is>
          <t>퀘스트 1</t>
        </is>
      </c>
      <c r="D3" s="7" t="inlineStr">
        <is>
          <t>퀘스트 2</t>
        </is>
      </c>
      <c r="E3" s="7" t="inlineStr">
        <is>
          <t>퀘스트 3</t>
        </is>
      </c>
      <c r="F3" s="7" t="inlineStr">
        <is>
          <t>최종 보상</t>
        </is>
      </c>
      <c r="G3" s="7" t="inlineStr">
        <is>
          <t>스토리 연결</t>
        </is>
      </c>
    </row>
    <row r="4">
      <c r="A4" s="8" t="inlineStr">
        <is>
          <t>볼칸</t>
        </is>
      </c>
      <c r="B4" s="8" t="inlineStr">
        <is>
          <t>바람개비 마을 광장</t>
        </is>
      </c>
      <c r="C4" s="8" t="inlineStr">
        <is>
          <t>용암 샘플 수집 (화산 지역 광석 5개)</t>
        </is>
      </c>
      <c r="D4" s="8" t="inlineStr">
        <is>
          <t>불의 군단 척후병 격퇴 (적 10명)</t>
        </is>
      </c>
      <c r="E4" s="8" t="inlineStr">
        <is>
          <t>고대 화염 골렘 토벌</t>
        </is>
      </c>
      <c r="F4" s="8" t="inlineStr">
        <is>
          <t>전설 무기 "화염의 대검" + 칭호 "화산의 정복자"</t>
        </is>
      </c>
      <c r="G4" s="8" t="inlineStr">
        <is>
          <t>불의 군단 메인 스토리 1장 해금</t>
        </is>
      </c>
    </row>
    <row r="5">
      <c r="A5" s="9" t="inlineStr">
        <is>
          <t>엘드린</t>
        </is>
      </c>
      <c r="B5" s="9" t="inlineStr">
        <is>
          <t>별빛항구 등대 옆</t>
        </is>
      </c>
      <c r="C5" s="9" t="inlineStr">
        <is>
          <t>해적 소굴 정찰 (해안 동굴 탐험)</t>
        </is>
      </c>
      <c r="D5" s="9" t="inlineStr">
        <is>
          <t>잃어버린 항해 일지 회수 (보스 처치)</t>
        </is>
      </c>
      <c r="E5" s="9" t="inlineStr">
        <is>
          <t>유령선 최종 토벌</t>
        </is>
      </c>
      <c r="F5" s="9" t="inlineStr">
        <is>
          <t>전설 방어구 "해신의 갑옷" + 칭호 "바다의 수호자"</t>
        </is>
      </c>
      <c r="G5" s="9" t="inlineStr">
        <is>
          <t>별빛항구 해적단 스토리 완결</t>
        </is>
      </c>
    </row>
    <row r="6">
      <c r="A6" s="8" t="inlineStr">
        <is>
          <t>리라</t>
        </is>
      </c>
      <c r="B6" s="8" t="inlineStr">
        <is>
          <t>달빛오아시스 약초원</t>
        </is>
      </c>
      <c r="C6" s="8" t="inlineStr">
        <is>
          <t>희귀 약초 3종 채집</t>
        </is>
      </c>
      <c r="D6" s="8" t="inlineStr">
        <is>
          <t>오아시스 오염원 조사 (던전 클리어)</t>
        </is>
      </c>
      <c r="E6" s="8" t="inlineStr">
        <is>
          <t>오아시스 정화 의식 수호</t>
        </is>
      </c>
      <c r="F6" s="8" t="inlineStr">
        <is>
          <t>전설 악세서리 "달빛 목걸이" + 칭호 "오아시스의 치유사"</t>
        </is>
      </c>
      <c r="G6" s="8" t="inlineStr">
        <is>
          <t>달빛오아시스 정화 스토리 완결</t>
        </is>
      </c>
    </row>
    <row r="7">
      <c r="A7" s="9" t="inlineStr">
        <is>
          <t>하산</t>
        </is>
      </c>
      <c r="B7" s="9" t="inlineStr">
        <is>
          <t>구름마루 대장간</t>
        </is>
      </c>
      <c r="C7" s="9" t="inlineStr">
        <is>
          <t>특수 광석 5종 납품</t>
        </is>
      </c>
      <c r="D7" s="9" t="inlineStr">
        <is>
          <t>전설 제작법 해독 (퍼즐 퀘스트)</t>
        </is>
      </c>
      <c r="E7" s="9" t="inlineStr">
        <is>
          <t>마스터 장비 제작 시험</t>
        </is>
      </c>
      <c r="F7" s="9" t="inlineStr">
        <is>
          <t>전설 제작법 전체 해금 + 칭호 "대장장이의 계승자"</t>
        </is>
      </c>
      <c r="G7" s="9" t="inlineStr">
        <is>
          <t>구름마루 제작 시스템 심화 해금</t>
        </is>
      </c>
    </row>
    <row r="8">
      <c r="A8" s="8" t="inlineStr">
        <is>
          <t>에리카</t>
        </is>
      </c>
      <c r="B8" s="8" t="inlineStr">
        <is>
          <t>신전마을 대신전</t>
        </is>
      </c>
      <c r="C8" s="8" t="inlineStr">
        <is>
          <t>신전 유적 탐사 (3개 층 클리어)</t>
        </is>
      </c>
      <c r="D8" s="8" t="inlineStr">
        <is>
          <t>봉인된 마수 조사</t>
        </is>
      </c>
      <c r="E8" s="8" t="inlineStr">
        <is>
          <t>고대 봉인 재구축 (레이드)</t>
        </is>
      </c>
      <c r="F8" s="8" t="inlineStr">
        <is>
          <t>신성 스킬 "천벌" 습득 + 칭호 "신전의 수호자"</t>
        </is>
      </c>
      <c r="G8" s="8" t="inlineStr">
        <is>
          <t>신전마을 고대 봉인 스토리 완결</t>
        </is>
      </c>
    </row>
    <row r="9">
      <c r="A9" s="9" t="inlineStr">
        <is>
          <t>카인</t>
        </is>
      </c>
      <c r="B9" s="9" t="inlineStr">
        <is>
          <t>사막시장 뒷골목</t>
        </is>
      </c>
      <c r="C9" s="9" t="inlineStr">
        <is>
          <t>밀수 루트 추적 (3개 거점 조사)</t>
        </is>
      </c>
      <c r="D9" s="9" t="inlineStr">
        <is>
          <t>암흑 상인 조직 침투</t>
        </is>
      </c>
      <c r="E9" s="9" t="inlineStr">
        <is>
          <t>암흑 보스 "사막의 그림자" 처치</t>
        </is>
      </c>
      <c r="F9" s="9" t="inlineStr">
        <is>
          <t>전설 무기 "암흑의 단도" + 칭호 "어둠의 심판자"</t>
        </is>
      </c>
      <c r="G9" s="9" t="inlineStr">
        <is>
          <t>사막시장 암흑가 스토리 완결</t>
        </is>
      </c>
    </row>
    <row r="10">
      <c r="A10" s="8" t="inlineStr">
        <is>
          <t>레온</t>
        </is>
      </c>
      <c r="B10" s="8" t="inlineStr">
        <is>
          <t>동쪽항구 선착장</t>
        </is>
      </c>
      <c r="C10" s="8" t="inlineStr">
        <is>
          <t>항구 해상 몬스터 소탕 (5종)</t>
        </is>
      </c>
      <c r="D10" s="8" t="inlineStr">
        <is>
          <t>밀수선 추적 및 나포</t>
        </is>
      </c>
      <c r="E10" s="8" t="inlineStr">
        <is>
          <t>해적왕 최종 결전</t>
        </is>
      </c>
      <c r="F10" s="8" t="inlineStr">
        <is>
          <t>전설 탈것 "폭풍호" + 칭호 "동방의 항해왕"</t>
        </is>
      </c>
      <c r="G10" s="8" t="inlineStr">
        <is>
          <t>동쪽항구 해적왕 스토리 완결</t>
        </is>
      </c>
    </row>
    <row r="11">
      <c r="A11" s="9" t="inlineStr">
        <is>
          <t>가이드 루나</t>
        </is>
      </c>
      <c r="B11" s="9" t="inlineStr">
        <is>
          <t>시작 마을 입구</t>
        </is>
      </c>
      <c r="C11" s="9" t="inlineStr">
        <is>
          <t>기본 조작 튜토리얼 (이동·공격·스킬)</t>
        </is>
      </c>
      <c r="D11" s="9" t="inlineStr">
        <is>
          <t>첫 번째 IO 서바이벌 참가</t>
        </is>
      </c>
      <c r="E11" s="9" t="inlineStr">
        <is>
          <t>모든 마을 방문 (7곳 완료)</t>
        </is>
      </c>
      <c r="F11" s="9" t="inlineStr">
        <is>
          <t>희귀 용병 "루나의 분신" + 칭호 "세계의 여행자"</t>
        </is>
      </c>
      <c r="G11" s="9" t="inlineStr">
        <is>
          <t>메인 스토리 프롤로그 → 각 마을 퀘스트 연결</t>
        </is>
      </c>
    </row>
    <row r="12">
      <c r="A12" s="8" t="inlineStr">
        <is>
          <t>수수께끼 현자</t>
        </is>
      </c>
      <c r="B12" s="8" t="inlineStr">
        <is>
          <t>구름마루 숨겨진 서재</t>
        </is>
      </c>
      <c r="C12" s="8" t="inlineStr">
        <is>
          <t>고대 문자 해독 (5개 비석 조사)</t>
        </is>
      </c>
      <c r="D12" s="8" t="inlineStr">
        <is>
          <t>차원의 틈새 탐험 (히든 던전)</t>
        </is>
      </c>
      <c r="E12" s="8" t="inlineStr">
        <is>
          <t>세계의 진실 발견 (최종 히든 퀘스트)</t>
        </is>
      </c>
      <c r="F12" s="8" t="inlineStr">
        <is>
          <t>신화 악세서리 "현자의 오브" + 칭호 "진실의 탐구자"</t>
        </is>
      </c>
      <c r="G12" s="8" t="inlineStr">
        <is>
          <t>히든 스토리 라인 → 세계관 비밀 해금</t>
        </is>
      </c>
    </row>
    <row r="13">
      <c r="A13" s="9" t="inlineStr">
        <is>
          <t>그림자 첩보원</t>
        </is>
      </c>
      <c r="B13" s="9" t="inlineStr">
        <is>
          <t>전 마을 랜덤 출현</t>
        </is>
      </c>
      <c r="C13" s="9" t="inlineStr">
        <is>
          <t>첩보 임무: 3개 진영 정보 수집</t>
        </is>
      </c>
      <c r="D13" s="9" t="inlineStr">
        <is>
          <t>이중 스파이 색출 (추리 퀘스트)</t>
        </is>
      </c>
      <c r="E13" s="9" t="inlineStr">
        <is>
          <t>적대 세력 수장 암살 작전</t>
        </is>
      </c>
      <c r="F13" s="9" t="inlineStr">
        <is>
          <t>전설 스킬 "그림자 일격" + 칭호 "보이지 않는 손"</t>
        </is>
      </c>
      <c r="G13" s="9" t="inlineStr">
        <is>
          <t>진영 전쟁 배후 세력 스토리 해금</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2026-04-13T08:30:51Z</dcterms:created>
  <dcterms:modified xsi:type="dcterms:W3CDTF">2026-04-13T08:30:54Z</dcterms:modified>
</cp:coreProperties>
</file>