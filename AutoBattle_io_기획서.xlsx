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게임 개요" sheetId="1" state="visible" r:id="rId1"/>
    <sheet name="클래스 &amp; 전직" sheetId="2" state="visible" r:id="rId2"/>
    <sheet name="스킬" sheetId="3" state="visible" r:id="rId3"/>
    <sheet name="몬스터" sheetId="4" state="visible" r:id="rId4"/>
    <sheet name="맵 &amp; 지역" sheetId="5" state="visible" r:id="rId5"/>
    <sheet name="장비 &amp; 강화" sheetId="6" state="visible" r:id="rId6"/>
    <sheet name="제작" sheetId="7" state="visible" r:id="rId7"/>
    <sheet name="교역" sheetId="8" state="visible" r:id="rId8"/>
    <sheet name="펫 &amp; 탈것" sheetId="9" state="visible" r:id="rId9"/>
    <sheet name="버프 &amp; 변신" sheetId="10" state="visible" r:id="rId10"/>
    <sheet name="PvP &amp; 카르마" sheetId="11" state="visible" r:id="rId11"/>
    <sheet name="퀘스트" sheetId="12" state="visible" r:id="rId12"/>
    <sheet name="상점 &amp; 결제" sheetId="13" state="visible" r:id="rId13"/>
    <sheet name="칭호" sheetId="14" state="visible" r:id="rId14"/>
    <sheet name="용병 시스템" sheetId="15" state="visible" r:id="rId15"/>
    <sheet name="게임 수치" sheetId="16" state="visible" r:id="rId16"/>
    <sheet name="출석 캘린더" sheetId="17" state="visible" r:id="rId17"/>
    <sheet name="장비 세트" sheetId="18" state="visible" r:id="rId18"/>
    <sheet name="장비 등급" sheetId="19" state="visible" r:id="rId19"/>
    <sheet name="디버프 v1.7+" sheetId="20" state="visible" r:id="rId20"/>
    <sheet name="던전" sheetId="21" state="visible" r:id="rId21"/>
    <sheet name="농장" sheetId="22" state="visible" r:id="rId22"/>
    <sheet name="특성 트리" sheetId="23" state="visible" r:id="rId23"/>
    <sheet name="우편함" sheetId="24" state="visible" r:id="rId24"/>
    <sheet name="도감" sheetId="25" state="visible" r:id="rId25"/>
    <sheet name="일일 상점" sheetId="26" state="visible" r:id="rId26"/>
    <sheet name="경매장" sheetId="27" state="visible" r:id="rId27"/>
    <sheet name="낚시" sheetId="28" state="visible" r:id="rId28"/>
    <sheet name="보스 러시" sheetId="29" state="visible" r:id="rId29"/>
    <sheet name="행운의 룰렛" sheetId="30" state="visible" r:id="rId30"/>
    <sheet name="축제 이벤트" sheetId="31" state="visible" r:id="rId31"/>
    <sheet name="시즌 패스" sheetId="32" state="visible" r:id="rId32"/>
    <sheet name="무료 다이아" sheetId="33" state="visible" r:id="rId33"/>
    <sheet name="길드 (혈맹)" sheetId="34" state="visible" r:id="rId34"/>
    <sheet name="NPC" sheetId="35" state="visible" r:id="rId35"/>
    <sheet name="월드 보스" sheetId="36" state="visible" r:id="rId36"/>
    <sheet name="연금술" sheetId="37" state="visible" r:id="rId37"/>
    <sheet name="패치 노트" sheetId="38" state="visible" r:id="rId38"/>
    <sheet name="v1.9 ~ v2.18" sheetId="39" state="visible" r:id="rId39"/>
    <sheet name="메인 스토리 퀘스트" sheetId="40" state="visible" r:id="rId40"/>
    <sheet name="퀘스트 길잡이" sheetId="41" state="visible" r:id="rId41"/>
    <sheet name="숨겨진 &amp; 분기 퀘스트" sheetId="42" state="visible" r:id="rId42"/>
    <sheet name="카지노 상세" sheetId="43" state="visible" r:id="rId43"/>
    <sheet name="요리 상세" sheetId="44" state="visible" r:id="rId44"/>
    <sheet name="별자리 상세" sheetId="45" state="visible" r:id="rId45"/>
    <sheet name="훈련 상세" sheetId="46" state="visible" r:id="rId46"/>
    <sheet name="룬 &amp; 룬워드 상세" sheetId="47" state="visible" r:id="rId47"/>
    <sheet name="유물 상세" sheetId="48" state="visible" r:id="rId48"/>
    <sheet name="정원 상세" sheetId="49" state="visible" r:id="rId49"/>
    <sheet name="타로 상세" sheetId="50" state="visible" r:id="rId50"/>
    <sheet name="원정 상세" sheetId="51" state="visible" r:id="rId51"/>
    <sheet name="보물 지도 상세" sheetId="52" state="visible" r:id="rId52"/>
    <sheet name="펫 교배 상세" sheetId="53" state="visible" r:id="rId53"/>
    <sheet name="명상 상세" sheetId="54" state="visible" r:id="rId54"/>
    <sheet name="암시장 상세" sheetId="55" state="visible" r:id="rId55"/>
    <sheet name="존 미니보스 &amp; 위험" sheetId="56" state="visible" r:id="rId56"/>
    <sheet name="환생 상세" sheetId="57" state="visible" r:id="rId57"/>
    <sheet name="낚시 상세" sheetId="58" state="visible" r:id="rId58"/>
    <sheet name="혈맹 레이드 상세" sheetId="59" state="visible" r:id="rId59"/>
    <sheet name="무한의 탑 상세" sheetId="60" state="visible" r:id="rId60"/>
    <sheet name="차원 균열 상세" sheetId="61" state="visible" r:id="rId61"/>
    <sheet name="보스 소환 시스템" sheetId="62" state="visible" r:id="rId62"/>
    <sheet name="날씨 던전 시스템" sheetId="63" state="visible" r:id="rId63"/>
    <sheet name="PvP 매칭 시스템" sheetId="64" state="visible" r:id="rId64"/>
    <sheet name="사냥꾼 시스템" sheetId="65" state="visible" r:id="rId65"/>
    <sheet name="종족 시스템" sheetId="66" state="visible" r:id="rId66"/>
    <sheet name="유물 조합 시스템" sheetId="67" state="visible" r:id="rId67"/>
    <sheet name="스킬 웨이브 시스템" sheetId="68" state="visible" r:id="rId68"/>
    <sheet name="도전 과제 100" sheetId="69" state="visible" r:id="rId69"/>
    <sheet name="슈퍼 보스" sheetId="70" state="visible" r:id="rId70"/>
    <sheet name="전장 점령" sheetId="71" state="visible" r:id="rId71"/>
    <sheet name="소원 나무" sheetId="72" state="visible" r:id="rId72"/>
    <sheet name="영혼 시스템" sheetId="73" state="visible" r:id="rId73"/>
    <sheet name="시간 여행 던전" sheetId="74" state="visible" r:id="rId74"/>
    <sheet name="신화 소환수" sheetId="75" state="visible" r:id="rId75"/>
    <sheet name="고대 유적 탐험" sheetId="76" state="visible" r:id="rId76"/>
    <sheet name="세계 보스 연대기" sheetId="77" state="visible" r:id="rId77"/>
    <sheet name="마법 연구소" sheetId="78" state="visible" r:id="rId78"/>
    <sheet name="달빛 성역" sheetId="79" state="visible" r:id="rId79"/>
    <sheet name="무기 영혼 각성" sheetId="80" state="visible" r:id="rId80"/>
    <sheet name="부유 요새" sheetId="81" state="visible" r:id="rId81"/>
    <sheet name="영체 이탈" sheetId="82" state="visible" r:id="rId82"/>
    <sheet name="저주받은 던전" sheetId="83" state="visible" r:id="rId83"/>
    <sheet name="운명의 결투" sheetId="84" state="visible" r:id="rId84"/>
    <sheet name="영혼 대장간" sheetId="85" state="visible" r:id="rId85"/>
    <sheet name="환영 투기장" sheetId="86" state="visible" r:id="rId86"/>
    <sheet name="꿈의 건축가" sheetId="87" state="visible" r:id="rId87"/>
    <sheet name="별자리 전쟁" sheetId="88" state="visible" r:id="rId88"/>
    <sheet name="금서의 도서관" sheetId="89" state="visible" r:id="rId89"/>
    <sheet name="거수 합체" sheetId="90" state="visible" r:id="rId90"/>
    <sheet name="상인 캐러밴" sheetId="91" state="visible" r:id="rId91"/>
    <sheet name="기억 궁전" sheetId="92" state="visible" r:id="rId92"/>
    <sheet name="마왕의 옥좌" sheetId="93" state="visible" r:id="rId93"/>
    <sheet name="천상 대장간" sheetId="94" state="visible" r:id="rId94"/>
    <sheet name="살아있는 마도서" sheetId="95" state="visible" r:id="rId95"/>
    <sheet name="세계의 씨앗" sheetId="96" state="visible" r:id="rId96"/>
    <sheet name="운명의 직공" sheetId="97" state="visible" r:id="rId97"/>
    <sheet name="드래곤 라이딩" sheetId="98" state="visible" r:id="rId98"/>
    <sheet name="드래곤 성장 &amp; 스킬" sheetId="99" state="visible" r:id="rId99"/>
    <sheet name="드래곤 레이드" sheetId="100" state="visible" r:id="rId100"/>
    <sheet name="v2.37~v2.57 패치노트" sheetId="101" state="visible" r:id="rId101"/>
    <sheet name="시스템 시너지" sheetId="102" state="visible" r:id="rId102"/>
    <sheet name="기술 아키텍처" sheetId="103" state="visible" r:id="rId10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b val="1"/>
      <color rgb="00FFD700"/>
      <sz val="16"/>
    </font>
    <font>
      <name val="맑은 고딕"/>
      <sz val="10"/>
    </font>
    <font>
      <name val="맑은 고딕"/>
      <b val="1"/>
      <color rgb="00FFFFFF"/>
      <sz val="10"/>
    </font>
    <font>
      <name val="맑은 고딕"/>
      <b val="1"/>
      <color rgb="00FFFFFF"/>
      <sz val="14"/>
    </font>
    <font>
      <name val="맑은 고딕"/>
      <b val="1"/>
      <color rgb="00FFD700"/>
      <sz val="12"/>
    </font>
    <font>
      <name val="맑은 고딕"/>
      <b val="1"/>
      <color rgb="00FF4444"/>
      <sz val="10"/>
    </font>
  </fonts>
  <fills count="6">
    <fill>
      <patternFill/>
    </fill>
    <fill>
      <patternFill patternType="gray125"/>
    </fill>
    <fill>
      <patternFill patternType="solid">
        <fgColor rgb="002d2d5e"/>
        <bgColor rgb="002d2d5e"/>
      </patternFill>
    </fill>
    <fill>
      <patternFill patternType="solid">
        <fgColor rgb="001a1a2e"/>
        <bgColor rgb="001a1a2e"/>
      </patternFill>
    </fill>
    <fill>
      <patternFill patternType="solid">
        <fgColor rgb="00f0f0f8"/>
        <bgColor rgb="00f0f0f8"/>
      </patternFill>
    </fill>
    <fill>
      <patternFill patternType="solid">
        <fgColor rgb="003d3d7e"/>
        <bgColor rgb="003d3d7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1" pivotButton="0" quotePrefix="0" xfId="0"/>
    <xf numFmtId="0" fontId="1" fillId="0" borderId="1" pivotButton="0" quotePrefix="0" xfId="0"/>
    <xf numFmtId="0" fontId="3" fillId="0" borderId="1" pivotButton="0" quotePrefix="0" xfId="0"/>
    <xf numFmtId="0" fontId="4" fillId="2" borderId="1" pivotButton="0" quotePrefix="0" xfId="0"/>
    <xf numFmtId="0" fontId="5" fillId="3" borderId="0" applyAlignment="1" pivotButton="0" quotePrefix="0" xfId="0">
      <alignment horizontal="center"/>
    </xf>
    <xf numFmtId="0" fontId="4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styles" Target="styles.xml" Id="rId104" /><Relationship Type="http://schemas.openxmlformats.org/officeDocument/2006/relationships/theme" Target="theme/theme1.xml" Id="rId10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32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2">
      <c r="A2" s="1" t="inlineStr">
        <is>
          <t>게임명</t>
        </is>
      </c>
      <c r="B2" s="1" t="inlineStr">
        <is>
          <t>AutoBattle.io</t>
        </is>
      </c>
    </row>
    <row r="3">
      <c r="A3" s="2" t="inlineStr">
        <is>
          <t>장르</t>
        </is>
      </c>
      <c r="B3" s="3" t="inlineStr">
        <is>
          <t>실시간 멀티플레이 RPG (거상+리니지클래식+포켓몬스터+알비온온라인)</t>
        </is>
      </c>
    </row>
    <row r="4">
      <c r="A4" s="2" t="inlineStr">
        <is>
          <t>플랫폼</t>
        </is>
      </c>
      <c r="B4" s="3" t="inlineStr">
        <is>
          <t>웹 브라우저 (Unity WebGL + HTML UI)</t>
        </is>
      </c>
    </row>
    <row r="5">
      <c r="A5" s="2" t="inlineStr">
        <is>
          <t>서버</t>
        </is>
      </c>
      <c r="B5" s="3" t="inlineStr">
        <is>
          <t>Node.js + Socket.IO + MySQL (Railway)</t>
        </is>
      </c>
    </row>
    <row r="6">
      <c r="A6" s="2" t="inlineStr">
        <is>
          <t>맵 크기</t>
        </is>
      </c>
      <c r="B6" s="3" t="inlineStr">
        <is>
          <t>2000×2000 (좌표 -1000~1000, 확장맵 포함)</t>
        </is>
      </c>
    </row>
    <row r="7">
      <c r="A7" s="2" t="inlineStr">
        <is>
          <t>최대 동접</t>
        </is>
      </c>
      <c r="B7" s="3" t="inlineStr">
        <is>
          <t>50명</t>
        </is>
      </c>
    </row>
    <row r="8">
      <c r="A8" s="2" t="inlineStr">
        <is>
          <t>지역 수</t>
        </is>
      </c>
      <c r="B8" s="3" t="inlineStr">
        <is>
          <t>51개 (마을 7 / 사냥터 38 / PK존 4 / 특수 2)</t>
        </is>
      </c>
    </row>
    <row r="9">
      <c r="A9" s="4" t="inlineStr">
        <is>
          <t>현재 버전</t>
        </is>
      </c>
      <c r="B9" s="4" t="inlineStr">
        <is>
          <t>v2.57 (드래곤 라이딩 + 판타지 UI + 디버그 시스템)</t>
        </is>
      </c>
    </row>
    <row r="10">
      <c r="A10" s="2" t="inlineStr"/>
      <c r="B10" s="3" t="inlineStr"/>
    </row>
    <row r="11">
      <c r="A11" s="2" t="inlineStr">
        <is>
          <t>핵심 컨텐츠</t>
        </is>
      </c>
      <c r="B11" s="3" t="inlineStr">
        <is>
          <t>설명</t>
        </is>
      </c>
    </row>
    <row r="12">
      <c r="A12" s="2" t="inlineStr">
        <is>
          <t>마을 교역</t>
        </is>
      </c>
      <c r="B12" s="3" t="inlineStr">
        <is>
          <t>7개 마을 간 교역품 20종 매매로 차익 실현 (거상)</t>
        </is>
      </c>
    </row>
    <row r="13">
      <c r="A13" s="2" t="inlineStr">
        <is>
          <t>PvP / 성 점령</t>
        </is>
      </c>
      <c r="B13" s="3" t="inlineStr">
        <is>
          <t>PK, 카르마, 룻, 왕 시스템, 성채 점령 (리니지)</t>
        </is>
      </c>
    </row>
    <row r="14">
      <c r="A14" s="2" t="inlineStr">
        <is>
          <t>몬스터 테이밍</t>
        </is>
      </c>
      <c r="B14" s="3" t="inlineStr">
        <is>
          <t>몬스터 포획 → 용병화, 등급별 확률 (포켓몬)</t>
        </is>
      </c>
    </row>
    <row r="15">
      <c r="A15" s="2" t="inlineStr">
        <is>
          <t>풀룻 PK</t>
        </is>
      </c>
      <c r="B15" s="3" t="inlineStr">
        <is>
          <t>사망시 골드 50% + 인벤토리 30% 드롭 (알비온)</t>
        </is>
      </c>
    </row>
    <row r="16">
      <c r="A16" s="2" t="inlineStr">
        <is>
          <t>전직 시스템</t>
        </is>
      </c>
      <c r="B16" s="3" t="inlineStr">
        <is>
          <t>Lv.20 달성 시 상위 클래스로 전직</t>
        </is>
      </c>
    </row>
    <row r="17">
      <c r="A17" s="2" t="inlineStr">
        <is>
          <t>환생 시스템</t>
        </is>
      </c>
      <c r="B17" s="3" t="inlineStr">
        <is>
          <t>레벨 50 도달 시 환생, 영구 스탯 보너스</t>
        </is>
      </c>
    </row>
    <row r="18">
      <c r="A18" s="2" t="inlineStr">
        <is>
          <t>변신 시스템</t>
        </is>
      </c>
      <c r="B18" s="3" t="inlineStr">
        <is>
          <t>특정 몬스터 처치 후 해당 몬스터로 변신</t>
        </is>
      </c>
    </row>
    <row r="19">
      <c r="A19" s="2" t="inlineStr">
        <is>
          <t>낮/밤 순환</t>
        </is>
      </c>
      <c r="B19" s="3" t="inlineStr">
        <is>
          <t>10분 주기 낮밤 전환, 밤엔 몬스터 강화</t>
        </is>
      </c>
    </row>
    <row r="20">
      <c r="A20" s="2" t="inlineStr">
        <is>
          <t>날씨 시스템</t>
        </is>
      </c>
      <c r="B20" s="3" t="inlineStr">
        <is>
          <t>5종 날씨 (맑음/비/눈/안개/폭풍) 동적 변경</t>
        </is>
      </c>
    </row>
    <row r="21">
      <c r="A21" s="2" t="inlineStr">
        <is>
          <t>장비 강화</t>
        </is>
      </c>
      <c r="B21" s="3" t="inlineStr">
        <is>
          <t>+1~+15, 등급별 최대치 / 보호주문서 사용 가능</t>
        </is>
      </c>
    </row>
    <row r="22">
      <c r="A22" s="2" t="inlineStr">
        <is>
          <t>장비 세트</t>
        </is>
      </c>
      <c r="B22" s="3" t="inlineStr">
        <is>
          <t>드래곤/영웅/태초 세트 효과 (2~7피스)</t>
        </is>
      </c>
    </row>
    <row r="23">
      <c r="A23" s="2" t="inlineStr">
        <is>
          <t>랜덤 옵션</t>
        </is>
      </c>
      <c r="B23" s="3" t="inlineStr">
        <is>
          <t>등급별 0~4종 랜덤 옵션 부여 (크리/회피/HP 등 7종)</t>
        </is>
      </c>
    </row>
    <row r="24">
      <c r="A24" s="2" t="inlineStr">
        <is>
          <t>펫 &amp; 탈것</t>
        </is>
      </c>
      <c r="B24" s="3" t="inlineStr">
        <is>
          <t>전투 보조 펫 + 이동속도 탈것, 진화 가능</t>
        </is>
      </c>
    </row>
    <row r="25">
      <c r="A25" s="2" t="inlineStr">
        <is>
          <t>제작 시스템</t>
        </is>
      </c>
      <c r="B25" s="3" t="inlineStr">
        <is>
          <t>무기/방어구/장신구/소비품 14종+ 레시피</t>
        </is>
      </c>
    </row>
    <row r="26">
      <c r="A26" s="2" t="inlineStr">
        <is>
          <t>칭호 시스템</t>
        </is>
      </c>
      <c r="B26" s="3" t="inlineStr">
        <is>
          <t>업적/랭킹 달성시 칭호 획득 (16종)</t>
        </is>
      </c>
    </row>
    <row r="27">
      <c r="A27" s="2" t="inlineStr">
        <is>
          <t>퀘스트</t>
        </is>
      </c>
      <c r="B27" s="3" t="inlineStr">
        <is>
          <t>일일 4 + 주간 4 + 메인 11 + 업적 40 = 59종</t>
        </is>
      </c>
    </row>
    <row r="28">
      <c r="A28" s="2" t="inlineStr">
        <is>
          <t>출석 캘린더</t>
        </is>
      </c>
      <c r="B28" s="3" t="inlineStr">
        <is>
          <t>28일 출석 보상, 7/14/21/28일 특별 보상</t>
        </is>
      </c>
    </row>
    <row r="29">
      <c r="A29" s="2" t="inlineStr">
        <is>
          <t>길드 시스템</t>
        </is>
      </c>
      <c r="B29" s="3" t="inlineStr">
        <is>
          <t>혈맹 생성/창고/스킬/공성/레이드</t>
        </is>
      </c>
    </row>
    <row r="30">
      <c r="A30" s="2" t="inlineStr">
        <is>
          <t>월드 보스</t>
        </is>
      </c>
      <c r="B30" s="3" t="inlineStr">
        <is>
          <t>서버 동시 보스 레이드 + MVP 보상</t>
        </is>
      </c>
    </row>
    <row r="31">
      <c r="A31" s="2" t="inlineStr">
        <is>
          <t>투기장</t>
        </is>
      </c>
      <c r="B31" s="3" t="inlineStr">
        <is>
          <t>랭크 매칭 PvP, 시즌제 보상 (브론즈~다이아)</t>
        </is>
      </c>
    </row>
    <row r="32">
      <c r="A32" s="2" t="inlineStr">
        <is>
          <t>결제 시스템</t>
        </is>
      </c>
      <c r="B32" s="3" t="inlineStr">
        <is>
          <t>Toss Payments 다이아몬드 결제 (4종 상품)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30" customWidth="1" min="10" max="10"/>
  </cols>
  <sheetData>
    <row r="1">
      <c r="A1" s="5" t="inlineStr">
        <is>
          <t>클래스 시스템</t>
        </is>
      </c>
    </row>
    <row r="3">
      <c r="A3" s="6" t="inlineStr">
        <is>
          <t>클래스</t>
        </is>
      </c>
      <c r="B3" s="6" t="inlineStr">
        <is>
          <t>표시명</t>
        </is>
      </c>
      <c r="C3" s="6" t="inlineStr">
        <is>
          <t>HP</t>
        </is>
      </c>
      <c r="D3" s="6" t="inlineStr">
        <is>
          <t>ATK</t>
        </is>
      </c>
      <c r="E3" s="6" t="inlineStr">
        <is>
          <t>DEF</t>
        </is>
      </c>
      <c r="F3" s="6" t="inlineStr">
        <is>
          <t>SPD</t>
        </is>
      </c>
      <c r="G3" s="6" t="inlineStr">
        <is>
          <t>CRIT</t>
        </is>
      </c>
      <c r="H3" s="6" t="inlineStr">
        <is>
          <t>회피</t>
        </is>
      </c>
      <c r="I3" s="6" t="inlineStr">
        <is>
          <t>AOE</t>
        </is>
      </c>
      <c r="J3" s="6" t="inlineStr">
        <is>
          <t>설명</t>
        </is>
      </c>
    </row>
    <row r="4">
      <c r="A4" s="7" t="inlineStr">
        <is>
          <t>Assassin</t>
        </is>
      </c>
      <c r="B4" s="7" t="inlineStr">
        <is>
          <t>어쌔신</t>
        </is>
      </c>
      <c r="C4" s="7" t="n">
        <v>120</v>
      </c>
      <c r="D4" s="7" t="n">
        <v>45</v>
      </c>
      <c r="E4" s="7" t="n">
        <v>8</v>
      </c>
      <c r="F4" s="7" t="n">
        <v>22</v>
      </c>
      <c r="G4" s="7" t="inlineStr">
        <is>
          <t>25%</t>
        </is>
      </c>
      <c r="H4" s="7" t="inlineStr">
        <is>
          <t>15%</t>
        </is>
      </c>
      <c r="I4" s="7" t="inlineStr">
        <is>
          <t>X</t>
        </is>
      </c>
      <c r="J4" s="7" t="inlineStr">
        <is>
          <t>빠른 속도, 높은 크리티컬 암살자</t>
        </is>
      </c>
    </row>
    <row r="5">
      <c r="A5" s="8" t="inlineStr">
        <is>
          <t>Warrior</t>
        </is>
      </c>
      <c r="B5" s="8" t="inlineStr">
        <is>
          <t>워리어</t>
        </is>
      </c>
      <c r="C5" s="8" t="n">
        <v>180</v>
      </c>
      <c r="D5" s="8" t="n">
        <v>30</v>
      </c>
      <c r="E5" s="8" t="n">
        <v>15</v>
      </c>
      <c r="F5" s="8" t="n">
        <v>12</v>
      </c>
      <c r="G5" s="8" t="inlineStr">
        <is>
          <t>10%</t>
        </is>
      </c>
      <c r="H5" s="8" t="inlineStr">
        <is>
          <t>5%</t>
        </is>
      </c>
      <c r="I5" s="8" t="inlineStr">
        <is>
          <t>X</t>
        </is>
      </c>
      <c r="J5" s="8" t="inlineStr">
        <is>
          <t>균형 잡힌 공방의 전사</t>
        </is>
      </c>
    </row>
    <row r="6">
      <c r="A6" s="7" t="inlineStr">
        <is>
          <t>Knight</t>
        </is>
      </c>
      <c r="B6" s="7" t="inlineStr">
        <is>
          <t>나이트</t>
        </is>
      </c>
      <c r="C6" s="7" t="n">
        <v>300</v>
      </c>
      <c r="D6" s="7" t="n">
        <v>15</v>
      </c>
      <c r="E6" s="7" t="n">
        <v>30</v>
      </c>
      <c r="F6" s="7" t="n">
        <v>10</v>
      </c>
      <c r="G6" s="7" t="inlineStr">
        <is>
          <t>5%</t>
        </is>
      </c>
      <c r="H6" s="7" t="inlineStr">
        <is>
          <t>2%</t>
        </is>
      </c>
      <c r="I6" s="7" t="inlineStr">
        <is>
          <t>X</t>
        </is>
      </c>
      <c r="J6" s="7" t="inlineStr">
        <is>
          <t>철벽 방어 탱커</t>
        </is>
      </c>
    </row>
    <row r="7">
      <c r="A7" s="8" t="inlineStr">
        <is>
          <t>Mage</t>
        </is>
      </c>
      <c r="B7" s="8" t="inlineStr">
        <is>
          <t>메이지</t>
        </is>
      </c>
      <c r="C7" s="8" t="n">
        <v>90</v>
      </c>
      <c r="D7" s="8" t="n">
        <v>10</v>
      </c>
      <c r="E7" s="8" t="n">
        <v>5</v>
      </c>
      <c r="F7" s="8" t="n">
        <v>9</v>
      </c>
      <c r="G7" s="8" t="inlineStr">
        <is>
          <t>15%</t>
        </is>
      </c>
      <c r="H7" s="8" t="inlineStr">
        <is>
          <t>10%</t>
        </is>
      </c>
      <c r="I7" s="8" t="inlineStr">
        <is>
          <t>O</t>
        </is>
      </c>
      <c r="J7" s="8" t="inlineStr">
        <is>
          <t>강력한 광역 마법사</t>
        </is>
      </c>
    </row>
    <row r="8">
      <c r="A8" s="7" t="inlineStr">
        <is>
          <t>GuardianTower</t>
        </is>
      </c>
      <c r="B8" s="7" t="inlineStr">
        <is>
          <t>가디언 타워</t>
        </is>
      </c>
      <c r="C8" s="7" t="n">
        <v>600</v>
      </c>
      <c r="D8" s="7" t="n">
        <v>35</v>
      </c>
      <c r="E8" s="7" t="n">
        <v>25</v>
      </c>
      <c r="F8" s="7" t="n">
        <v>0</v>
      </c>
      <c r="G8" s="7" t="inlineStr">
        <is>
          <t>5%</t>
        </is>
      </c>
      <c r="H8" s="7" t="inlineStr">
        <is>
          <t>0%</t>
        </is>
      </c>
      <c r="I8" s="7" t="inlineStr">
        <is>
          <t>X</t>
        </is>
      </c>
      <c r="J8" s="7" t="inlineStr">
        <is>
          <t>고정 방어탑 (설치형)</t>
        </is>
      </c>
    </row>
    <row r="10">
      <c r="A10" s="9" t="inlineStr">
        <is>
          <t>전직 시스템 (Lv.20)</t>
        </is>
      </c>
    </row>
    <row r="11">
      <c r="A11" s="10" t="inlineStr">
        <is>
          <t>원래 클래스</t>
        </is>
      </c>
      <c r="B11" s="10" t="inlineStr">
        <is>
          <t>전직 클래스</t>
        </is>
      </c>
      <c r="C11" s="10" t="inlineStr">
        <is>
          <t>표시명</t>
        </is>
      </c>
      <c r="D11" s="10" t="inlineStr">
        <is>
          <t>ATK+</t>
        </is>
      </c>
      <c r="E11" s="10" t="inlineStr">
        <is>
          <t>DEF+</t>
        </is>
      </c>
      <c r="F11" s="10" t="inlineStr">
        <is>
          <t>HP+</t>
        </is>
      </c>
      <c r="G11" s="10" t="inlineStr">
        <is>
          <t>CRIT+</t>
        </is>
      </c>
      <c r="H11" s="10" t="inlineStr">
        <is>
          <t>SPD+</t>
        </is>
      </c>
      <c r="I11" s="10" t="inlineStr">
        <is>
          <t>회피+</t>
        </is>
      </c>
    </row>
    <row r="12">
      <c r="A12" s="3" t="inlineStr">
        <is>
          <t>Assassin</t>
        </is>
      </c>
      <c r="B12" s="3" t="inlineStr">
        <is>
          <t>ShadowLord</t>
        </is>
      </c>
      <c r="C12" s="3" t="inlineStr">
        <is>
          <t>쉐도우로드</t>
        </is>
      </c>
      <c r="D12" s="3" t="inlineStr">
        <is>
          <t>+20</t>
        </is>
      </c>
      <c r="E12" s="3" t="inlineStr">
        <is>
          <t>-</t>
        </is>
      </c>
      <c r="F12" s="3" t="inlineStr">
        <is>
          <t>-</t>
        </is>
      </c>
      <c r="G12" s="3" t="inlineStr">
        <is>
          <t>+10%</t>
        </is>
      </c>
      <c r="H12" s="3" t="inlineStr">
        <is>
          <t>+5</t>
        </is>
      </c>
      <c r="I12" s="3" t="inlineStr">
        <is>
          <t>-</t>
        </is>
      </c>
    </row>
    <row r="13">
      <c r="A13" s="3" t="inlineStr">
        <is>
          <t>Warrior</t>
        </is>
      </c>
      <c r="B13" s="3" t="inlineStr">
        <is>
          <t>Warlord</t>
        </is>
      </c>
      <c r="C13" s="3" t="inlineStr">
        <is>
          <t>워로드</t>
        </is>
      </c>
      <c r="D13" s="3" t="inlineStr">
        <is>
          <t>+15</t>
        </is>
      </c>
      <c r="E13" s="3" t="inlineStr">
        <is>
          <t>+15</t>
        </is>
      </c>
      <c r="F13" s="3" t="inlineStr">
        <is>
          <t>+100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-</t>
        </is>
      </c>
    </row>
    <row r="14">
      <c r="A14" s="3" t="inlineStr">
        <is>
          <t>Knight</t>
        </is>
      </c>
      <c r="B14" s="3" t="inlineStr">
        <is>
          <t>HolyKnight</t>
        </is>
      </c>
      <c r="C14" s="3" t="inlineStr">
        <is>
          <t>홀리나이트</t>
        </is>
      </c>
      <c r="D14" s="3" t="inlineStr">
        <is>
          <t>-</t>
        </is>
      </c>
      <c r="E14" s="3" t="inlineStr">
        <is>
          <t>+25</t>
        </is>
      </c>
      <c r="F14" s="3" t="inlineStr">
        <is>
          <t>+200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+5%</t>
        </is>
      </c>
    </row>
    <row r="15">
      <c r="A15" s="3" t="inlineStr">
        <is>
          <t>Mage</t>
        </is>
      </c>
      <c r="B15" s="3" t="inlineStr">
        <is>
          <t>Archmage</t>
        </is>
      </c>
      <c r="C15" s="3" t="inlineStr">
        <is>
          <t>아크메이지</t>
        </is>
      </c>
      <c r="D15" s="3" t="inlineStr">
        <is>
          <t>+30</t>
        </is>
      </c>
      <c r="E15" s="3" t="inlineStr">
        <is>
          <t>-</t>
        </is>
      </c>
      <c r="F15" s="3" t="inlineStr">
        <is>
          <t>-</t>
        </is>
      </c>
      <c r="G15" s="3" t="inlineStr">
        <is>
          <t>+15%</t>
        </is>
      </c>
      <c r="H15" s="3" t="inlineStr">
        <is>
          <t>-</t>
        </is>
      </c>
      <c r="I15" s="3" t="inlineStr">
        <is>
          <t>-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8" customWidth="1" min="5" max="5"/>
    <col width="6" customWidth="1" min="6" max="6"/>
    <col width="10" customWidth="1" min="7" max="7"/>
    <col width="32" customWidth="1" min="8" max="8"/>
  </cols>
  <sheetData>
    <row r="1">
      <c r="A1" s="5" t="inlineStr">
        <is>
          <t>클래스 스킬 (5클래스 × 6스킬 = 30종 — v1.15 각성기 5종 추가)</t>
        </is>
      </c>
    </row>
    <row r="3">
      <c r="A3" s="6" t="inlineStr">
        <is>
          <t>클래스</t>
        </is>
      </c>
      <c r="B3" s="6" t="inlineStr">
        <is>
          <t>스킬명</t>
        </is>
      </c>
      <c r="C3" s="6" t="inlineStr">
        <is>
          <t>피해배수</t>
        </is>
      </c>
      <c r="D3" s="6" t="inlineStr">
        <is>
          <t>쿨타임(초)</t>
        </is>
      </c>
      <c r="E3" s="6" t="inlineStr">
        <is>
          <t>사거리</t>
        </is>
      </c>
      <c r="F3" s="6" t="inlineStr">
        <is>
          <t>AOE</t>
        </is>
      </c>
      <c r="G3" s="6" t="inlineStr">
        <is>
          <t>습득레벨</t>
        </is>
      </c>
      <c r="H3" s="6" t="inlineStr">
        <is>
          <t>특수효과</t>
        </is>
      </c>
    </row>
    <row r="4">
      <c r="A4" s="7" t="inlineStr">
        <is>
          <t>어쌔신</t>
        </is>
      </c>
      <c r="B4" s="7" t="inlineStr">
        <is>
          <t>그림자 일격</t>
        </is>
      </c>
      <c r="C4" s="7" t="inlineStr">
        <is>
          <t>3.0배</t>
        </is>
      </c>
      <c r="D4" s="7" t="n">
        <v>5</v>
      </c>
      <c r="E4" s="7" t="inlineStr">
        <is>
          <t>3</t>
        </is>
      </c>
      <c r="F4" s="7" t="inlineStr">
        <is>
          <t>-</t>
        </is>
      </c>
      <c r="G4" s="7" t="inlineStr">
        <is>
          <t>Lv.1</t>
        </is>
      </c>
      <c r="H4" s="7" t="inlineStr">
        <is>
          <t>단일 대상 고데미지 + 크리</t>
        </is>
      </c>
    </row>
    <row r="5">
      <c r="A5" s="8" t="inlineStr">
        <is>
          <t>어쌔신</t>
        </is>
      </c>
      <c r="B5" s="8" t="inlineStr">
        <is>
          <t>독 바르기</t>
        </is>
      </c>
      <c r="C5" s="8" t="inlineStr">
        <is>
          <t>패시브</t>
        </is>
      </c>
      <c r="D5" s="8" t="inlineStr">
        <is>
          <t>-</t>
        </is>
      </c>
      <c r="E5" s="8" t="inlineStr">
        <is>
          <t>-</t>
        </is>
      </c>
      <c r="F5" s="8" t="inlineStr">
        <is>
          <t>-</t>
        </is>
      </c>
      <c r="G5" s="8" t="inlineStr">
        <is>
          <t>Lv.5</t>
        </is>
      </c>
      <c r="H5" s="8" t="inlineStr">
        <is>
          <t>독 DOT 15/3초</t>
        </is>
      </c>
    </row>
    <row r="6">
      <c r="A6" s="7" t="inlineStr">
        <is>
          <t>어쌔신</t>
        </is>
      </c>
      <c r="B6" s="7" t="inlineStr">
        <is>
          <t>은신</t>
        </is>
      </c>
      <c r="C6" s="7" t="inlineStr">
        <is>
          <t>-</t>
        </is>
      </c>
      <c r="D6" s="7" t="n">
        <v>15</v>
      </c>
      <c r="E6" s="7" t="inlineStr">
        <is>
          <t>-</t>
        </is>
      </c>
      <c r="F6" s="7" t="inlineStr">
        <is>
          <t>-</t>
        </is>
      </c>
      <c r="G6" s="7" t="inlineStr">
        <is>
          <t>Lv.10</t>
        </is>
      </c>
      <c r="H6" s="7" t="inlineStr">
        <is>
          <t>5초 은신 + 다음 공격 ×2</t>
        </is>
      </c>
    </row>
    <row r="7">
      <c r="A7" s="8" t="inlineStr">
        <is>
          <t>어쌔신</t>
        </is>
      </c>
      <c r="B7" s="8" t="inlineStr">
        <is>
          <t>연속 베기</t>
        </is>
      </c>
      <c r="C7" s="8" t="inlineStr">
        <is>
          <t>1.5배×4</t>
        </is>
      </c>
      <c r="D7" s="8" t="n">
        <v>8</v>
      </c>
      <c r="E7" s="8" t="inlineStr">
        <is>
          <t>2</t>
        </is>
      </c>
      <c r="F7" s="8" t="inlineStr">
        <is>
          <t>-</t>
        </is>
      </c>
      <c r="G7" s="8" t="inlineStr">
        <is>
          <t>Lv.15</t>
        </is>
      </c>
      <c r="H7" s="8" t="inlineStr">
        <is>
          <t>4회 연속 공격</t>
        </is>
      </c>
    </row>
    <row r="8">
      <c r="A8" s="7" t="inlineStr">
        <is>
          <t>어쌔신</t>
        </is>
      </c>
      <c r="B8" s="7" t="inlineStr">
        <is>
          <t>암살</t>
        </is>
      </c>
      <c r="C8" s="7" t="inlineStr">
        <is>
          <t>8.0배</t>
        </is>
      </c>
      <c r="D8" s="7" t="n">
        <v>60</v>
      </c>
      <c r="E8" s="7" t="inlineStr">
        <is>
          <t>2</t>
        </is>
      </c>
      <c r="F8" s="7" t="inlineStr">
        <is>
          <t>-</t>
        </is>
      </c>
      <c r="G8" s="7" t="inlineStr">
        <is>
          <t>Lv.25</t>
        </is>
      </c>
      <c r="H8" s="7" t="inlineStr">
        <is>
          <t>체력 30% 이하 즉사</t>
        </is>
      </c>
    </row>
    <row r="9">
      <c r="A9" s="8" t="inlineStr">
        <is>
          <t>어쌔신</t>
        </is>
      </c>
      <c r="B9" s="8" t="inlineStr">
        <is>
          <t>천 개의 칼날</t>
        </is>
      </c>
      <c r="C9" s="8" t="inlineStr">
        <is>
          <t>3.5배×7</t>
        </is>
      </c>
      <c r="D9" s="8" t="n">
        <v>150</v>
      </c>
      <c r="E9" s="8" t="inlineStr">
        <is>
          <t>3</t>
        </is>
      </c>
      <c r="F9" s="8" t="inlineStr">
        <is>
          <t>O</t>
        </is>
      </c>
      <c r="G9" s="8" t="inlineStr">
        <is>
          <t>Lv.40</t>
        </is>
      </c>
      <c r="H9" s="8" t="inlineStr">
        <is>
          <t>각성기 — v1.15 신규</t>
        </is>
      </c>
    </row>
    <row r="10">
      <c r="A10" s="7" t="inlineStr">
        <is>
          <t>워리어</t>
        </is>
      </c>
      <c r="B10" s="7" t="inlineStr">
        <is>
          <t>파워 스트라이크</t>
        </is>
      </c>
      <c r="C10" s="7" t="inlineStr">
        <is>
          <t>2.5배</t>
        </is>
      </c>
      <c r="D10" s="7" t="n">
        <v>4</v>
      </c>
      <c r="E10" s="7" t="inlineStr">
        <is>
          <t>4</t>
        </is>
      </c>
      <c r="F10" s="7" t="inlineStr">
        <is>
          <t>-</t>
        </is>
      </c>
      <c r="G10" s="7" t="inlineStr">
        <is>
          <t>Lv.1</t>
        </is>
      </c>
      <c r="H10" s="7" t="inlineStr">
        <is>
          <t>넉백</t>
        </is>
      </c>
    </row>
    <row r="11">
      <c r="A11" s="8" t="inlineStr">
        <is>
          <t>워리어</t>
        </is>
      </c>
      <c r="B11" s="8" t="inlineStr">
        <is>
          <t>전투 함성</t>
        </is>
      </c>
      <c r="C11" s="8" t="inlineStr">
        <is>
          <t>-</t>
        </is>
      </c>
      <c r="D11" s="8" t="n">
        <v>20</v>
      </c>
      <c r="E11" s="8" t="inlineStr">
        <is>
          <t>6</t>
        </is>
      </c>
      <c r="F11" s="8" t="inlineStr">
        <is>
          <t>-</t>
        </is>
      </c>
      <c r="G11" s="8" t="inlineStr">
        <is>
          <t>Lv.5</t>
        </is>
      </c>
      <c r="H11" s="8" t="inlineStr">
        <is>
          <t>아군 ATK +20% / 10초</t>
        </is>
      </c>
    </row>
    <row r="12">
      <c r="A12" s="7" t="inlineStr">
        <is>
          <t>워리어</t>
        </is>
      </c>
      <c r="B12" s="7" t="inlineStr">
        <is>
          <t>분노</t>
        </is>
      </c>
      <c r="C12" s="7" t="inlineStr">
        <is>
          <t>패시브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Lv.10</t>
        </is>
      </c>
      <c r="H12" s="7" t="inlineStr">
        <is>
          <t>HP 50% 이하 ATK +30%</t>
        </is>
      </c>
    </row>
    <row r="13">
      <c r="A13" s="8" t="inlineStr">
        <is>
          <t>워리어</t>
        </is>
      </c>
      <c r="B13" s="8" t="inlineStr">
        <is>
          <t>회전 베기</t>
        </is>
      </c>
      <c r="C13" s="8" t="inlineStr">
        <is>
          <t>2.0배</t>
        </is>
      </c>
      <c r="D13" s="8" t="n">
        <v>6</v>
      </c>
      <c r="E13" s="8" t="inlineStr">
        <is>
          <t>3</t>
        </is>
      </c>
      <c r="F13" s="8" t="inlineStr">
        <is>
          <t>O</t>
        </is>
      </c>
      <c r="G13" s="8" t="inlineStr">
        <is>
          <t>Lv.15</t>
        </is>
      </c>
      <c r="H13" s="8" t="inlineStr">
        <is>
          <t>광역 공격</t>
        </is>
      </c>
    </row>
    <row r="14">
      <c r="A14" s="7" t="inlineStr">
        <is>
          <t>워리어</t>
        </is>
      </c>
      <c r="B14" s="7" t="inlineStr">
        <is>
          <t>버서커</t>
        </is>
      </c>
      <c r="C14" s="7" t="inlineStr">
        <is>
          <t>2.0배 (15초)</t>
        </is>
      </c>
      <c r="D14" s="7" t="n">
        <v>90</v>
      </c>
      <c r="E14" s="7" t="inlineStr">
        <is>
          <t>-</t>
        </is>
      </c>
      <c r="F14" s="7" t="inlineStr">
        <is>
          <t>-</t>
        </is>
      </c>
      <c r="G14" s="7" t="inlineStr">
        <is>
          <t>Lv.25</t>
        </is>
      </c>
      <c r="H14" s="7" t="inlineStr">
        <is>
          <t>ATK·SPD 1.5배 / DEF 0.5배</t>
        </is>
      </c>
    </row>
    <row r="15">
      <c r="A15" s="8" t="inlineStr">
        <is>
          <t>워리어</t>
        </is>
      </c>
      <c r="B15" s="8" t="inlineStr">
        <is>
          <t>대지 가르기</t>
        </is>
      </c>
      <c r="C15" s="8" t="inlineStr">
        <is>
          <t>6.0배</t>
        </is>
      </c>
      <c r="D15" s="8" t="n">
        <v>150</v>
      </c>
      <c r="E15" s="8" t="inlineStr">
        <is>
          <t>5</t>
        </is>
      </c>
      <c r="F15" s="8" t="inlineStr">
        <is>
          <t>O</t>
        </is>
      </c>
      <c r="G15" s="8" t="inlineStr">
        <is>
          <t>Lv.40</t>
        </is>
      </c>
      <c r="H15" s="8" t="inlineStr">
        <is>
          <t>각성기 — 광역 + 스턴 2초 — v1.15</t>
        </is>
      </c>
    </row>
    <row r="16">
      <c r="A16" s="7" t="inlineStr">
        <is>
          <t>나이트</t>
        </is>
      </c>
      <c r="B16" s="7" t="inlineStr">
        <is>
          <t>방패 강타</t>
        </is>
      </c>
      <c r="C16" s="7" t="inlineStr">
        <is>
          <t>2.0배</t>
        </is>
      </c>
      <c r="D16" s="7" t="n">
        <v>6</v>
      </c>
      <c r="E16" s="7" t="inlineStr">
        <is>
          <t>3</t>
        </is>
      </c>
      <c r="F16" s="7" t="inlineStr">
        <is>
          <t>-</t>
        </is>
      </c>
      <c r="G16" s="7" t="inlineStr">
        <is>
          <t>Lv.1</t>
        </is>
      </c>
      <c r="H16" s="7" t="inlineStr">
        <is>
          <t>스턴 1초</t>
        </is>
      </c>
    </row>
    <row r="17">
      <c r="A17" s="8" t="inlineStr">
        <is>
          <t>나이트</t>
        </is>
      </c>
      <c r="B17" s="8" t="inlineStr">
        <is>
          <t>수호 오라</t>
        </is>
      </c>
      <c r="C17" s="8" t="inlineStr">
        <is>
          <t>패시브</t>
        </is>
      </c>
      <c r="D17" s="8" t="inlineStr">
        <is>
          <t>-</t>
        </is>
      </c>
      <c r="E17" s="8" t="inlineStr">
        <is>
          <t>5</t>
        </is>
      </c>
      <c r="F17" s="8" t="inlineStr">
        <is>
          <t>-</t>
        </is>
      </c>
      <c r="G17" s="8" t="inlineStr">
        <is>
          <t>Lv.5</t>
        </is>
      </c>
      <c r="H17" s="8" t="inlineStr">
        <is>
          <t>아군 DEF +15%</t>
        </is>
      </c>
    </row>
    <row r="18">
      <c r="A18" s="7" t="inlineStr">
        <is>
          <t>나이트</t>
        </is>
      </c>
      <c r="B18" s="7" t="inlineStr">
        <is>
          <t>도발</t>
        </is>
      </c>
      <c r="C18" s="7" t="inlineStr">
        <is>
          <t>-</t>
        </is>
      </c>
      <c r="D18" s="7" t="n">
        <v>10</v>
      </c>
      <c r="E18" s="7" t="inlineStr">
        <is>
          <t>8</t>
        </is>
      </c>
      <c r="F18" s="7" t="inlineStr">
        <is>
          <t>O</t>
        </is>
      </c>
      <c r="G18" s="7" t="inlineStr">
        <is>
          <t>Lv.10</t>
        </is>
      </c>
      <c r="H18" s="7" t="inlineStr">
        <is>
          <t>적 어그로 집중</t>
        </is>
      </c>
    </row>
    <row r="19">
      <c r="A19" s="8" t="inlineStr">
        <is>
          <t>나이트</t>
        </is>
      </c>
      <c r="B19" s="8" t="inlineStr">
        <is>
          <t>철벽 방어</t>
        </is>
      </c>
      <c r="C19" s="8" t="inlineStr">
        <is>
          <t>-</t>
        </is>
      </c>
      <c r="D19" s="8" t="n">
        <v>15</v>
      </c>
      <c r="E19" s="8" t="inlineStr">
        <is>
          <t>-</t>
        </is>
      </c>
      <c r="F19" s="8" t="inlineStr">
        <is>
          <t>-</t>
        </is>
      </c>
      <c r="G19" s="8" t="inlineStr">
        <is>
          <t>Lv.15</t>
        </is>
      </c>
      <c r="H19" s="8" t="inlineStr">
        <is>
          <t>피해 70% 감소 / 5초</t>
        </is>
      </c>
    </row>
    <row r="20">
      <c r="A20" s="7" t="inlineStr">
        <is>
          <t>나이트</t>
        </is>
      </c>
      <c r="B20" s="7" t="inlineStr">
        <is>
          <t>신성한 방벽</t>
        </is>
      </c>
      <c r="C20" s="7" t="inlineStr">
        <is>
          <t>-</t>
        </is>
      </c>
      <c r="D20" s="7" t="n">
        <v>120</v>
      </c>
      <c r="E20" s="7" t="inlineStr">
        <is>
          <t>6</t>
        </is>
      </c>
      <c r="F20" s="7" t="inlineStr">
        <is>
          <t>-</t>
        </is>
      </c>
      <c r="G20" s="7" t="inlineStr">
        <is>
          <t>Lv.25</t>
        </is>
      </c>
      <c r="H20" s="7" t="inlineStr">
        <is>
          <t>아군 무적 3초</t>
        </is>
      </c>
    </row>
    <row r="21">
      <c r="A21" s="8" t="inlineStr">
        <is>
          <t>나이트</t>
        </is>
      </c>
      <c r="B21" s="8" t="inlineStr">
        <is>
          <t>불멸의 수호자</t>
        </is>
      </c>
      <c r="C21" s="8" t="inlineStr">
        <is>
          <t>-</t>
        </is>
      </c>
      <c r="D21" s="8" t="n">
        <v>180</v>
      </c>
      <c r="E21" s="8" t="inlineStr">
        <is>
          <t>8</t>
        </is>
      </c>
      <c r="F21" s="8" t="inlineStr">
        <is>
          <t>-</t>
        </is>
      </c>
      <c r="G21" s="8" t="inlineStr">
        <is>
          <t>Lv.40</t>
        </is>
      </c>
      <c r="H21" s="8" t="inlineStr">
        <is>
          <t>각성기 — 피해 90% 감소 + 도발 — v1.15</t>
        </is>
      </c>
    </row>
    <row r="22">
      <c r="A22" s="7" t="inlineStr">
        <is>
          <t>메이지</t>
        </is>
      </c>
      <c r="B22" s="7" t="inlineStr">
        <is>
          <t>파이어볼</t>
        </is>
      </c>
      <c r="C22" s="7" t="inlineStr">
        <is>
          <t>3.0배</t>
        </is>
      </c>
      <c r="D22" s="7" t="n">
        <v>3</v>
      </c>
      <c r="E22" s="7" t="inlineStr">
        <is>
          <t>6</t>
        </is>
      </c>
      <c r="F22" s="7" t="inlineStr">
        <is>
          <t>O</t>
        </is>
      </c>
      <c r="G22" s="7" t="inlineStr">
        <is>
          <t>Lv.1</t>
        </is>
      </c>
      <c r="H22" s="7" t="inlineStr">
        <is>
          <t>광역 화염</t>
        </is>
      </c>
    </row>
    <row r="23">
      <c r="A23" s="8" t="inlineStr">
        <is>
          <t>메이지</t>
        </is>
      </c>
      <c r="B23" s="8" t="inlineStr">
        <is>
          <t>아이스 볼트</t>
        </is>
      </c>
      <c r="C23" s="8" t="inlineStr">
        <is>
          <t>2.0배</t>
        </is>
      </c>
      <c r="D23" s="8" t="n">
        <v>5</v>
      </c>
      <c r="E23" s="8" t="inlineStr">
        <is>
          <t>5</t>
        </is>
      </c>
      <c r="F23" s="8" t="inlineStr">
        <is>
          <t>-</t>
        </is>
      </c>
      <c r="G23" s="8" t="inlineStr">
        <is>
          <t>Lv.5</t>
        </is>
      </c>
      <c r="H23" s="8" t="inlineStr">
        <is>
          <t>슬로우 50% / 3초</t>
        </is>
      </c>
    </row>
    <row r="24">
      <c r="A24" s="7" t="inlineStr">
        <is>
          <t>메이지</t>
        </is>
      </c>
      <c r="B24" s="7" t="inlineStr">
        <is>
          <t>마나 재생</t>
        </is>
      </c>
      <c r="C24" s="7" t="inlineStr">
        <is>
          <t>패시브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Lv.10</t>
        </is>
      </c>
      <c r="H24" s="7" t="inlineStr">
        <is>
          <t>MP 재생 +50%</t>
        </is>
      </c>
    </row>
    <row r="25">
      <c r="A25" s="8" t="inlineStr">
        <is>
          <t>메이지</t>
        </is>
      </c>
      <c r="B25" s="8" t="inlineStr">
        <is>
          <t>체인 라이트닝</t>
        </is>
      </c>
      <c r="C25" s="8" t="inlineStr">
        <is>
          <t>2.5배</t>
        </is>
      </c>
      <c r="D25" s="8" t="n">
        <v>8</v>
      </c>
      <c r="E25" s="8" t="inlineStr">
        <is>
          <t>6</t>
        </is>
      </c>
      <c r="F25" s="8" t="inlineStr">
        <is>
          <t>-</t>
        </is>
      </c>
      <c r="G25" s="8" t="inlineStr">
        <is>
          <t>Lv.15</t>
        </is>
      </c>
      <c r="H25" s="8" t="inlineStr">
        <is>
          <t>3회 연쇄</t>
        </is>
      </c>
    </row>
    <row r="26">
      <c r="A26" s="7" t="inlineStr">
        <is>
          <t>메이지</t>
        </is>
      </c>
      <c r="B26" s="7" t="inlineStr">
        <is>
          <t>메테오</t>
        </is>
      </c>
      <c r="C26" s="7" t="inlineStr">
        <is>
          <t>10.0배</t>
        </is>
      </c>
      <c r="D26" s="7" t="n">
        <v>90</v>
      </c>
      <c r="E26" s="7" t="inlineStr">
        <is>
          <t>8</t>
        </is>
      </c>
      <c r="F26" s="7" t="inlineStr">
        <is>
          <t>O</t>
        </is>
      </c>
      <c r="G26" s="7" t="inlineStr">
        <is>
          <t>Lv.25</t>
        </is>
      </c>
      <c r="H26" s="7" t="inlineStr">
        <is>
          <t>초광역 궁극기</t>
        </is>
      </c>
    </row>
    <row r="27">
      <c r="A27" s="8" t="inlineStr">
        <is>
          <t>메이지</t>
        </is>
      </c>
      <c r="B27" s="8" t="inlineStr">
        <is>
          <t>시간 정지</t>
        </is>
      </c>
      <c r="C27" s="8" t="inlineStr">
        <is>
          <t>12.0배</t>
        </is>
      </c>
      <c r="D27" s="8" t="n">
        <v>180</v>
      </c>
      <c r="E27" s="8" t="inlineStr">
        <is>
          <t>10</t>
        </is>
      </c>
      <c r="F27" s="8" t="inlineStr">
        <is>
          <t>O</t>
        </is>
      </c>
      <c r="G27" s="8" t="inlineStr">
        <is>
          <t>Lv.40</t>
        </is>
      </c>
      <c r="H27" s="8" t="inlineStr">
        <is>
          <t>각성기 — 광역 슬로우 90% — v1.15</t>
        </is>
      </c>
    </row>
    <row r="28">
      <c r="A28" s="7" t="inlineStr">
        <is>
          <t>클레릭</t>
        </is>
      </c>
      <c r="B28" s="7" t="inlineStr">
        <is>
          <t>홀리 라이트</t>
        </is>
      </c>
      <c r="C28" s="7" t="inlineStr">
        <is>
          <t>2.0배</t>
        </is>
      </c>
      <c r="D28" s="7" t="n">
        <v>4</v>
      </c>
      <c r="E28" s="7" t="inlineStr">
        <is>
          <t>5</t>
        </is>
      </c>
      <c r="F28" s="7" t="inlineStr">
        <is>
          <t>-</t>
        </is>
      </c>
      <c r="G28" s="7" t="inlineStr">
        <is>
          <t>Lv.1</t>
        </is>
      </c>
      <c r="H28" s="7" t="inlineStr">
        <is>
          <t>신성 데미지</t>
        </is>
      </c>
    </row>
    <row r="29">
      <c r="A29" s="8" t="inlineStr">
        <is>
          <t>클레릭</t>
        </is>
      </c>
      <c r="B29" s="8" t="inlineStr">
        <is>
          <t>치유의 손길</t>
        </is>
      </c>
      <c r="C29" s="8" t="inlineStr">
        <is>
          <t>패시브</t>
        </is>
      </c>
      <c r="D29" s="8" t="inlineStr">
        <is>
          <t>-</t>
        </is>
      </c>
      <c r="E29" s="8" t="inlineStr">
        <is>
          <t>5</t>
        </is>
      </c>
      <c r="F29" s="8" t="inlineStr">
        <is>
          <t>-</t>
        </is>
      </c>
      <c r="G29" s="8" t="inlineStr">
        <is>
          <t>Lv.1</t>
        </is>
      </c>
      <c r="H29" s="8" t="inlineStr">
        <is>
          <t>주변 아군 +8 HP/4초</t>
        </is>
      </c>
    </row>
    <row r="30">
      <c r="A30" s="7" t="inlineStr">
        <is>
          <t>클레릭</t>
        </is>
      </c>
      <c r="B30" s="7" t="inlineStr">
        <is>
          <t>축복</t>
        </is>
      </c>
      <c r="C30" s="7" t="inlineStr">
        <is>
          <t>-</t>
        </is>
      </c>
      <c r="D30" s="7" t="n">
        <v>25</v>
      </c>
      <c r="E30" s="7" t="inlineStr">
        <is>
          <t>6</t>
        </is>
      </c>
      <c r="F30" s="7" t="inlineStr">
        <is>
          <t>-</t>
        </is>
      </c>
      <c r="G30" s="7" t="inlineStr">
        <is>
          <t>Lv.5</t>
        </is>
      </c>
      <c r="H30" s="7" t="inlineStr">
        <is>
          <t>아군 ATK +20% / 15초</t>
        </is>
      </c>
    </row>
    <row r="31">
      <c r="A31" s="8" t="inlineStr">
        <is>
          <t>클레릭</t>
        </is>
      </c>
      <c r="B31" s="8" t="inlineStr">
        <is>
          <t>정화</t>
        </is>
      </c>
      <c r="C31" s="8" t="inlineStr">
        <is>
          <t>-</t>
        </is>
      </c>
      <c r="D31" s="8" t="n">
        <v>15</v>
      </c>
      <c r="E31" s="8" t="inlineStr">
        <is>
          <t>5</t>
        </is>
      </c>
      <c r="F31" s="8" t="inlineStr">
        <is>
          <t>-</t>
        </is>
      </c>
      <c r="G31" s="8" t="inlineStr">
        <is>
          <t>Lv.10</t>
        </is>
      </c>
      <c r="H31" s="8" t="inlineStr">
        <is>
          <t>디버프 제거</t>
        </is>
      </c>
    </row>
    <row r="32">
      <c r="A32" s="7" t="inlineStr">
        <is>
          <t>클레릭</t>
        </is>
      </c>
      <c r="B32" s="7" t="inlineStr">
        <is>
          <t>대천사의 강림</t>
        </is>
      </c>
      <c r="C32" s="7" t="inlineStr">
        <is>
          <t>-</t>
        </is>
      </c>
      <c r="D32" s="7" t="n">
        <v>120</v>
      </c>
      <c r="E32" s="7" t="inlineStr">
        <is>
          <t>8</t>
        </is>
      </c>
      <c r="F32" s="7" t="inlineStr">
        <is>
          <t>-</t>
        </is>
      </c>
      <c r="G32" s="7" t="inlineStr">
        <is>
          <t>Lv.25</t>
        </is>
      </c>
      <c r="H32" s="7" t="inlineStr">
        <is>
          <t>아군 50% HP 회복</t>
        </is>
      </c>
    </row>
    <row r="33">
      <c r="A33" s="8" t="inlineStr">
        <is>
          <t>클레릭</t>
        </is>
      </c>
      <c r="B33" s="8" t="inlineStr">
        <is>
          <t>신의 은총</t>
        </is>
      </c>
      <c r="C33" s="8" t="inlineStr">
        <is>
          <t>-</t>
        </is>
      </c>
      <c r="D33" s="8" t="n">
        <v>200</v>
      </c>
      <c r="E33" s="8" t="inlineStr">
        <is>
          <t>10</t>
        </is>
      </c>
      <c r="F33" s="8" t="inlineStr">
        <is>
          <t>-</t>
        </is>
      </c>
      <c r="G33" s="8" t="inlineStr">
        <is>
          <t>Lv.40</t>
        </is>
      </c>
      <c r="H33" s="8" t="inlineStr">
        <is>
          <t>각성기 — 100% 회복 + 전스탯 +50% — v1.15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5" t="inlineStr">
        <is>
          <t>몬스터 &amp; 테이밍</t>
        </is>
      </c>
    </row>
    <row r="3">
      <c r="A3" s="6" t="inlineStr">
        <is>
          <t>등급</t>
        </is>
      </c>
      <c r="B3" s="6" t="inlineStr">
        <is>
          <t>이름</t>
        </is>
      </c>
      <c r="C3" s="6" t="inlineStr">
        <is>
          <t>HP</t>
        </is>
      </c>
      <c r="D3" s="6" t="inlineStr">
        <is>
          <t>ATK</t>
        </is>
      </c>
      <c r="E3" s="6" t="inlineStr">
        <is>
          <t>DEF</t>
        </is>
      </c>
      <c r="F3" s="6" t="inlineStr">
        <is>
          <t>경험치</t>
        </is>
      </c>
      <c r="G3" s="6" t="inlineStr">
        <is>
          <t>골드</t>
        </is>
      </c>
      <c r="H3" s="6" t="inlineStr">
        <is>
          <t>스폰비중</t>
        </is>
      </c>
      <c r="I3" s="6" t="inlineStr">
        <is>
          <t>색상</t>
        </is>
      </c>
      <c r="J3" s="6" t="inlineStr">
        <is>
          <t>테이밍확률</t>
        </is>
      </c>
      <c r="K3" s="6" t="inlineStr">
        <is>
          <t>테이밍비용</t>
        </is>
      </c>
    </row>
    <row r="4">
      <c r="A4" s="7" t="inlineStr">
        <is>
          <t>Normal</t>
        </is>
      </c>
      <c r="B4" s="7" t="inlineStr">
        <is>
          <t>슬라임</t>
        </is>
      </c>
      <c r="C4" s="7" t="n">
        <v>60</v>
      </c>
      <c r="D4" s="7" t="n">
        <v>5</v>
      </c>
      <c r="E4" s="7" t="n">
        <v>2</v>
      </c>
      <c r="F4" s="7" t="n">
        <v>15</v>
      </c>
      <c r="G4" s="7" t="n">
        <v>8</v>
      </c>
      <c r="H4" s="7" t="inlineStr">
        <is>
          <t>60%</t>
        </is>
      </c>
      <c r="I4" s="7" t="inlineStr">
        <is>
          <t>#88cc88</t>
        </is>
      </c>
      <c r="J4" s="7" t="inlineStr">
        <is>
          <t>30%</t>
        </is>
      </c>
      <c r="K4" s="7" t="inlineStr">
        <is>
          <t>50G</t>
        </is>
      </c>
    </row>
    <row r="5">
      <c r="A5" s="8" t="inlineStr">
        <is>
          <t>Elite</t>
        </is>
      </c>
      <c r="B5" s="8" t="inlineStr">
        <is>
          <t>오크 전사</t>
        </is>
      </c>
      <c r="C5" s="8" t="n">
        <v>200</v>
      </c>
      <c r="D5" s="8" t="n">
        <v>15</v>
      </c>
      <c r="E5" s="8" t="n">
        <v>8</v>
      </c>
      <c r="F5" s="8" t="n">
        <v>50</v>
      </c>
      <c r="G5" s="8" t="n">
        <v>30</v>
      </c>
      <c r="H5" s="8" t="inlineStr">
        <is>
          <t>25%</t>
        </is>
      </c>
      <c r="I5" s="8" t="inlineStr">
        <is>
          <t>#ccaa44</t>
        </is>
      </c>
      <c r="J5" s="8" t="inlineStr">
        <is>
          <t>15%</t>
        </is>
      </c>
      <c r="K5" s="8" t="inlineStr">
        <is>
          <t>50G</t>
        </is>
      </c>
    </row>
    <row r="6">
      <c r="A6" s="7" t="inlineStr">
        <is>
          <t>Rare</t>
        </is>
      </c>
      <c r="B6" s="7" t="inlineStr">
        <is>
          <t>다크 나이트</t>
        </is>
      </c>
      <c r="C6" s="7" t="n">
        <v>500</v>
      </c>
      <c r="D6" s="7" t="n">
        <v>30</v>
      </c>
      <c r="E6" s="7" t="n">
        <v>15</v>
      </c>
      <c r="F6" s="7" t="n">
        <v>120</v>
      </c>
      <c r="G6" s="7" t="n">
        <v>80</v>
      </c>
      <c r="H6" s="7" t="inlineStr">
        <is>
          <t>10%</t>
        </is>
      </c>
      <c r="I6" s="7" t="inlineStr">
        <is>
          <t>#aa44cc</t>
        </is>
      </c>
      <c r="J6" s="7" t="inlineStr">
        <is>
          <t>8%</t>
        </is>
      </c>
      <c r="K6" s="7" t="inlineStr">
        <is>
          <t>50G</t>
        </is>
      </c>
    </row>
    <row r="7">
      <c r="A7" s="8" t="inlineStr">
        <is>
          <t>Boss</t>
        </is>
      </c>
      <c r="B7" s="8" t="inlineStr">
        <is>
          <t>드래곤</t>
        </is>
      </c>
      <c r="C7" s="8" t="n">
        <v>2000</v>
      </c>
      <c r="D7" s="8" t="n">
        <v>60</v>
      </c>
      <c r="E7" s="8" t="n">
        <v>30</v>
      </c>
      <c r="F7" s="8" t="n">
        <v>500</v>
      </c>
      <c r="G7" s="8" t="n">
        <v>300</v>
      </c>
      <c r="H7" s="8" t="inlineStr">
        <is>
          <t>5%</t>
        </is>
      </c>
      <c r="I7" s="8" t="inlineStr">
        <is>
          <t>#ff4444</t>
        </is>
      </c>
      <c r="J7" s="8" t="inlineStr">
        <is>
          <t>3%</t>
        </is>
      </c>
      <c r="K7" s="8" t="inlineStr">
        <is>
          <t>50G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0" customWidth="1" min="4" max="4"/>
    <col width="10" customWidth="1" min="5" max="5"/>
    <col width="6" customWidth="1" min="6" max="6"/>
    <col width="30" customWidth="1" min="7" max="7"/>
  </cols>
  <sheetData>
    <row r="1">
      <c r="A1" s="5" t="inlineStr">
        <is>
          <t>맵 구성 (51개 지역 — 중앙/동부/서부 확장)</t>
        </is>
      </c>
    </row>
    <row r="3">
      <c r="A3" s="6" t="inlineStr">
        <is>
          <t>구분</t>
        </is>
      </c>
      <c r="B3" s="6" t="inlineStr">
        <is>
          <t>지역명</t>
        </is>
      </c>
      <c r="C3" s="6" t="inlineStr">
        <is>
          <t>좌표</t>
        </is>
      </c>
      <c r="D3" s="6" t="inlineStr">
        <is>
          <t>크기</t>
        </is>
      </c>
      <c r="E3" s="6" t="inlineStr">
        <is>
          <t>추천Lv</t>
        </is>
      </c>
      <c r="F3" s="6" t="inlineStr">
        <is>
          <t>안전</t>
        </is>
      </c>
      <c r="G3" s="6" t="inlineStr">
        <is>
          <t>특징/NPC</t>
        </is>
      </c>
    </row>
    <row r="4">
      <c r="A4" s="7" t="inlineStr">
        <is>
          <t>마을</t>
        </is>
      </c>
      <c r="B4" s="7" t="inlineStr">
        <is>
          <t>바람개비 마을</t>
        </is>
      </c>
      <c r="C4" s="7" t="inlineStr">
        <is>
          <t>(-500,-500)</t>
        </is>
      </c>
      <c r="D4" s="7" t="inlineStr">
        <is>
          <t>60×60</t>
        </is>
      </c>
      <c r="E4" s="7" t="inlineStr">
        <is>
          <t>1-99</t>
        </is>
      </c>
      <c r="F4" s="7" t="inlineStr">
        <is>
          <t>O</t>
        </is>
      </c>
      <c r="G4" s="7" t="inlineStr">
        <is>
          <t>상점/대장장이/힐러/제작소</t>
        </is>
      </c>
    </row>
    <row r="5">
      <c r="A5" s="8" t="inlineStr">
        <is>
          <t>마을</t>
        </is>
      </c>
      <c r="B5" s="8" t="inlineStr">
        <is>
          <t>별빛 항구</t>
        </is>
      </c>
      <c r="C5" s="8" t="inlineStr">
        <is>
          <t>(350,-450)</t>
        </is>
      </c>
      <c r="D5" s="8" t="inlineStr">
        <is>
          <t>50×50</t>
        </is>
      </c>
      <c r="E5" s="8" t="inlineStr">
        <is>
          <t>1-99</t>
        </is>
      </c>
      <c r="F5" s="8" t="inlineStr">
        <is>
          <t>O</t>
        </is>
      </c>
      <c r="G5" s="8" t="inlineStr">
        <is>
          <t>상점/펫 상인/항해사</t>
        </is>
      </c>
    </row>
    <row r="6">
      <c r="A6" s="7" t="inlineStr">
        <is>
          <t>마을</t>
        </is>
      </c>
      <c r="B6" s="7" t="inlineStr">
        <is>
          <t>달빛 오아시스</t>
        </is>
      </c>
      <c r="C6" s="7" t="inlineStr">
        <is>
          <t>(-100,0)</t>
        </is>
      </c>
      <c r="D6" s="7" t="inlineStr">
        <is>
          <t>50×50</t>
        </is>
      </c>
      <c r="E6" s="7" t="inlineStr">
        <is>
          <t>1-99</t>
        </is>
      </c>
      <c r="F6" s="7" t="inlineStr">
        <is>
          <t>O</t>
        </is>
      </c>
      <c r="G6" s="7" t="inlineStr">
        <is>
          <t>상점/제작소</t>
        </is>
      </c>
    </row>
    <row r="7">
      <c r="A7" s="8" t="inlineStr">
        <is>
          <t>마을</t>
        </is>
      </c>
      <c r="B7" s="8" t="inlineStr">
        <is>
          <t>구름마루 산장</t>
        </is>
      </c>
      <c r="C7" s="8" t="inlineStr">
        <is>
          <t>(300,100)</t>
        </is>
      </c>
      <c r="D7" s="8" t="inlineStr">
        <is>
          <t>50×50</t>
        </is>
      </c>
      <c r="E7" s="8" t="inlineStr">
        <is>
          <t>1-99</t>
        </is>
      </c>
      <c r="F7" s="8" t="inlineStr">
        <is>
          <t>O</t>
        </is>
      </c>
      <c r="G7" s="8" t="inlineStr">
        <is>
          <t>상점/대장장이</t>
        </is>
      </c>
    </row>
    <row r="8">
      <c r="A8" s="7" t="inlineStr">
        <is>
          <t>마을</t>
        </is>
      </c>
      <c r="B8" s="7" t="inlineStr">
        <is>
          <t>끝자락 전초기지</t>
        </is>
      </c>
      <c r="C8" s="7" t="inlineStr">
        <is>
          <t>(-300,350)</t>
        </is>
      </c>
      <c r="D8" s="7" t="inlineStr">
        <is>
          <t>50×50</t>
        </is>
      </c>
      <c r="E8" s="7" t="inlineStr">
        <is>
          <t>1-99</t>
        </is>
      </c>
      <c r="F8" s="7" t="inlineStr">
        <is>
          <t>O</t>
        </is>
      </c>
      <c r="G8" s="7" t="inlineStr">
        <is>
          <t>상점/힐러</t>
        </is>
      </c>
    </row>
    <row r="9">
      <c r="A9" s="8" t="inlineStr">
        <is>
          <t>초보</t>
        </is>
      </c>
      <c r="B9" s="8" t="inlineStr">
        <is>
          <t>이슬숲</t>
        </is>
      </c>
      <c r="C9" s="8" t="inlineStr">
        <is>
          <t>(-420,-400)</t>
        </is>
      </c>
      <c r="D9" s="8" t="inlineStr">
        <is>
          <t>80×70</t>
        </is>
      </c>
      <c r="E9" s="8" t="inlineStr">
        <is>
          <t>1-10</t>
        </is>
      </c>
      <c r="F9" s="8" t="inlineStr">
        <is>
          <t>X</t>
        </is>
      </c>
      <c r="G9" s="8" t="inlineStr">
        <is>
          <t>숲 지형, 슬라임 다수</t>
        </is>
      </c>
    </row>
    <row r="10">
      <c r="A10" s="7" t="inlineStr">
        <is>
          <t>초보</t>
        </is>
      </c>
      <c r="B10" s="7" t="inlineStr">
        <is>
          <t>해바라기 들판</t>
        </is>
      </c>
      <c r="C10" s="7" t="inlineStr">
        <is>
          <t>(-300,-450)</t>
        </is>
      </c>
      <c r="D10" s="7" t="inlineStr">
        <is>
          <t>80×60</t>
        </is>
      </c>
      <c r="E10" s="7" t="inlineStr">
        <is>
          <t>3-12</t>
        </is>
      </c>
      <c r="F10" s="7" t="inlineStr">
        <is>
          <t>X</t>
        </is>
      </c>
      <c r="G10" s="7" t="inlineStr">
        <is>
          <t>평원 지형</t>
        </is>
      </c>
    </row>
    <row r="11">
      <c r="A11" s="8" t="inlineStr">
        <is>
          <t>초보</t>
        </is>
      </c>
      <c r="B11" s="8" t="inlineStr">
        <is>
          <t>꽃잎 초원</t>
        </is>
      </c>
      <c r="C11" s="8" t="inlineStr">
        <is>
          <t>(-150,-400)</t>
        </is>
      </c>
      <c r="D11" s="8" t="inlineStr">
        <is>
          <t>70×60</t>
        </is>
      </c>
      <c r="E11" s="8" t="inlineStr">
        <is>
          <t>5-15</t>
        </is>
      </c>
      <c r="F11" s="8" t="inlineStr">
        <is>
          <t>X</t>
        </is>
      </c>
      <c r="G11" s="8" t="inlineStr">
        <is>
          <t>초원 지형</t>
        </is>
      </c>
    </row>
    <row r="12">
      <c r="A12" s="7" t="inlineStr">
        <is>
          <t>중급</t>
        </is>
      </c>
      <c r="B12" s="7" t="inlineStr">
        <is>
          <t>안개골 늪지</t>
        </is>
      </c>
      <c r="C12" s="7" t="inlineStr">
        <is>
          <t>(50,-350)</t>
        </is>
      </c>
      <c r="D12" s="7" t="inlineStr">
        <is>
          <t>70×70</t>
        </is>
      </c>
      <c r="E12" s="7" t="inlineStr">
        <is>
          <t>10-20</t>
        </is>
      </c>
      <c r="F12" s="7" t="inlineStr">
        <is>
          <t>X</t>
        </is>
      </c>
      <c r="G12" s="7" t="inlineStr">
        <is>
          <t>늪 지형, 독 데미지</t>
        </is>
      </c>
    </row>
    <row r="13">
      <c r="A13" s="8" t="inlineStr">
        <is>
          <t>중급</t>
        </is>
      </c>
      <c r="B13" s="8" t="inlineStr">
        <is>
          <t>붉은모래 사막</t>
        </is>
      </c>
      <c r="C13" s="8" t="inlineStr">
        <is>
          <t>(200,-350)</t>
        </is>
      </c>
      <c r="D13" s="8" t="inlineStr">
        <is>
          <t>80×70</t>
        </is>
      </c>
      <c r="E13" s="8" t="inlineStr">
        <is>
          <t>12-22</t>
        </is>
      </c>
      <c r="F13" s="8" t="inlineStr">
        <is>
          <t>X</t>
        </is>
      </c>
      <c r="G13" s="8" t="inlineStr">
        <is>
          <t>사막 지형</t>
        </is>
      </c>
    </row>
    <row r="14">
      <c r="A14" s="7" t="inlineStr">
        <is>
          <t>중급</t>
        </is>
      </c>
      <c r="B14" s="7" t="inlineStr">
        <is>
          <t>수정 동굴</t>
        </is>
      </c>
      <c r="C14" s="7" t="inlineStr">
        <is>
          <t>(-400,-200)</t>
        </is>
      </c>
      <c r="D14" s="7" t="inlineStr">
        <is>
          <t>70×70</t>
        </is>
      </c>
      <c r="E14" s="7" t="inlineStr">
        <is>
          <t>15-25</t>
        </is>
      </c>
      <c r="F14" s="7" t="inlineStr">
        <is>
          <t>X</t>
        </is>
      </c>
      <c r="G14" s="7" t="inlineStr">
        <is>
          <t>던전 지형, 레어 출현</t>
        </is>
      </c>
    </row>
    <row r="15">
      <c r="A15" s="8" t="inlineStr">
        <is>
          <t>중급</t>
        </is>
      </c>
      <c r="B15" s="8" t="inlineStr">
        <is>
          <t>달그림자 유적</t>
        </is>
      </c>
      <c r="C15" s="8" t="inlineStr">
        <is>
          <t>(-250,-200)</t>
        </is>
      </c>
      <c r="D15" s="8" t="inlineStr">
        <is>
          <t>70×60</t>
        </is>
      </c>
      <c r="E15" s="8" t="inlineStr">
        <is>
          <t>18-28</t>
        </is>
      </c>
      <c r="F15" s="8" t="inlineStr">
        <is>
          <t>X</t>
        </is>
      </c>
      <c r="G15" s="8" t="inlineStr">
        <is>
          <t>유적 지형</t>
        </is>
      </c>
    </row>
    <row r="16">
      <c r="A16" s="7" t="inlineStr">
        <is>
          <t>중급</t>
        </is>
      </c>
      <c r="B16" s="7" t="inlineStr">
        <is>
          <t>산호초 해안</t>
        </is>
      </c>
      <c r="C16" s="7" t="inlineStr">
        <is>
          <t>(400,-250)</t>
        </is>
      </c>
      <c r="D16" s="7" t="inlineStr">
        <is>
          <t>60×60</t>
        </is>
      </c>
      <c r="E16" s="7" t="inlineStr">
        <is>
          <t>10-18</t>
        </is>
      </c>
      <c r="F16" s="7" t="inlineStr">
        <is>
          <t>X</t>
        </is>
      </c>
      <c r="G16" s="7" t="inlineStr">
        <is>
          <t>해안 지형</t>
        </is>
      </c>
    </row>
    <row r="17">
      <c r="A17" s="8" t="inlineStr">
        <is>
          <t>고급</t>
        </is>
      </c>
      <c r="B17" s="8" t="inlineStr">
        <is>
          <t>불꽃산</t>
        </is>
      </c>
      <c r="C17" s="8" t="inlineStr">
        <is>
          <t>(150,-150)</t>
        </is>
      </c>
      <c r="D17" s="8" t="inlineStr">
        <is>
          <t>80×70</t>
        </is>
      </c>
      <c r="E17" s="8" t="inlineStr">
        <is>
          <t>25-40</t>
        </is>
      </c>
      <c r="F17" s="8" t="inlineStr">
        <is>
          <t>X</t>
        </is>
      </c>
      <c r="G17" s="8" t="inlineStr">
        <is>
          <t>용암 지형, 화상 데미지</t>
        </is>
      </c>
    </row>
    <row r="18">
      <c r="A18" s="7" t="inlineStr">
        <is>
          <t>고급</t>
        </is>
      </c>
      <c r="B18" s="7" t="inlineStr">
        <is>
          <t>고요한 무덤</t>
        </is>
      </c>
      <c r="C18" s="7" t="inlineStr">
        <is>
          <t>(-400,-50)</t>
        </is>
      </c>
      <c r="D18" s="7" t="inlineStr">
        <is>
          <t>70×60</t>
        </is>
      </c>
      <c r="E18" s="7" t="inlineStr">
        <is>
          <t>28-38</t>
        </is>
      </c>
      <c r="F18" s="7" t="inlineStr">
        <is>
          <t>X</t>
        </is>
      </c>
      <c r="G18" s="7" t="inlineStr">
        <is>
          <t>언데드 출현</t>
        </is>
      </c>
    </row>
    <row r="19">
      <c r="A19" s="8" t="inlineStr">
        <is>
          <t>고급</t>
        </is>
      </c>
      <c r="B19" s="8" t="inlineStr">
        <is>
          <t>그림자숲</t>
        </is>
      </c>
      <c r="C19" s="8" t="inlineStr">
        <is>
          <t>(200,-50)</t>
        </is>
      </c>
      <c r="D19" s="8" t="inlineStr">
        <is>
          <t>70×70</t>
        </is>
      </c>
      <c r="E19" s="8" t="inlineStr">
        <is>
          <t>30-45</t>
        </is>
      </c>
      <c r="F19" s="8" t="inlineStr">
        <is>
          <t>X</t>
        </is>
      </c>
      <c r="G19" s="8" t="inlineStr">
        <is>
          <t>암흑 지형, 시야 감소</t>
        </is>
      </c>
    </row>
    <row r="20">
      <c r="A20" s="7" t="inlineStr">
        <is>
          <t>고급</t>
        </is>
      </c>
      <c r="B20" s="7" t="inlineStr">
        <is>
          <t>얼음 협곡</t>
        </is>
      </c>
      <c r="C20" s="7" t="inlineStr">
        <is>
          <t>(-350,100)</t>
        </is>
      </c>
      <c r="D20" s="7" t="inlineStr">
        <is>
          <t>70×60</t>
        </is>
      </c>
      <c r="E20" s="7" t="inlineStr">
        <is>
          <t>25-35</t>
        </is>
      </c>
      <c r="F20" s="7" t="inlineStr">
        <is>
          <t>X</t>
        </is>
      </c>
      <c r="G20" s="7" t="inlineStr">
        <is>
          <t>빙결 지형, 슬로우</t>
        </is>
      </c>
    </row>
    <row r="21">
      <c r="A21" s="8" t="inlineStr">
        <is>
          <t>최상급</t>
        </is>
      </c>
      <c r="B21" s="8" t="inlineStr">
        <is>
          <t>용의 요람</t>
        </is>
      </c>
      <c r="C21" s="8" t="inlineStr">
        <is>
          <t>(350,150)</t>
        </is>
      </c>
      <c r="D21" s="8" t="inlineStr">
        <is>
          <t>70×70</t>
        </is>
      </c>
      <c r="E21" s="8" t="inlineStr">
        <is>
          <t>35-99</t>
        </is>
      </c>
      <c r="F21" s="8" t="inlineStr">
        <is>
          <t>X</t>
        </is>
      </c>
      <c r="G21" s="8" t="inlineStr">
        <is>
          <t>드래곤 보스 출현</t>
        </is>
      </c>
    </row>
    <row r="22">
      <c r="A22" s="7" t="inlineStr">
        <is>
          <t>최상급</t>
        </is>
      </c>
      <c r="B22" s="7" t="inlineStr">
        <is>
          <t>어둠의 심연</t>
        </is>
      </c>
      <c r="C22" s="7" t="inlineStr">
        <is>
          <t>(-400,200)</t>
        </is>
      </c>
      <c r="D22" s="7" t="inlineStr">
        <is>
          <t>80×70</t>
        </is>
      </c>
      <c r="E22" s="7" t="inlineStr">
        <is>
          <t>40-99</t>
        </is>
      </c>
      <c r="F22" s="7" t="inlineStr">
        <is>
          <t>X</t>
        </is>
      </c>
      <c r="G22" s="7" t="inlineStr">
        <is>
          <t>최강 몬스터</t>
        </is>
      </c>
    </row>
    <row r="23">
      <c r="A23" s="8" t="inlineStr">
        <is>
          <t>최상급</t>
        </is>
      </c>
      <c r="B23" s="8" t="inlineStr">
        <is>
          <t>혼돈의 문</t>
        </is>
      </c>
      <c r="C23" s="8" t="inlineStr">
        <is>
          <t>(-200,250)</t>
        </is>
      </c>
      <c r="D23" s="8" t="inlineStr">
        <is>
          <t>70×70</t>
        </is>
      </c>
      <c r="E23" s="8" t="inlineStr">
        <is>
          <t>45-99</t>
        </is>
      </c>
      <c r="F23" s="8" t="inlineStr">
        <is>
          <t>X</t>
        </is>
      </c>
      <c r="G23" s="8" t="inlineStr">
        <is>
          <t>카오스 지형</t>
        </is>
      </c>
    </row>
    <row r="24">
      <c r="A24" s="7" t="inlineStr">
        <is>
          <t>최상급</t>
        </is>
      </c>
      <c r="B24" s="7" t="inlineStr">
        <is>
          <t>태고의 숲</t>
        </is>
      </c>
      <c r="C24" s="7" t="inlineStr">
        <is>
          <t>(100,300)</t>
        </is>
      </c>
      <c r="D24" s="7" t="inlineStr">
        <is>
          <t>80×70</t>
        </is>
      </c>
      <c r="E24" s="7" t="inlineStr">
        <is>
          <t>35-50</t>
        </is>
      </c>
      <c r="F24" s="7" t="inlineStr">
        <is>
          <t>X</t>
        </is>
      </c>
      <c r="G24" s="7" t="inlineStr">
        <is>
          <t>고대 몬스터</t>
        </is>
      </c>
    </row>
    <row r="25">
      <c r="A25" s="8" t="inlineStr">
        <is>
          <t>PK존</t>
        </is>
      </c>
      <c r="B25" s="8" t="inlineStr">
        <is>
          <t>피의 골짜기</t>
        </is>
      </c>
      <c r="C25" s="8" t="inlineStr">
        <is>
          <t>(100,200)</t>
        </is>
      </c>
      <c r="D25" s="8" t="inlineStr">
        <is>
          <t>80×70</t>
        </is>
      </c>
      <c r="E25" s="8" t="inlineStr">
        <is>
          <t>20-99</t>
        </is>
      </c>
      <c r="F25" s="8" t="inlineStr">
        <is>
          <t>X</t>
        </is>
      </c>
      <c r="G25" s="8" t="inlineStr">
        <is>
          <t>PK 페널티 없음</t>
        </is>
      </c>
    </row>
    <row r="26">
      <c r="A26" s="7" t="inlineStr">
        <is>
          <t>PK존</t>
        </is>
      </c>
      <c r="B26" s="7" t="inlineStr">
        <is>
          <t>전쟁의 벌판</t>
        </is>
      </c>
      <c r="C26" s="7" t="inlineStr">
        <is>
          <t>(-100,350)</t>
        </is>
      </c>
      <c r="D26" s="7" t="inlineStr">
        <is>
          <t>90×70</t>
        </is>
      </c>
      <c r="E26" s="7" t="inlineStr">
        <is>
          <t>15-99</t>
        </is>
      </c>
      <c r="F26" s="7" t="inlineStr">
        <is>
          <t>X</t>
        </is>
      </c>
      <c r="G26" s="7" t="inlineStr">
        <is>
          <t>PK 페널티 없음</t>
        </is>
      </c>
    </row>
    <row r="27">
      <c r="A27" s="8" t="inlineStr">
        <is>
          <t>특수</t>
        </is>
      </c>
      <c r="B27" s="8" t="inlineStr">
        <is>
          <t>하늘의 성채</t>
        </is>
      </c>
      <c r="C27" s="8" t="inlineStr">
        <is>
          <t>(0,400)</t>
        </is>
      </c>
      <c r="D27" s="8" t="inlineStr">
        <is>
          <t>80×70</t>
        </is>
      </c>
      <c r="E27" s="8" t="inlineStr">
        <is>
          <t>20-99</t>
        </is>
      </c>
      <c r="F27" s="8" t="inlineStr">
        <is>
          <t>X</t>
        </is>
      </c>
      <c r="G27" s="8" t="inlineStr">
        <is>
          <t>길드 성 점령전</t>
        </is>
      </c>
    </row>
    <row r="28">
      <c r="A28" s="7" t="inlineStr">
        <is>
          <t>특수</t>
        </is>
      </c>
      <c r="B28" s="7" t="inlineStr">
        <is>
          <t>투기장</t>
        </is>
      </c>
      <c r="C28" s="7" t="inlineStr">
        <is>
          <t>(350,350)</t>
        </is>
      </c>
      <c r="D28" s="7" t="inlineStr">
        <is>
          <t>50×50</t>
        </is>
      </c>
      <c r="E28" s="7" t="inlineStr">
        <is>
          <t>10-99</t>
        </is>
      </c>
      <c r="F28" s="7" t="inlineStr">
        <is>
          <t>O</t>
        </is>
      </c>
      <c r="G28" s="7" t="inlineStr">
        <is>
          <t>PvP 매칭존</t>
        </is>
      </c>
    </row>
    <row r="29">
      <c r="A29" s="8" t="inlineStr">
        <is>
          <t>마을</t>
        </is>
      </c>
      <c r="B29" s="8" t="inlineStr">
        <is>
          <t>동쪽 항구</t>
        </is>
      </c>
      <c r="C29" s="8" t="inlineStr">
        <is>
          <t>(700,-700)</t>
        </is>
      </c>
      <c r="D29" s="8" t="inlineStr">
        <is>
          <t>50×50</t>
        </is>
      </c>
      <c r="E29" s="8" t="inlineStr">
        <is>
          <t>1-99</t>
        </is>
      </c>
      <c r="F29" s="8" t="inlineStr">
        <is>
          <t>O</t>
        </is>
      </c>
      <c r="G29" s="8" t="inlineStr">
        <is>
          <t>상점/항해사/힐러</t>
        </is>
      </c>
    </row>
    <row r="30">
      <c r="A30" s="7" t="inlineStr">
        <is>
          <t>초보</t>
        </is>
      </c>
      <c r="B30" s="7" t="inlineStr">
        <is>
          <t>버섯 골짜기</t>
        </is>
      </c>
      <c r="C30" s="7" t="inlineStr">
        <is>
          <t>(600,-500)</t>
        </is>
      </c>
      <c r="D30" s="7" t="inlineStr">
        <is>
          <t>80×70</t>
        </is>
      </c>
      <c r="E30" s="7" t="inlineStr">
        <is>
          <t>5-12</t>
        </is>
      </c>
      <c r="F30" s="7" t="inlineStr">
        <is>
          <t>X</t>
        </is>
      </c>
      <c r="G30" s="7" t="inlineStr">
        <is>
          <t>버섯 몬스터 군락</t>
        </is>
      </c>
    </row>
    <row r="31">
      <c r="A31" s="8" t="inlineStr">
        <is>
          <t>중급</t>
        </is>
      </c>
      <c r="B31" s="8" t="inlineStr">
        <is>
          <t>강변 평야</t>
        </is>
      </c>
      <c r="C31" s="8" t="inlineStr">
        <is>
          <t>(800,-300)</t>
        </is>
      </c>
      <c r="D31" s="8" t="inlineStr">
        <is>
          <t>80×60</t>
        </is>
      </c>
      <c r="E31" s="8" t="inlineStr">
        <is>
          <t>8-18</t>
        </is>
      </c>
      <c r="F31" s="8" t="inlineStr">
        <is>
          <t>X</t>
        </is>
      </c>
      <c r="G31" s="8" t="inlineStr">
        <is>
          <t>강변 지형</t>
        </is>
      </c>
    </row>
    <row r="32">
      <c r="A32" s="7" t="inlineStr">
        <is>
          <t>중급</t>
        </is>
      </c>
      <c r="B32" s="7" t="inlineStr">
        <is>
          <t>모래폭풍 협곡</t>
        </is>
      </c>
      <c r="C32" s="7" t="inlineStr">
        <is>
          <t>(600,-100)</t>
        </is>
      </c>
      <c r="D32" s="7" t="inlineStr">
        <is>
          <t>80×70</t>
        </is>
      </c>
      <c r="E32" s="7" t="inlineStr">
        <is>
          <t>15-25</t>
        </is>
      </c>
      <c r="F32" s="7" t="inlineStr">
        <is>
          <t>X</t>
        </is>
      </c>
      <c r="G32" s="7" t="inlineStr">
        <is>
          <t>모래 폭풍 시야 감소</t>
        </is>
      </c>
    </row>
    <row r="33">
      <c r="A33" s="8" t="inlineStr">
        <is>
          <t>중급</t>
        </is>
      </c>
      <c r="B33" s="8" t="inlineStr">
        <is>
          <t>수몰 신전</t>
        </is>
      </c>
      <c r="C33" s="8" t="inlineStr">
        <is>
          <t>(700,100)</t>
        </is>
      </c>
      <c r="D33" s="8" t="inlineStr">
        <is>
          <t>70×70</t>
        </is>
      </c>
      <c r="E33" s="8" t="inlineStr">
        <is>
          <t>20-30</t>
        </is>
      </c>
      <c r="F33" s="8" t="inlineStr">
        <is>
          <t>X</t>
        </is>
      </c>
      <c r="G33" s="8" t="inlineStr">
        <is>
          <t>수중 던전</t>
        </is>
      </c>
    </row>
    <row r="34">
      <c r="A34" s="7" t="inlineStr">
        <is>
          <t>고급</t>
        </is>
      </c>
      <c r="B34" s="7" t="inlineStr">
        <is>
          <t>그림자 영역</t>
        </is>
      </c>
      <c r="C34" s="7" t="inlineStr">
        <is>
          <t>(800,400)</t>
        </is>
      </c>
      <c r="D34" s="7" t="inlineStr">
        <is>
          <t>70×70</t>
        </is>
      </c>
      <c r="E34" s="7" t="inlineStr">
        <is>
          <t>32-45</t>
        </is>
      </c>
      <c r="F34" s="7" t="inlineStr">
        <is>
          <t>X</t>
        </is>
      </c>
      <c r="G34" s="7" t="inlineStr">
        <is>
          <t>암흑 지대</t>
        </is>
      </c>
    </row>
    <row r="35">
      <c r="A35" s="8" t="inlineStr">
        <is>
          <t>최상급</t>
        </is>
      </c>
      <c r="B35" s="8" t="inlineStr">
        <is>
          <t>천공의 정상</t>
        </is>
      </c>
      <c r="C35" s="8" t="inlineStr">
        <is>
          <t>(700,700)</t>
        </is>
      </c>
      <c r="D35" s="8" t="inlineStr">
        <is>
          <t>80×80</t>
        </is>
      </c>
      <c r="E35" s="8" t="inlineStr">
        <is>
          <t>40-60</t>
        </is>
      </c>
      <c r="F35" s="8" t="inlineStr">
        <is>
          <t>X</t>
        </is>
      </c>
      <c r="G35" s="8" t="inlineStr">
        <is>
          <t>천공 드래곤 출현</t>
        </is>
      </c>
    </row>
    <row r="36">
      <c r="A36" s="7" t="inlineStr">
        <is>
          <t>최상급</t>
        </is>
      </c>
      <c r="B36" s="7" t="inlineStr">
        <is>
          <t>공허의 균열</t>
        </is>
      </c>
      <c r="C36" s="7" t="inlineStr">
        <is>
          <t>(900,900)</t>
        </is>
      </c>
      <c r="D36" s="7" t="inlineStr">
        <is>
          <t>70×70</t>
        </is>
      </c>
      <c r="E36" s="7" t="inlineStr">
        <is>
          <t>50-99</t>
        </is>
      </c>
      <c r="F36" s="7" t="inlineStr">
        <is>
          <t>X</t>
        </is>
      </c>
      <c r="G36" s="7" t="inlineStr">
        <is>
          <t>공허 몬스터</t>
        </is>
      </c>
    </row>
    <row r="37">
      <c r="A37" s="8" t="inlineStr">
        <is>
          <t>특수</t>
        </is>
      </c>
      <c r="B37" s="8" t="inlineStr">
        <is>
          <t>낚시 만</t>
        </is>
      </c>
      <c r="C37" s="8" t="inlineStr">
        <is>
          <t>(900,0)</t>
        </is>
      </c>
      <c r="D37" s="8" t="inlineStr">
        <is>
          <t>50×50</t>
        </is>
      </c>
      <c r="E37" s="8" t="inlineStr">
        <is>
          <t>1-99</t>
        </is>
      </c>
      <c r="F37" s="8" t="inlineStr">
        <is>
          <t>O</t>
        </is>
      </c>
      <c r="G37" s="8" t="inlineStr">
        <is>
          <t>낚시꾼/상점</t>
        </is>
      </c>
    </row>
    <row r="38">
      <c r="A38" s="7" t="inlineStr">
        <is>
          <t>PK존</t>
        </is>
      </c>
      <c r="B38" s="7" t="inlineStr">
        <is>
          <t>피의 투기장</t>
        </is>
      </c>
      <c r="C38" s="7" t="inlineStr">
        <is>
          <t>(500,-800)</t>
        </is>
      </c>
      <c r="D38" s="7" t="inlineStr">
        <is>
          <t>70×70</t>
        </is>
      </c>
      <c r="E38" s="7" t="inlineStr">
        <is>
          <t>20-99</t>
        </is>
      </c>
      <c r="F38" s="7" t="inlineStr">
        <is>
          <t>X</t>
        </is>
      </c>
      <c r="G38" s="7" t="inlineStr">
        <is>
          <t>PK 페널티 없음</t>
        </is>
      </c>
    </row>
    <row r="39">
      <c r="A39" s="8" t="inlineStr">
        <is>
          <t>특수</t>
        </is>
      </c>
      <c r="B39" s="8" t="inlineStr">
        <is>
          <t>대투기장</t>
        </is>
      </c>
      <c r="C39" s="8" t="inlineStr">
        <is>
          <t>(900,-900)</t>
        </is>
      </c>
      <c r="D39" s="8" t="inlineStr">
        <is>
          <t>60×60</t>
        </is>
      </c>
      <c r="E39" s="8" t="inlineStr">
        <is>
          <t>15-99</t>
        </is>
      </c>
      <c r="F39" s="8" t="inlineStr">
        <is>
          <t>O</t>
        </is>
      </c>
      <c r="G39" s="8" t="inlineStr">
        <is>
          <t>대규모 PvP</t>
        </is>
      </c>
    </row>
    <row r="40">
      <c r="A40" s="7" t="inlineStr">
        <is>
          <t>마을</t>
        </is>
      </c>
      <c r="B40" s="7" t="inlineStr">
        <is>
          <t>신전 마을</t>
        </is>
      </c>
      <c r="C40" s="7" t="inlineStr">
        <is>
          <t>(-800,200)</t>
        </is>
      </c>
      <c r="D40" s="7" t="inlineStr">
        <is>
          <t>50×50</t>
        </is>
      </c>
      <c r="E40" s="7" t="inlineStr">
        <is>
          <t>1-99</t>
        </is>
      </c>
      <c r="F40" s="7" t="inlineStr">
        <is>
          <t>O</t>
        </is>
      </c>
      <c r="G40" s="7" t="inlineStr">
        <is>
          <t>상점/대장장이/힐러/제작소</t>
        </is>
      </c>
    </row>
    <row r="41">
      <c r="A41" s="8" t="inlineStr">
        <is>
          <t>초보</t>
        </is>
      </c>
      <c r="B41" s="8" t="inlineStr">
        <is>
          <t>얼어붙은 평원</t>
        </is>
      </c>
      <c r="C41" s="8" t="inlineStr">
        <is>
          <t>(-700,-700)</t>
        </is>
      </c>
      <c r="D41" s="8" t="inlineStr">
        <is>
          <t>80×70</t>
        </is>
      </c>
      <c r="E41" s="8" t="inlineStr">
        <is>
          <t>1-8</t>
        </is>
      </c>
      <c r="F41" s="8" t="inlineStr">
        <is>
          <t>X</t>
        </is>
      </c>
      <c r="G41" s="8" t="inlineStr">
        <is>
          <t>빙결 지형</t>
        </is>
      </c>
    </row>
    <row r="42">
      <c r="A42" s="7" t="inlineStr">
        <is>
          <t>중급</t>
        </is>
      </c>
      <c r="B42" s="7" t="inlineStr">
        <is>
          <t>수정 광산</t>
        </is>
      </c>
      <c r="C42" s="7" t="inlineStr">
        <is>
          <t>(-800,-200)</t>
        </is>
      </c>
      <c r="D42" s="7" t="inlineStr">
        <is>
          <t>70×70</t>
        </is>
      </c>
      <c r="E42" s="7" t="inlineStr">
        <is>
          <t>18-28</t>
        </is>
      </c>
      <c r="F42" s="7" t="inlineStr">
        <is>
          <t>X</t>
        </is>
      </c>
      <c r="G42" s="7" t="inlineStr">
        <is>
          <t>광물 채집</t>
        </is>
      </c>
    </row>
    <row r="43">
      <c r="A43" s="8" t="inlineStr">
        <is>
          <t>중급</t>
        </is>
      </c>
      <c r="B43" s="8" t="inlineStr">
        <is>
          <t>독안개 습지</t>
        </is>
      </c>
      <c r="C43" s="8" t="inlineStr">
        <is>
          <t>(-700,400)</t>
        </is>
      </c>
      <c r="D43" s="8" t="inlineStr">
        <is>
          <t>80×70</t>
        </is>
      </c>
      <c r="E43" s="8" t="inlineStr">
        <is>
          <t>12-22</t>
        </is>
      </c>
      <c r="F43" s="8" t="inlineStr">
        <is>
          <t>X</t>
        </is>
      </c>
      <c r="G43" s="8" t="inlineStr">
        <is>
          <t>독 데미지</t>
        </is>
      </c>
    </row>
    <row r="44">
      <c r="A44" s="7" t="inlineStr">
        <is>
          <t>고급</t>
        </is>
      </c>
      <c r="B44" s="7" t="inlineStr">
        <is>
          <t>유령의 저택</t>
        </is>
      </c>
      <c r="C44" s="7" t="inlineStr">
        <is>
          <t>(-600,600)</t>
        </is>
      </c>
      <c r="D44" s="7" t="inlineStr">
        <is>
          <t>70×70</t>
        </is>
      </c>
      <c r="E44" s="7" t="inlineStr">
        <is>
          <t>22-35</t>
        </is>
      </c>
      <c r="F44" s="7" t="inlineStr">
        <is>
          <t>X</t>
        </is>
      </c>
      <c r="G44" s="7" t="inlineStr">
        <is>
          <t>유령 출현</t>
        </is>
      </c>
    </row>
    <row r="45">
      <c r="A45" s="8" t="inlineStr">
        <is>
          <t>고급</t>
        </is>
      </c>
      <c r="B45" s="8" t="inlineStr">
        <is>
          <t>하늘 유적</t>
        </is>
      </c>
      <c r="C45" s="8" t="inlineStr">
        <is>
          <t>(-800,700)</t>
        </is>
      </c>
      <c r="D45" s="8" t="inlineStr">
        <is>
          <t>80×70</t>
        </is>
      </c>
      <c r="E45" s="8" t="inlineStr">
        <is>
          <t>30-45</t>
        </is>
      </c>
      <c r="F45" s="8" t="inlineStr">
        <is>
          <t>X</t>
        </is>
      </c>
      <c r="G45" s="8" t="inlineStr">
        <is>
          <t>부유 유적</t>
        </is>
      </c>
    </row>
    <row r="46">
      <c r="A46" s="7" t="inlineStr">
        <is>
          <t>최상급</t>
        </is>
      </c>
      <c r="B46" s="7" t="inlineStr">
        <is>
          <t>빙결 심연</t>
        </is>
      </c>
      <c r="C46" s="7" t="inlineStr">
        <is>
          <t>(-600,-800)</t>
        </is>
      </c>
      <c r="D46" s="7" t="inlineStr">
        <is>
          <t>70×70</t>
        </is>
      </c>
      <c r="E46" s="7" t="inlineStr">
        <is>
          <t>35-50</t>
        </is>
      </c>
      <c r="F46" s="7" t="inlineStr">
        <is>
          <t>X</t>
        </is>
      </c>
      <c r="G46" s="7" t="inlineStr">
        <is>
          <t>얼음 보스</t>
        </is>
      </c>
    </row>
    <row r="47">
      <c r="A47" s="8" t="inlineStr">
        <is>
          <t>최상급</t>
        </is>
      </c>
      <c r="B47" s="8" t="inlineStr">
        <is>
          <t>마왕성</t>
        </is>
      </c>
      <c r="C47" s="8" t="inlineStr">
        <is>
          <t>(-800,900)</t>
        </is>
      </c>
      <c r="D47" s="8" t="inlineStr">
        <is>
          <t>80×80</t>
        </is>
      </c>
      <c r="E47" s="8" t="inlineStr">
        <is>
          <t>45-60</t>
        </is>
      </c>
      <c r="F47" s="8" t="inlineStr">
        <is>
          <t>X</t>
        </is>
      </c>
      <c r="G47" s="8" t="inlineStr">
        <is>
          <t>마왕 보스</t>
        </is>
      </c>
    </row>
    <row r="48">
      <c r="A48" s="7" t="inlineStr">
        <is>
          <t>PK존</t>
        </is>
      </c>
      <c r="B48" s="7" t="inlineStr">
        <is>
          <t>무법 황야</t>
        </is>
      </c>
      <c r="C48" s="7" t="inlineStr">
        <is>
          <t>(-500,800)</t>
        </is>
      </c>
      <c r="D48" s="7" t="inlineStr">
        <is>
          <t>80×70</t>
        </is>
      </c>
      <c r="E48" s="7" t="inlineStr">
        <is>
          <t>25-99</t>
        </is>
      </c>
      <c r="F48" s="7" t="inlineStr">
        <is>
          <t>X</t>
        </is>
      </c>
      <c r="G48" s="7" t="inlineStr">
        <is>
          <t>PK 페널티 없음</t>
        </is>
      </c>
    </row>
    <row r="49">
      <c r="A49" s="8" t="inlineStr">
        <is>
          <t>마을</t>
        </is>
      </c>
      <c r="B49" s="8" t="inlineStr">
        <is>
          <t>사막 시장</t>
        </is>
      </c>
      <c r="C49" s="8" t="inlineStr">
        <is>
          <t>(500,500)</t>
        </is>
      </c>
      <c r="D49" s="8" t="inlineStr">
        <is>
          <t>50×50</t>
        </is>
      </c>
      <c r="E49" s="8" t="inlineStr">
        <is>
          <t>1-99</t>
        </is>
      </c>
      <c r="F49" s="8" t="inlineStr">
        <is>
          <t>O</t>
        </is>
      </c>
      <c r="G49" s="8" t="inlineStr">
        <is>
          <t>상점/요리사/제작소</t>
        </is>
      </c>
    </row>
    <row r="50">
      <c r="A50" s="7" t="inlineStr">
        <is>
          <t>최상급</t>
        </is>
      </c>
      <c r="B50" s="7" t="inlineStr">
        <is>
          <t>세계수</t>
        </is>
      </c>
      <c r="C50" s="7" t="inlineStr">
        <is>
          <t>(0,800)</t>
        </is>
      </c>
      <c r="D50" s="7" t="inlineStr">
        <is>
          <t>80×80</t>
        </is>
      </c>
      <c r="E50" s="7" t="inlineStr">
        <is>
          <t>50-99</t>
        </is>
      </c>
      <c r="F50" s="7" t="inlineStr">
        <is>
          <t>X</t>
        </is>
      </c>
      <c r="G50" s="7" t="inlineStr">
        <is>
          <t>엔드게임 보스</t>
        </is>
      </c>
    </row>
    <row r="51">
      <c r="A51" s="8" t="inlineStr">
        <is>
          <t>특수</t>
        </is>
      </c>
      <c r="B51" s="8" t="inlineStr">
        <is>
          <t>북부 요새</t>
        </is>
      </c>
      <c r="C51" s="8" t="inlineStr">
        <is>
          <t>(0,-900)</t>
        </is>
      </c>
      <c r="D51" s="8" t="inlineStr">
        <is>
          <t>70×70</t>
        </is>
      </c>
      <c r="E51" s="8" t="inlineStr">
        <is>
          <t>25-99</t>
        </is>
      </c>
      <c r="F51" s="8" t="inlineStr">
        <is>
          <t>X</t>
        </is>
      </c>
      <c r="G51" s="8" t="inlineStr">
        <is>
          <t>요새 점령전</t>
        </is>
      </c>
    </row>
    <row r="52">
      <c r="A52" s="7" t="inlineStr">
        <is>
          <t>초보</t>
        </is>
      </c>
      <c r="B52" s="7" t="inlineStr">
        <is>
          <t>훈련장</t>
        </is>
      </c>
      <c r="C52" s="7" t="inlineStr">
        <is>
          <t>(-900,0)</t>
        </is>
      </c>
      <c r="D52" s="7" t="inlineStr">
        <is>
          <t>60×60</t>
        </is>
      </c>
      <c r="E52" s="7" t="inlineStr">
        <is>
          <t>1-15</t>
        </is>
      </c>
      <c r="F52" s="7" t="inlineStr">
        <is>
          <t>X</t>
        </is>
      </c>
      <c r="G52" s="7" t="inlineStr">
        <is>
          <t>PvE 연습</t>
        </is>
      </c>
    </row>
    <row r="53">
      <c r="A53" s="8" t="inlineStr">
        <is>
          <t>고급</t>
        </is>
      </c>
      <c r="B53" s="8" t="inlineStr">
        <is>
          <t>용암 핵심부</t>
        </is>
      </c>
      <c r="C53" s="8" t="inlineStr">
        <is>
          <t>(500,300)</t>
        </is>
      </c>
      <c r="D53" s="8" t="inlineStr">
        <is>
          <t>70×70</t>
        </is>
      </c>
      <c r="E53" s="8" t="inlineStr">
        <is>
          <t>28-42</t>
        </is>
      </c>
      <c r="F53" s="8" t="inlineStr">
        <is>
          <t>X</t>
        </is>
      </c>
      <c r="G53" s="8" t="inlineStr">
        <is>
          <t>용암 몬스터</t>
        </is>
      </c>
    </row>
    <row r="54">
      <c r="A54" s="7" t="inlineStr">
        <is>
          <t>중급</t>
        </is>
      </c>
      <c r="B54" s="7" t="inlineStr">
        <is>
          <t>안개의 골짜기</t>
        </is>
      </c>
      <c r="C54" s="7" t="inlineStr">
        <is>
          <t>(-700,300)</t>
        </is>
      </c>
      <c r="D54" s="7" t="inlineStr">
        <is>
          <t>60×60</t>
        </is>
      </c>
      <c r="E54" s="7" t="inlineStr">
        <is>
          <t>12-22</t>
        </is>
      </c>
      <c r="F54" s="7" t="inlineStr">
        <is>
          <t>X</t>
        </is>
      </c>
      <c r="G54" s="7" t="inlineStr">
        <is>
          <t>시야 감소</t>
        </is>
      </c>
    </row>
    <row r="55">
      <c r="A55" s="8" t="inlineStr">
        <is>
          <t>고급</t>
        </is>
      </c>
      <c r="B55" s="8" t="inlineStr">
        <is>
          <t>흑요석 광산</t>
        </is>
      </c>
      <c r="C55" s="8" t="inlineStr">
        <is>
          <t>(700,-300)</t>
        </is>
      </c>
      <c r="D55" s="8" t="inlineStr">
        <is>
          <t>60×60</t>
        </is>
      </c>
      <c r="E55" s="8" t="inlineStr">
        <is>
          <t>22-35</t>
        </is>
      </c>
      <c r="F55" s="8" t="inlineStr">
        <is>
          <t>X</t>
        </is>
      </c>
      <c r="G55" s="8" t="inlineStr">
        <is>
          <t>흑요석 광물</t>
        </is>
      </c>
    </row>
    <row r="56">
      <c r="A56" s="7" t="inlineStr">
        <is>
          <t>고급</t>
        </is>
      </c>
      <c r="B56" s="7" t="inlineStr">
        <is>
          <t>뇌전 고원</t>
        </is>
      </c>
      <c r="C56" s="7" t="inlineStr">
        <is>
          <t>(-200,-900)</t>
        </is>
      </c>
      <c r="D56" s="7" t="inlineStr">
        <is>
          <t>70×60</t>
        </is>
      </c>
      <c r="E56" s="7" t="inlineStr">
        <is>
          <t>30-45</t>
        </is>
      </c>
      <c r="F56" s="7" t="inlineStr">
        <is>
          <t>X</t>
        </is>
      </c>
      <c r="G56" s="7" t="inlineStr">
        <is>
          <t>전기 데미지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5" customWidth="1" min="4" max="4"/>
    <col width="12" customWidth="1" min="5" max="5"/>
    <col width="10" customWidth="1" min="6" max="6"/>
  </cols>
  <sheetData>
    <row r="1">
      <c r="A1" s="5" t="inlineStr">
        <is>
          <t>장비 목록</t>
        </is>
      </c>
    </row>
    <row r="3">
      <c r="A3" s="6" t="inlineStr">
        <is>
          <t>슬롯</t>
        </is>
      </c>
      <c r="B3" s="6" t="inlineStr">
        <is>
          <t>장비명</t>
        </is>
      </c>
      <c r="C3" s="6" t="inlineStr">
        <is>
          <t>등급</t>
        </is>
      </c>
      <c r="D3" s="6" t="inlineStr">
        <is>
          <t>스탯</t>
        </is>
      </c>
      <c r="E3" s="6" t="inlineStr">
        <is>
          <t>가격</t>
        </is>
      </c>
      <c r="F3" s="6" t="inlineStr">
        <is>
          <t>제작가능</t>
        </is>
      </c>
    </row>
    <row r="4">
      <c r="A4" s="7" t="inlineStr">
        <is>
          <t>weapon</t>
        </is>
      </c>
      <c r="B4" s="7" t="inlineStr">
        <is>
          <t>철제 검</t>
        </is>
      </c>
      <c r="C4" s="7" t="inlineStr">
        <is>
          <t>Normal</t>
        </is>
      </c>
      <c r="D4" s="7" t="inlineStr">
        <is>
          <t>+10 ATK</t>
        </is>
      </c>
      <c r="E4" s="7" t="inlineStr">
        <is>
          <t>100G</t>
        </is>
      </c>
      <c r="F4" s="7" t="inlineStr">
        <is>
          <t>O</t>
        </is>
      </c>
    </row>
    <row r="5">
      <c r="A5" s="8" t="inlineStr">
        <is>
          <t>weapon</t>
        </is>
      </c>
      <c r="B5" s="8" t="inlineStr">
        <is>
          <t>강철 검</t>
        </is>
      </c>
      <c r="C5" s="8" t="inlineStr">
        <is>
          <t>Uncommon</t>
        </is>
      </c>
      <c r="D5" s="8" t="inlineStr">
        <is>
          <t>+25 ATK</t>
        </is>
      </c>
      <c r="E5" s="8" t="inlineStr">
        <is>
          <t>500G</t>
        </is>
      </c>
      <c r="F5" s="8" t="inlineStr">
        <is>
          <t>O</t>
        </is>
      </c>
    </row>
    <row r="6">
      <c r="A6" s="7" t="inlineStr">
        <is>
          <t>weapon</t>
        </is>
      </c>
      <c r="B6" s="7" t="inlineStr">
        <is>
          <t>미스릴 검</t>
        </is>
      </c>
      <c r="C6" s="7" t="inlineStr">
        <is>
          <t>Rare</t>
        </is>
      </c>
      <c r="D6" s="7" t="inlineStr">
        <is>
          <t>+45 ATK, +5% CRIT</t>
        </is>
      </c>
      <c r="E6" s="7" t="inlineStr">
        <is>
          <t>3000G</t>
        </is>
      </c>
      <c r="F6" s="7" t="inlineStr">
        <is>
          <t>O</t>
        </is>
      </c>
    </row>
    <row r="7">
      <c r="A7" s="8" t="inlineStr">
        <is>
          <t>weapon</t>
        </is>
      </c>
      <c r="B7" s="8" t="inlineStr">
        <is>
          <t>용의 검</t>
        </is>
      </c>
      <c r="C7" s="8" t="inlineStr">
        <is>
          <t>Epic</t>
        </is>
      </c>
      <c r="D7" s="8" t="inlineStr">
        <is>
          <t>+70 ATK, +10% CRIT</t>
        </is>
      </c>
      <c r="E7" s="8" t="inlineStr">
        <is>
          <t>드롭전용</t>
        </is>
      </c>
      <c r="F7" s="8" t="inlineStr">
        <is>
          <t>X</t>
        </is>
      </c>
    </row>
    <row r="8">
      <c r="A8" s="7" t="inlineStr">
        <is>
          <t>armor</t>
        </is>
      </c>
      <c r="B8" s="7" t="inlineStr">
        <is>
          <t>가죽 갑옷</t>
        </is>
      </c>
      <c r="C8" s="7" t="inlineStr">
        <is>
          <t>Normal</t>
        </is>
      </c>
      <c r="D8" s="7" t="inlineStr">
        <is>
          <t>+10 DEF</t>
        </is>
      </c>
      <c r="E8" s="7" t="inlineStr">
        <is>
          <t>80G</t>
        </is>
      </c>
      <c r="F8" s="7" t="inlineStr">
        <is>
          <t>O</t>
        </is>
      </c>
    </row>
    <row r="9">
      <c r="A9" s="8" t="inlineStr">
        <is>
          <t>armor</t>
        </is>
      </c>
      <c r="B9" s="8" t="inlineStr">
        <is>
          <t>철판 갑옷</t>
        </is>
      </c>
      <c r="C9" s="8" t="inlineStr">
        <is>
          <t>Uncommon</t>
        </is>
      </c>
      <c r="D9" s="8" t="inlineStr">
        <is>
          <t>+25 DEF</t>
        </is>
      </c>
      <c r="E9" s="8" t="inlineStr">
        <is>
          <t>500G</t>
        </is>
      </c>
      <c r="F9" s="8" t="inlineStr">
        <is>
          <t>O</t>
        </is>
      </c>
    </row>
    <row r="10">
      <c r="A10" s="7" t="inlineStr">
        <is>
          <t>armor</t>
        </is>
      </c>
      <c r="B10" s="7" t="inlineStr">
        <is>
          <t>미스릴 갑옷</t>
        </is>
      </c>
      <c r="C10" s="7" t="inlineStr">
        <is>
          <t>Rare</t>
        </is>
      </c>
      <c r="D10" s="7" t="inlineStr">
        <is>
          <t>+45 DEF, +50 HP</t>
        </is>
      </c>
      <c r="E10" s="7" t="inlineStr">
        <is>
          <t>3000G</t>
        </is>
      </c>
      <c r="F10" s="7" t="inlineStr">
        <is>
          <t>O</t>
        </is>
      </c>
    </row>
    <row r="11">
      <c r="A11" s="8" t="inlineStr">
        <is>
          <t>armor</t>
        </is>
      </c>
      <c r="B11" s="8" t="inlineStr">
        <is>
          <t>용의 갑옷</t>
        </is>
      </c>
      <c r="C11" s="8" t="inlineStr">
        <is>
          <t>Epic</t>
        </is>
      </c>
      <c r="D11" s="8" t="inlineStr">
        <is>
          <t>+70 DEF, +150 HP</t>
        </is>
      </c>
      <c r="E11" s="8" t="inlineStr">
        <is>
          <t>드롭전용</t>
        </is>
      </c>
      <c r="F11" s="8" t="inlineStr">
        <is>
          <t>X</t>
        </is>
      </c>
    </row>
    <row r="12">
      <c r="A12" s="7" t="inlineStr">
        <is>
          <t>helmet</t>
        </is>
      </c>
      <c r="B12" s="7" t="inlineStr">
        <is>
          <t>철투구</t>
        </is>
      </c>
      <c r="C12" s="7" t="inlineStr">
        <is>
          <t>Normal</t>
        </is>
      </c>
      <c r="D12" s="7" t="inlineStr">
        <is>
          <t>+8 DEF, +3 ATK</t>
        </is>
      </c>
      <c r="E12" s="7" t="inlineStr">
        <is>
          <t>400G</t>
        </is>
      </c>
      <c r="F12" s="7" t="inlineStr">
        <is>
          <t>O</t>
        </is>
      </c>
    </row>
    <row r="13">
      <c r="A13" s="8" t="inlineStr">
        <is>
          <t>gloves</t>
        </is>
      </c>
      <c r="B13" s="8" t="inlineStr">
        <is>
          <t>전투 장갑</t>
        </is>
      </c>
      <c r="C13" s="8" t="inlineStr">
        <is>
          <t>Normal</t>
        </is>
      </c>
      <c r="D13" s="8" t="inlineStr">
        <is>
          <t>+5 ATK, +5 DEF</t>
        </is>
      </c>
      <c r="E13" s="8" t="inlineStr">
        <is>
          <t>300G</t>
        </is>
      </c>
      <c r="F13" s="8" t="inlineStr">
        <is>
          <t>O</t>
        </is>
      </c>
    </row>
    <row r="14">
      <c r="A14" s="7" t="inlineStr">
        <is>
          <t>boots</t>
        </is>
      </c>
      <c r="B14" s="7" t="inlineStr">
        <is>
          <t>질풍 부츠</t>
        </is>
      </c>
      <c r="C14" s="7" t="inlineStr">
        <is>
          <t>Uncommon</t>
        </is>
      </c>
      <c r="D14" s="7" t="inlineStr">
        <is>
          <t>+5 SPD, +5 DEF</t>
        </is>
      </c>
      <c r="E14" s="7" t="inlineStr">
        <is>
          <t>600G</t>
        </is>
      </c>
      <c r="F14" s="7" t="inlineStr">
        <is>
          <t>O</t>
        </is>
      </c>
    </row>
    <row r="15">
      <c r="A15" s="8" t="inlineStr">
        <is>
          <t>ring</t>
        </is>
      </c>
      <c r="B15" s="8" t="inlineStr">
        <is>
          <t>힘의 반지</t>
        </is>
      </c>
      <c r="C15" s="8" t="inlineStr">
        <is>
          <t>Uncommon</t>
        </is>
      </c>
      <c r="D15" s="8" t="inlineStr">
        <is>
          <t>+8 ATK, +3 DEF</t>
        </is>
      </c>
      <c r="E15" s="8" t="inlineStr">
        <is>
          <t>800G</t>
        </is>
      </c>
      <c r="F15" s="8" t="inlineStr">
        <is>
          <t>O</t>
        </is>
      </c>
    </row>
    <row r="16">
      <c r="A16" s="7" t="inlineStr">
        <is>
          <t>ring</t>
        </is>
      </c>
      <c r="B16" s="7" t="inlineStr">
        <is>
          <t>용의 반지</t>
        </is>
      </c>
      <c r="C16" s="7" t="inlineStr">
        <is>
          <t>Epic</t>
        </is>
      </c>
      <c r="D16" s="7" t="inlineStr">
        <is>
          <t>+20 ATK, +10 DEF, +5% CRIT</t>
        </is>
      </c>
      <c r="E16" s="7" t="inlineStr">
        <is>
          <t>5000G</t>
        </is>
      </c>
      <c r="F16" s="7" t="inlineStr">
        <is>
          <t>O</t>
        </is>
      </c>
    </row>
    <row r="17">
      <c r="A17" s="8" t="inlineStr">
        <is>
          <t>necklace</t>
        </is>
      </c>
      <c r="B17" s="8" t="inlineStr">
        <is>
          <t>보호의 목걸이</t>
        </is>
      </c>
      <c r="C17" s="8" t="inlineStr">
        <is>
          <t>Normal</t>
        </is>
      </c>
      <c r="D17" s="8" t="inlineStr">
        <is>
          <t>+5 DEF, +30 HP</t>
        </is>
      </c>
      <c r="E17" s="8" t="inlineStr">
        <is>
          <t>500G</t>
        </is>
      </c>
      <c r="F17" s="8" t="inlineStr">
        <is>
          <t>O</t>
        </is>
      </c>
    </row>
    <row r="20">
      <c r="A20" s="9" t="inlineStr">
        <is>
          <t>강화 시스템</t>
        </is>
      </c>
    </row>
    <row r="21">
      <c r="A21" s="10" t="inlineStr">
        <is>
          <t>강화단계</t>
        </is>
      </c>
      <c r="B21" s="10" t="inlineStr">
        <is>
          <t>성공확률</t>
        </is>
      </c>
      <c r="C21" s="10" t="inlineStr">
        <is>
          <t>비용(G)</t>
        </is>
      </c>
      <c r="D21" s="10" t="inlineStr">
        <is>
          <t>실패시</t>
        </is>
      </c>
      <c r="E21" s="10" t="inlineStr">
        <is>
          <t>비고</t>
        </is>
      </c>
    </row>
    <row r="22">
      <c r="A22" s="3" t="inlineStr">
        <is>
          <t>+1</t>
        </is>
      </c>
      <c r="B22" s="3" t="inlineStr">
        <is>
          <t>100%</t>
        </is>
      </c>
      <c r="C22" s="3" t="inlineStr">
        <is>
          <t>200</t>
        </is>
      </c>
      <c r="D22" s="3" t="inlineStr">
        <is>
          <t>변화없음</t>
        </is>
      </c>
      <c r="E22" s="3" t="inlineStr">
        <is>
          <t>안전 구간</t>
        </is>
      </c>
    </row>
    <row r="23">
      <c r="A23" s="3" t="inlineStr">
        <is>
          <t>+2</t>
        </is>
      </c>
      <c r="B23" s="3" t="inlineStr">
        <is>
          <t>100%</t>
        </is>
      </c>
      <c r="C23" s="3" t="inlineStr">
        <is>
          <t>400</t>
        </is>
      </c>
      <c r="D23" s="3" t="inlineStr">
        <is>
          <t>변화없음</t>
        </is>
      </c>
      <c r="E23" s="3" t="inlineStr">
        <is>
          <t>안전 구간</t>
        </is>
      </c>
    </row>
    <row r="24">
      <c r="A24" s="3" t="inlineStr">
        <is>
          <t>+3</t>
        </is>
      </c>
      <c r="B24" s="3" t="inlineStr">
        <is>
          <t>100%</t>
        </is>
      </c>
      <c r="C24" s="3" t="inlineStr">
        <is>
          <t>600</t>
        </is>
      </c>
      <c r="D24" s="3" t="inlineStr">
        <is>
          <t>변화없음</t>
        </is>
      </c>
      <c r="E24" s="3" t="inlineStr">
        <is>
          <t>안전 구간</t>
        </is>
      </c>
    </row>
    <row r="25">
      <c r="A25" s="3" t="inlineStr">
        <is>
          <t>+4</t>
        </is>
      </c>
      <c r="B25" s="3" t="inlineStr">
        <is>
          <t>90%</t>
        </is>
      </c>
      <c r="C25" s="3" t="inlineStr">
        <is>
          <t>800</t>
        </is>
      </c>
      <c r="D25" s="3" t="inlineStr">
        <is>
          <t>단계 유지</t>
        </is>
      </c>
      <c r="E25" s="3" t="inlineStr"/>
    </row>
    <row r="26">
      <c r="A26" s="3" t="inlineStr">
        <is>
          <t>+5</t>
        </is>
      </c>
      <c r="B26" s="3" t="inlineStr">
        <is>
          <t>80%</t>
        </is>
      </c>
      <c r="C26" s="3" t="inlineStr">
        <is>
          <t>1000</t>
        </is>
      </c>
      <c r="D26" s="3" t="inlineStr">
        <is>
          <t>단계 유지</t>
        </is>
      </c>
      <c r="E26" s="3" t="inlineStr"/>
    </row>
    <row r="27">
      <c r="A27" s="3" t="inlineStr">
        <is>
          <t>+6</t>
        </is>
      </c>
      <c r="B27" s="3" t="inlineStr">
        <is>
          <t>70%</t>
        </is>
      </c>
      <c r="C27" s="3" t="inlineStr">
        <is>
          <t>1200</t>
        </is>
      </c>
      <c r="D27" s="3" t="inlineStr">
        <is>
          <t>단계 유지</t>
        </is>
      </c>
      <c r="E27" s="3" t="inlineStr"/>
    </row>
    <row r="28">
      <c r="A28" s="3" t="inlineStr">
        <is>
          <t>+7</t>
        </is>
      </c>
      <c r="B28" s="3" t="inlineStr">
        <is>
          <t>60%</t>
        </is>
      </c>
      <c r="C28" s="3" t="inlineStr">
        <is>
          <t>1400</t>
        </is>
      </c>
      <c r="D28" s="3" t="inlineStr">
        <is>
          <t>단계 하락(-1)</t>
        </is>
      </c>
      <c r="E28" s="3" t="inlineStr">
        <is>
          <t>위험 구간</t>
        </is>
      </c>
    </row>
    <row r="29">
      <c r="A29" s="3" t="inlineStr">
        <is>
          <t>+8</t>
        </is>
      </c>
      <c r="B29" s="3" t="inlineStr">
        <is>
          <t>50%</t>
        </is>
      </c>
      <c r="C29" s="3" t="inlineStr">
        <is>
          <t>1600</t>
        </is>
      </c>
      <c r="D29" s="11" t="inlineStr">
        <is>
          <t>장비 파괴 가능</t>
        </is>
      </c>
      <c r="E29" s="3" t="inlineStr">
        <is>
          <t>보호주문서 사용 권장</t>
        </is>
      </c>
    </row>
    <row r="30">
      <c r="A30" s="3" t="inlineStr">
        <is>
          <t>+9</t>
        </is>
      </c>
      <c r="B30" s="3" t="inlineStr">
        <is>
          <t>40%</t>
        </is>
      </c>
      <c r="C30" s="3" t="inlineStr">
        <is>
          <t>1800</t>
        </is>
      </c>
      <c r="D30" s="11" t="inlineStr">
        <is>
          <t>장비 파괴 가능</t>
        </is>
      </c>
      <c r="E30" s="3" t="inlineStr"/>
    </row>
    <row r="31">
      <c r="A31" s="3" t="inlineStr">
        <is>
          <t>+10</t>
        </is>
      </c>
      <c r="B31" s="3" t="inlineStr">
        <is>
          <t>30%</t>
        </is>
      </c>
      <c r="C31" s="3" t="inlineStr">
        <is>
          <t>2000</t>
        </is>
      </c>
      <c r="D31" s="11" t="inlineStr">
        <is>
          <t>장비 파괴 가능</t>
        </is>
      </c>
      <c r="E31" s="3" t="inlineStr">
        <is>
          <t>최종 단계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16" customWidth="1" min="4" max="4"/>
    <col width="10" customWidth="1" min="5" max="5"/>
    <col width="10" customWidth="1" min="6" max="6"/>
  </cols>
  <sheetData>
    <row r="1">
      <c r="A1" s="5" t="inlineStr">
        <is>
          <t>제작 레시피 (14종)</t>
        </is>
      </c>
    </row>
    <row r="3">
      <c r="A3" s="6" t="inlineStr">
        <is>
          <t>분류</t>
        </is>
      </c>
      <c r="B3" s="6" t="inlineStr">
        <is>
          <t>레시피명</t>
        </is>
      </c>
      <c r="C3" s="6" t="inlineStr">
        <is>
          <t>필요재료</t>
        </is>
      </c>
      <c r="D3" s="6" t="inlineStr">
        <is>
          <t>결과물</t>
        </is>
      </c>
      <c r="E3" s="6" t="inlineStr">
        <is>
          <t>비용</t>
        </is>
      </c>
      <c r="F3" s="6" t="inlineStr">
        <is>
          <t>성공률</t>
        </is>
      </c>
    </row>
    <row r="4">
      <c r="A4" s="7" t="inlineStr">
        <is>
          <t>무기</t>
        </is>
      </c>
      <c r="B4" s="7" t="inlineStr">
        <is>
          <t>철제 검 제작</t>
        </is>
      </c>
      <c r="C4" s="7" t="inlineStr">
        <is>
          <t>철광석×5, 목재×3</t>
        </is>
      </c>
      <c r="D4" s="7" t="inlineStr">
        <is>
          <t>철제 검</t>
        </is>
      </c>
      <c r="E4" s="7" t="inlineStr">
        <is>
          <t>100G</t>
        </is>
      </c>
      <c r="F4" s="7" t="inlineStr">
        <is>
          <t>100%</t>
        </is>
      </c>
    </row>
    <row r="5">
      <c r="A5" s="8" t="inlineStr">
        <is>
          <t>무기</t>
        </is>
      </c>
      <c r="B5" s="8" t="inlineStr">
        <is>
          <t>강철 검 제작</t>
        </is>
      </c>
      <c r="C5" s="8" t="inlineStr">
        <is>
          <t>철광석×15, 마법재료×5</t>
        </is>
      </c>
      <c r="D5" s="8" t="inlineStr">
        <is>
          <t>강철 검</t>
        </is>
      </c>
      <c r="E5" s="8" t="inlineStr">
        <is>
          <t>500G</t>
        </is>
      </c>
      <c r="F5" s="8" t="inlineStr">
        <is>
          <t>80%</t>
        </is>
      </c>
    </row>
    <row r="6">
      <c r="A6" s="7" t="inlineStr">
        <is>
          <t>무기</t>
        </is>
      </c>
      <c r="B6" s="7" t="inlineStr">
        <is>
          <t>미스릴 검 제작</t>
        </is>
      </c>
      <c r="C6" s="7" t="inlineStr">
        <is>
          <t>철광석×30, 영혼재료×10, 용재료×3</t>
        </is>
      </c>
      <c r="D6" s="7" t="inlineStr">
        <is>
          <t>미스릴 검</t>
        </is>
      </c>
      <c r="E6" s="7" t="inlineStr">
        <is>
          <t>3000G</t>
        </is>
      </c>
      <c r="F6" s="7" t="inlineStr">
        <is>
          <t>50%</t>
        </is>
      </c>
    </row>
    <row r="7">
      <c r="A7" s="8" t="inlineStr">
        <is>
          <t>방어구</t>
        </is>
      </c>
      <c r="B7" s="8" t="inlineStr">
        <is>
          <t>가죽 갑옷 제작</t>
        </is>
      </c>
      <c r="C7" s="8" t="inlineStr">
        <is>
          <t>가죽×5, 목재×2</t>
        </is>
      </c>
      <c r="D7" s="8" t="inlineStr">
        <is>
          <t>가죽 갑옷</t>
        </is>
      </c>
      <c r="E7" s="8" t="inlineStr">
        <is>
          <t>80G</t>
        </is>
      </c>
      <c r="F7" s="8" t="inlineStr">
        <is>
          <t>100%</t>
        </is>
      </c>
    </row>
    <row r="8">
      <c r="A8" s="7" t="inlineStr">
        <is>
          <t>방어구</t>
        </is>
      </c>
      <c r="B8" s="7" t="inlineStr">
        <is>
          <t>철판 갑옷 제작</t>
        </is>
      </c>
      <c r="C8" s="7" t="inlineStr">
        <is>
          <t>철광석×20, 가죽×10</t>
        </is>
      </c>
      <c r="D8" s="7" t="inlineStr">
        <is>
          <t>철판 갑옷</t>
        </is>
      </c>
      <c r="E8" s="7" t="inlineStr">
        <is>
          <t>500G</t>
        </is>
      </c>
      <c r="F8" s="7" t="inlineStr">
        <is>
          <t>80%</t>
        </is>
      </c>
    </row>
    <row r="9">
      <c r="A9" s="8" t="inlineStr">
        <is>
          <t>방어구</t>
        </is>
      </c>
      <c r="B9" s="8" t="inlineStr">
        <is>
          <t>미스릴 갑옷 제작</t>
        </is>
      </c>
      <c r="C9" s="8" t="inlineStr">
        <is>
          <t>철광석×30, 영혼재료×10, 용재료×3</t>
        </is>
      </c>
      <c r="D9" s="8" t="inlineStr">
        <is>
          <t>미스릴 갑옷</t>
        </is>
      </c>
      <c r="E9" s="8" t="inlineStr">
        <is>
          <t>3000G</t>
        </is>
      </c>
      <c r="F9" s="8" t="inlineStr">
        <is>
          <t>50%</t>
        </is>
      </c>
    </row>
    <row r="10">
      <c r="A10" s="7" t="inlineStr">
        <is>
          <t>장신구</t>
        </is>
      </c>
      <c r="B10" s="7" t="inlineStr">
        <is>
          <t>힘의 반지 제작</t>
        </is>
      </c>
      <c r="C10" s="7" t="inlineStr">
        <is>
          <t>보석×5, 마법재료×3</t>
        </is>
      </c>
      <c r="D10" s="7" t="inlineStr">
        <is>
          <t>힘의 반지</t>
        </is>
      </c>
      <c r="E10" s="7" t="inlineStr">
        <is>
          <t>800G</t>
        </is>
      </c>
      <c r="F10" s="7" t="inlineStr">
        <is>
          <t>70%</t>
        </is>
      </c>
    </row>
    <row r="11">
      <c r="A11" s="8" t="inlineStr">
        <is>
          <t>장신구</t>
        </is>
      </c>
      <c r="B11" s="8" t="inlineStr">
        <is>
          <t>용의 반지 제작</t>
        </is>
      </c>
      <c r="C11" s="8" t="inlineStr">
        <is>
          <t>보석×15, 용재료×5</t>
        </is>
      </c>
      <c r="D11" s="8" t="inlineStr">
        <is>
          <t>용의 반지</t>
        </is>
      </c>
      <c r="E11" s="8" t="inlineStr">
        <is>
          <t>5000G</t>
        </is>
      </c>
      <c r="F11" s="8" t="inlineStr">
        <is>
          <t>30%</t>
        </is>
      </c>
    </row>
    <row r="12">
      <c r="A12" s="7" t="inlineStr">
        <is>
          <t>장신구</t>
        </is>
      </c>
      <c r="B12" s="7" t="inlineStr">
        <is>
          <t>보호의 목걸이</t>
        </is>
      </c>
      <c r="C12" s="7" t="inlineStr">
        <is>
          <t>보석×3, 향신료×2</t>
        </is>
      </c>
      <c r="D12" s="7" t="inlineStr">
        <is>
          <t>보호의 목걸이</t>
        </is>
      </c>
      <c r="E12" s="7" t="inlineStr">
        <is>
          <t>500G</t>
        </is>
      </c>
      <c r="F12" s="7" t="inlineStr">
        <is>
          <t>80%</t>
        </is>
      </c>
    </row>
    <row r="13">
      <c r="A13" s="8" t="inlineStr">
        <is>
          <t>장신구</t>
        </is>
      </c>
      <c r="B13" s="8" t="inlineStr">
        <is>
          <t>질풍 부츠 제작</t>
        </is>
      </c>
      <c r="C13" s="8" t="inlineStr">
        <is>
          <t>가죽×10, 마법재료×3</t>
        </is>
      </c>
      <c r="D13" s="8" t="inlineStr">
        <is>
          <t>질풍 부츠</t>
        </is>
      </c>
      <c r="E13" s="8" t="inlineStr">
        <is>
          <t>600G</t>
        </is>
      </c>
      <c r="F13" s="8" t="inlineStr">
        <is>
          <t>70%</t>
        </is>
      </c>
    </row>
    <row r="14">
      <c r="A14" s="7" t="inlineStr">
        <is>
          <t>장신구</t>
        </is>
      </c>
      <c r="B14" s="7" t="inlineStr">
        <is>
          <t>철투구 제작</t>
        </is>
      </c>
      <c r="C14" s="7" t="inlineStr">
        <is>
          <t>철광석×10, 가죽×5</t>
        </is>
      </c>
      <c r="D14" s="7" t="inlineStr">
        <is>
          <t>철투구</t>
        </is>
      </c>
      <c r="E14" s="7" t="inlineStr">
        <is>
          <t>400G</t>
        </is>
      </c>
      <c r="F14" s="7" t="inlineStr">
        <is>
          <t>80%</t>
        </is>
      </c>
    </row>
    <row r="15">
      <c r="A15" s="8" t="inlineStr">
        <is>
          <t>소비품</t>
        </is>
      </c>
      <c r="B15" s="8" t="inlineStr">
        <is>
          <t>HP 물약 제작</t>
        </is>
      </c>
      <c r="C15" s="8" t="inlineStr">
        <is>
          <t>약초×3, 물약 원료×1</t>
        </is>
      </c>
      <c r="D15" s="8" t="inlineStr">
        <is>
          <t>중급 HP 물약</t>
        </is>
      </c>
      <c r="E15" s="8" t="inlineStr">
        <is>
          <t>30G</t>
        </is>
      </c>
      <c r="F15" s="8" t="inlineStr">
        <is>
          <t>100%</t>
        </is>
      </c>
    </row>
    <row r="16">
      <c r="A16" s="7" t="inlineStr">
        <is>
          <t>소비품</t>
        </is>
      </c>
      <c r="B16" s="7" t="inlineStr">
        <is>
          <t>공격 물약 제작</t>
        </is>
      </c>
      <c r="C16" s="7" t="inlineStr">
        <is>
          <t>약초×5, 향신료×2</t>
        </is>
      </c>
      <c r="D16" s="7" t="inlineStr">
        <is>
          <t>공격 부스터</t>
        </is>
      </c>
      <c r="E16" s="7" t="inlineStr">
        <is>
          <t>80G</t>
        </is>
      </c>
      <c r="F16" s="7" t="inlineStr">
        <is>
          <t>90%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5" t="inlineStr">
        <is>
          <t>교역품 (20종)</t>
        </is>
      </c>
    </row>
    <row r="3">
      <c r="A3" s="6" t="inlineStr">
        <is>
          <t>상품ID</t>
        </is>
      </c>
      <c r="B3" s="6" t="inlineStr">
        <is>
          <t>상품명</t>
        </is>
      </c>
      <c r="C3" s="6" t="inlineStr">
        <is>
          <t>기본가격(G)</t>
        </is>
      </c>
      <c r="D3" s="6" t="inlineStr">
        <is>
          <t>분류</t>
        </is>
      </c>
      <c r="E3" s="6" t="inlineStr">
        <is>
          <t>비고</t>
        </is>
      </c>
    </row>
    <row r="4">
      <c r="A4" s="7" t="inlineStr">
        <is>
          <t>goods_silk</t>
        </is>
      </c>
      <c r="B4" s="7" t="inlineStr">
        <is>
          <t>비단</t>
        </is>
      </c>
      <c r="C4" s="7" t="n">
        <v>100</v>
      </c>
      <c r="D4" s="7" t="inlineStr">
        <is>
          <t>의류/직물</t>
        </is>
      </c>
      <c r="E4" s="7" t="inlineStr">
        <is>
          <t>높은 가격 변동폭</t>
        </is>
      </c>
    </row>
    <row r="5">
      <c r="A5" s="8" t="inlineStr">
        <is>
          <t>goods_iron</t>
        </is>
      </c>
      <c r="B5" s="8" t="inlineStr">
        <is>
          <t>철광석</t>
        </is>
      </c>
      <c r="C5" s="8" t="n">
        <v>50</v>
      </c>
      <c r="D5" s="8" t="inlineStr">
        <is>
          <t>광물/금속</t>
        </is>
      </c>
      <c r="E5" s="8" t="inlineStr">
        <is>
          <t>제작 재료로도 사용</t>
        </is>
      </c>
    </row>
    <row r="6">
      <c r="A6" s="7" t="inlineStr">
        <is>
          <t>goods_herb</t>
        </is>
      </c>
      <c r="B6" s="7" t="inlineStr">
        <is>
          <t>약초</t>
        </is>
      </c>
      <c r="C6" s="7" t="n">
        <v>30</v>
      </c>
      <c r="D6" s="7" t="inlineStr">
        <is>
          <t>식물/약재</t>
        </is>
      </c>
      <c r="E6" s="7" t="inlineStr">
        <is>
          <t>물약 제작 재료</t>
        </is>
      </c>
    </row>
    <row r="7">
      <c r="A7" s="8" t="inlineStr">
        <is>
          <t>goods_gem</t>
        </is>
      </c>
      <c r="B7" s="8" t="inlineStr">
        <is>
          <t>보석</t>
        </is>
      </c>
      <c r="C7" s="8" t="n">
        <v>200</v>
      </c>
      <c r="D7" s="8" t="inlineStr">
        <is>
          <t>귀금속</t>
        </is>
      </c>
      <c r="E7" s="8" t="inlineStr">
        <is>
          <t>장신구 제작 재료</t>
        </is>
      </c>
    </row>
    <row r="8">
      <c r="A8" s="7" t="inlineStr">
        <is>
          <t>goods_wood</t>
        </is>
      </c>
      <c r="B8" s="7" t="inlineStr">
        <is>
          <t>목재</t>
        </is>
      </c>
      <c r="C8" s="7" t="n">
        <v>40</v>
      </c>
      <c r="D8" s="7" t="inlineStr">
        <is>
          <t>건축/재료</t>
        </is>
      </c>
      <c r="E8" s="7" t="inlineStr">
        <is>
          <t>기본 제작 재료</t>
        </is>
      </c>
    </row>
    <row r="9">
      <c r="A9" s="8" t="inlineStr">
        <is>
          <t>goods_leather</t>
        </is>
      </c>
      <c r="B9" s="8" t="inlineStr">
        <is>
          <t>가죽</t>
        </is>
      </c>
      <c r="C9" s="8" t="n">
        <v>60</v>
      </c>
      <c r="D9" s="8" t="inlineStr">
        <is>
          <t>가공품</t>
        </is>
      </c>
      <c r="E9" s="8" t="inlineStr">
        <is>
          <t>방어구 제작 재료</t>
        </is>
      </c>
    </row>
    <row r="10">
      <c r="A10" s="7" t="inlineStr">
        <is>
          <t>goods_spice</t>
        </is>
      </c>
      <c r="B10" s="7" t="inlineStr">
        <is>
          <t>향신료</t>
        </is>
      </c>
      <c r="C10" s="7" t="n">
        <v>150</v>
      </c>
      <c r="D10" s="7" t="inlineStr">
        <is>
          <t>식품/향료</t>
        </is>
      </c>
      <c r="E10" s="7" t="inlineStr">
        <is>
          <t>고급 요리 재료</t>
        </is>
      </c>
    </row>
    <row r="11">
      <c r="A11" s="8" t="inlineStr">
        <is>
          <t>goods_potion</t>
        </is>
      </c>
      <c r="B11" s="8" t="inlineStr">
        <is>
          <t>물약 원료</t>
        </is>
      </c>
      <c r="C11" s="8" t="n">
        <v>80</v>
      </c>
      <c r="D11" s="8" t="inlineStr">
        <is>
          <t>연금술</t>
        </is>
      </c>
      <c r="E11" s="8" t="inlineStr">
        <is>
          <t>물약 제작 필수</t>
        </is>
      </c>
    </row>
    <row r="12">
      <c r="A12" s="7" t="inlineStr">
        <is>
          <t>goods_pearl</t>
        </is>
      </c>
      <c r="B12" s="7" t="inlineStr">
        <is>
          <t>진주</t>
        </is>
      </c>
      <c r="C12" s="7" t="n">
        <v>300</v>
      </c>
      <c r="D12" s="7" t="inlineStr">
        <is>
          <t>귀금속</t>
        </is>
      </c>
      <c r="E12" s="7" t="inlineStr">
        <is>
          <t>희귀 교역품</t>
        </is>
      </c>
    </row>
    <row r="13">
      <c r="A13" s="8" t="inlineStr">
        <is>
          <t>goods_crystal</t>
        </is>
      </c>
      <c r="B13" s="8" t="inlineStr">
        <is>
          <t>마법 수정</t>
        </is>
      </c>
      <c r="C13" s="8" t="n">
        <v>250</v>
      </c>
      <c r="D13" s="8" t="inlineStr">
        <is>
          <t>마법재료</t>
        </is>
      </c>
      <c r="E13" s="8" t="inlineStr">
        <is>
          <t>강화 재료</t>
        </is>
      </c>
    </row>
    <row r="14">
      <c r="A14" s="7" t="inlineStr">
        <is>
          <t>goods_wine</t>
        </is>
      </c>
      <c r="B14" s="7" t="inlineStr">
        <is>
          <t>고급 와인</t>
        </is>
      </c>
      <c r="C14" s="7" t="n">
        <v>180</v>
      </c>
      <c r="D14" s="7" t="inlineStr">
        <is>
          <t>식품/음료</t>
        </is>
      </c>
      <c r="E14" s="7" t="inlineStr">
        <is>
          <t>사치품</t>
        </is>
      </c>
    </row>
    <row r="15">
      <c r="A15" s="8" t="inlineStr">
        <is>
          <t>goods_fur</t>
        </is>
      </c>
      <c r="B15" s="8" t="inlineStr">
        <is>
          <t>고급 모피</t>
        </is>
      </c>
      <c r="C15" s="8" t="n">
        <v>120</v>
      </c>
      <c r="D15" s="8" t="inlineStr">
        <is>
          <t>가공품</t>
        </is>
      </c>
      <c r="E15" s="8" t="inlineStr">
        <is>
          <t>방한 재료</t>
        </is>
      </c>
    </row>
    <row r="16">
      <c r="A16" s="7" t="inlineStr">
        <is>
          <t>goods_incense</t>
        </is>
      </c>
      <c r="B16" s="7" t="inlineStr">
        <is>
          <t>향</t>
        </is>
      </c>
      <c r="C16" s="7" t="n">
        <v>90</v>
      </c>
      <c r="D16" s="7" t="inlineStr">
        <is>
          <t>기호품</t>
        </is>
      </c>
      <c r="E16" s="7" t="inlineStr">
        <is>
          <t>버프 재료</t>
        </is>
      </c>
    </row>
    <row r="17">
      <c r="A17" s="8" t="inlineStr">
        <is>
          <t>goods_dye</t>
        </is>
      </c>
      <c r="B17" s="8" t="inlineStr">
        <is>
          <t>염료</t>
        </is>
      </c>
      <c r="C17" s="8" t="n">
        <v>70</v>
      </c>
      <c r="D17" s="8" t="inlineStr">
        <is>
          <t>가공품</t>
        </is>
      </c>
      <c r="E17" s="8" t="inlineStr">
        <is>
          <t>스킨 재료</t>
        </is>
      </c>
    </row>
    <row r="18">
      <c r="A18" s="7" t="inlineStr">
        <is>
          <t>goods_phoenix_feather</t>
        </is>
      </c>
      <c r="B18" s="7" t="inlineStr">
        <is>
          <t>불사조 깃털</t>
        </is>
      </c>
      <c r="C18" s="7" t="n">
        <v>600</v>
      </c>
      <c r="D18" s="7" t="inlineStr">
        <is>
          <t>희귀재료</t>
        </is>
      </c>
      <c r="E18" s="7" t="inlineStr">
        <is>
          <t>v1.13 신규 — 이국의 사치품</t>
        </is>
      </c>
    </row>
    <row r="19">
      <c r="A19" s="8" t="inlineStr">
        <is>
          <t>goods_void_essence</t>
        </is>
      </c>
      <c r="B19" s="8" t="inlineStr">
        <is>
          <t>공허의 정수</t>
        </is>
      </c>
      <c r="C19" s="8" t="n">
        <v>750</v>
      </c>
      <c r="D19" s="8" t="inlineStr">
        <is>
          <t>마법재료</t>
        </is>
      </c>
      <c r="E19" s="8" t="inlineStr">
        <is>
          <t>v1.13 신규 — 이국의 사치품</t>
        </is>
      </c>
    </row>
    <row r="20">
      <c r="A20" s="7" t="inlineStr">
        <is>
          <t>goods_celestial_silk</t>
        </is>
      </c>
      <c r="B20" s="7" t="inlineStr">
        <is>
          <t>천공의 비단</t>
        </is>
      </c>
      <c r="C20" s="7" t="n">
        <v>900</v>
      </c>
      <c r="D20" s="7" t="inlineStr">
        <is>
          <t>고급직물</t>
        </is>
      </c>
      <c r="E20" s="7" t="inlineStr">
        <is>
          <t>v1.13 신규 — 최고급 사치품</t>
        </is>
      </c>
    </row>
    <row r="21">
      <c r="A21" s="8" t="inlineStr">
        <is>
          <t>goods_salt</t>
        </is>
      </c>
      <c r="B21" s="8" t="inlineStr">
        <is>
          <t>소금</t>
        </is>
      </c>
      <c r="C21" s="8" t="n">
        <v>35</v>
      </c>
      <c r="D21" s="8" t="inlineStr">
        <is>
          <t>식품/조미</t>
        </is>
      </c>
      <c r="E21" s="8" t="inlineStr">
        <is>
          <t>기본 교역품</t>
        </is>
      </c>
    </row>
    <row r="22">
      <c r="A22" s="7" t="inlineStr">
        <is>
          <t>goods_fish</t>
        </is>
      </c>
      <c r="B22" s="7" t="inlineStr">
        <is>
          <t>건어물</t>
        </is>
      </c>
      <c r="C22" s="7" t="n">
        <v>55</v>
      </c>
      <c r="D22" s="7" t="inlineStr">
        <is>
          <t>식품</t>
        </is>
      </c>
      <c r="E22" s="7" t="inlineStr">
        <is>
          <t>기본 교역품</t>
        </is>
      </c>
    </row>
    <row r="23">
      <c r="A23" s="8" t="inlineStr">
        <is>
          <t>goods_gold_bar</t>
        </is>
      </c>
      <c r="B23" s="8" t="inlineStr">
        <is>
          <t>금괴</t>
        </is>
      </c>
      <c r="C23" s="8" t="n">
        <v>500</v>
      </c>
      <c r="D23" s="8" t="inlineStr">
        <is>
          <t>귀금속</t>
        </is>
      </c>
      <c r="E23" s="8" t="inlineStr">
        <is>
          <t>최고가 교역품</t>
        </is>
      </c>
    </row>
    <row r="24">
      <c r="A24" s="7" t="inlineStr">
        <is>
          <t>goods_dragon_eye</t>
        </is>
      </c>
      <c r="B24" s="7" t="inlineStr">
        <is>
          <t>용의 눈</t>
        </is>
      </c>
      <c r="C24" s="7" t="n">
        <v>800</v>
      </c>
      <c r="D24" s="7" t="inlineStr">
        <is>
          <t>희귀재료</t>
        </is>
      </c>
      <c r="E24" s="7" t="inlineStr">
        <is>
          <t>전설 제작 재료</t>
        </is>
      </c>
    </row>
    <row r="25">
      <c r="A25" s="8" t="inlineStr">
        <is>
          <t>goods_star_dust</t>
        </is>
      </c>
      <c r="B25" s="8" t="inlineStr">
        <is>
          <t>별의 가루</t>
        </is>
      </c>
      <c r="C25" s="8" t="n">
        <v>400</v>
      </c>
      <c r="D25" s="8" t="inlineStr">
        <is>
          <t>마법재료</t>
        </is>
      </c>
      <c r="E25" s="8" t="inlineStr">
        <is>
          <t>강화 촉매</t>
        </is>
      </c>
    </row>
    <row r="26">
      <c r="A26" s="7" t="inlineStr">
        <is>
          <t>goods_moonstone</t>
        </is>
      </c>
      <c r="B26" s="7" t="inlineStr">
        <is>
          <t>월석</t>
        </is>
      </c>
      <c r="C26" s="7" t="n">
        <v>350</v>
      </c>
      <c r="D26" s="7" t="inlineStr">
        <is>
          <t>마법재료</t>
        </is>
      </c>
      <c r="E26" s="7" t="inlineStr">
        <is>
          <t>장신구 재료</t>
        </is>
      </c>
    </row>
    <row r="29">
      <c r="A29" s="9" t="inlineStr">
        <is>
          <t>교역 규칙</t>
        </is>
      </c>
    </row>
    <row r="30">
      <c r="A30" s="3" t="inlineStr">
        <is>
          <t>가격 변동</t>
        </is>
      </c>
      <c r="B30" s="3" t="inlineStr">
        <is>
          <t>마을별 0.5~1.5배 가격 랜덤 (10분 주기 변동)</t>
        </is>
      </c>
    </row>
    <row r="31">
      <c r="A31" s="3" t="inlineStr">
        <is>
          <t>구매 조건</t>
        </is>
      </c>
      <c r="B31" s="3" t="inlineStr">
        <is>
          <t>해당 마을 존에 위치해야 구매 가능</t>
        </is>
      </c>
    </row>
    <row r="32">
      <c r="A32" s="3" t="inlineStr">
        <is>
          <t>판매 조건</t>
        </is>
      </c>
      <c r="B32" s="3" t="inlineStr">
        <is>
          <t>다른 마을로 이동 후 판매 (차익 실현)</t>
        </is>
      </c>
    </row>
    <row r="33">
      <c r="A33" s="3" t="inlineStr">
        <is>
          <t>판매 수수료</t>
        </is>
      </c>
      <c r="B33" s="3" t="inlineStr">
        <is>
          <t>판매가의 10% 수수료</t>
        </is>
      </c>
    </row>
    <row r="34">
      <c r="A34" s="3" t="inlineStr">
        <is>
          <t>마켓 수수료</t>
        </is>
      </c>
      <c r="B34" s="3" t="inlineStr">
        <is>
          <t>플레이어간 거래 5% 수수료</t>
        </is>
      </c>
    </row>
    <row r="35">
      <c r="A35" s="3" t="inlineStr">
        <is>
          <t>위험 요소</t>
        </is>
      </c>
      <c r="B35" s="3" t="inlineStr">
        <is>
          <t>PK 사망시 교역품 30% 드롭</t>
        </is>
      </c>
    </row>
    <row r="36">
      <c r="A36" s="3" t="inlineStr">
        <is>
          <t>이익 극대화</t>
        </is>
      </c>
      <c r="B36" s="3" t="inlineStr">
        <is>
          <t>가격이 낮은 마을에서 매입 → 높은 마을에서 매도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22" customWidth="1" min="4" max="4"/>
    <col width="10" customWidth="1" min="5" max="5"/>
    <col width="28" customWidth="1" min="6" max="6"/>
  </cols>
  <sheetData>
    <row r="1">
      <c r="A1" s="5" t="inlineStr">
        <is>
          <t>펫 (7종 — v1.11 불사조/유니콘 신규)</t>
        </is>
      </c>
    </row>
    <row r="3">
      <c r="A3" s="6" t="inlineStr">
        <is>
          <t>펫ID</t>
        </is>
      </c>
      <c r="B3" s="6" t="inlineStr">
        <is>
          <t>이름</t>
        </is>
      </c>
      <c r="C3" s="6" t="inlineStr">
        <is>
          <t>효과</t>
        </is>
      </c>
      <c r="D3" s="6" t="inlineStr">
        <is>
          <t>획득조건</t>
        </is>
      </c>
      <c r="E3" s="6" t="inlineStr">
        <is>
          <t>등급</t>
        </is>
      </c>
      <c r="F3" s="6" t="inlineStr">
        <is>
          <t>진화형</t>
        </is>
      </c>
    </row>
    <row r="4">
      <c r="A4" s="7" t="inlineStr">
        <is>
          <t>pet_slime</t>
        </is>
      </c>
      <c r="B4" s="7" t="inlineStr">
        <is>
          <t>미니 슬라임</t>
        </is>
      </c>
      <c r="C4" s="7" t="inlineStr">
        <is>
          <t>HP 재생 3%</t>
        </is>
      </c>
      <c r="D4" s="7" t="inlineStr">
        <is>
          <t>슬라임 100마리 처치</t>
        </is>
      </c>
      <c r="E4" s="7" t="inlineStr">
        <is>
          <t>일반</t>
        </is>
      </c>
      <c r="F4" s="7" t="inlineStr">
        <is>
          <t>슬라임 킹 (HP재생 8%)</t>
        </is>
      </c>
    </row>
    <row r="5">
      <c r="A5" s="8" t="inlineStr">
        <is>
          <t>pet_wolf</t>
        </is>
      </c>
      <c r="B5" s="8" t="inlineStr">
        <is>
          <t>아기 늑대</t>
        </is>
      </c>
      <c r="C5" s="8" t="inlineStr">
        <is>
          <t>공격 +8%</t>
        </is>
      </c>
      <c r="D5" s="8" t="inlineStr">
        <is>
          <t>오크 50마리 처치</t>
        </is>
      </c>
      <c r="E5" s="8" t="inlineStr">
        <is>
          <t>일반</t>
        </is>
      </c>
      <c r="F5" s="8" t="inlineStr">
        <is>
          <t>다이어 울프 (공격 +18%)</t>
        </is>
      </c>
    </row>
    <row r="6">
      <c r="A6" s="7" t="inlineStr">
        <is>
          <t>pet_fairy</t>
        </is>
      </c>
      <c r="B6" s="7" t="inlineStr">
        <is>
          <t>요정</t>
        </is>
      </c>
      <c r="C6" s="7" t="inlineStr">
        <is>
          <t>경험치 +15%</t>
        </is>
      </c>
      <c r="D6" s="7" t="inlineStr">
        <is>
          <t>다이아 300개</t>
        </is>
      </c>
      <c r="E6" s="7" t="inlineStr">
        <is>
          <t>희귀</t>
        </is>
      </c>
      <c r="F6" s="7" t="inlineStr">
        <is>
          <t>대요정 (경험치 +30%)</t>
        </is>
      </c>
    </row>
    <row r="7">
      <c r="A7" s="8" t="inlineStr">
        <is>
          <t>pet_dragon</t>
        </is>
      </c>
      <c r="B7" s="8" t="inlineStr">
        <is>
          <t>미니 드래곤</t>
        </is>
      </c>
      <c r="C7" s="8" t="inlineStr">
        <is>
          <t>공격 +15%</t>
        </is>
      </c>
      <c r="D7" s="8" t="inlineStr">
        <is>
          <t>드래곤 20마리 처치</t>
        </is>
      </c>
      <c r="E7" s="8" t="inlineStr">
        <is>
          <t>전설</t>
        </is>
      </c>
      <c r="F7" s="8" t="inlineStr">
        <is>
          <t>고대 드래곤 (공격 +30%)</t>
        </is>
      </c>
    </row>
    <row r="8">
      <c r="A8" s="7" t="inlineStr">
        <is>
          <t>pet_angel</t>
        </is>
      </c>
      <c r="B8" s="7" t="inlineStr">
        <is>
          <t>천사</t>
        </is>
      </c>
      <c r="C8" s="7" t="inlineStr">
        <is>
          <t>자동 부활 1회</t>
        </is>
      </c>
      <c r="D8" s="7" t="inlineStr">
        <is>
          <t>다이아 1000개</t>
        </is>
      </c>
      <c r="E8" s="7" t="inlineStr">
        <is>
          <t>전설</t>
        </is>
      </c>
      <c r="F8" s="7" t="inlineStr">
        <is>
          <t>세라핌 (부활 + HP30%)</t>
        </is>
      </c>
    </row>
    <row r="9">
      <c r="A9" s="8" t="inlineStr">
        <is>
          <t>pet_phoenix</t>
        </is>
      </c>
      <c r="B9" s="8" t="inlineStr">
        <is>
          <t>불사조</t>
        </is>
      </c>
      <c r="C9" s="8" t="inlineStr">
        <is>
          <t>화염 데미지 +20%</t>
        </is>
      </c>
      <c r="D9" s="8" t="inlineStr">
        <is>
          <t>불꽃산 보스 50처치</t>
        </is>
      </c>
      <c r="E9" s="8" t="inlineStr">
        <is>
          <t>전설</t>
        </is>
      </c>
      <c r="F9" s="8" t="inlineStr">
        <is>
          <t>불사조 군주 (화염 +40%) — v1.11</t>
        </is>
      </c>
    </row>
    <row r="10">
      <c r="A10" s="7" t="inlineStr">
        <is>
          <t>pet_unicorn</t>
        </is>
      </c>
      <c r="B10" s="7" t="inlineStr">
        <is>
          <t>유니콘</t>
        </is>
      </c>
      <c r="C10" s="7" t="inlineStr">
        <is>
          <t>회피 +10%</t>
        </is>
      </c>
      <c r="D10" s="7" t="inlineStr">
        <is>
          <t>다이아 800개</t>
        </is>
      </c>
      <c r="E10" s="7" t="inlineStr">
        <is>
          <t>희귀</t>
        </is>
      </c>
      <c r="F10" s="7" t="inlineStr">
        <is>
          <t>천상의 유니콘 (회피 +20%) — v1.11</t>
        </is>
      </c>
    </row>
    <row r="13">
      <c r="A13" s="9" t="inlineStr">
        <is>
          <t>탈것 (4종)</t>
        </is>
      </c>
    </row>
    <row r="14">
      <c r="A14" s="10" t="inlineStr">
        <is>
          <t>탈것ID</t>
        </is>
      </c>
      <c r="B14" s="10" t="inlineStr">
        <is>
          <t>이름</t>
        </is>
      </c>
      <c r="C14" s="10" t="inlineStr">
        <is>
          <t>속도보너스</t>
        </is>
      </c>
      <c r="D14" s="10" t="inlineStr">
        <is>
          <t>획득조건</t>
        </is>
      </c>
      <c r="E14" s="10" t="inlineStr">
        <is>
          <t>등급</t>
        </is>
      </c>
    </row>
    <row r="15">
      <c r="A15" s="3" t="inlineStr">
        <is>
          <t>mount_horse</t>
        </is>
      </c>
      <c r="B15" s="3" t="inlineStr">
        <is>
          <t>말</t>
        </is>
      </c>
      <c r="C15" s="3" t="inlineStr">
        <is>
          <t>+30%</t>
        </is>
      </c>
      <c r="D15" s="3" t="inlineStr">
        <is>
          <t>1000G</t>
        </is>
      </c>
      <c r="E15" s="3" t="inlineStr">
        <is>
          <t>일반</t>
        </is>
      </c>
    </row>
    <row r="16">
      <c r="A16" s="3" t="inlineStr">
        <is>
          <t>mount_warhorse</t>
        </is>
      </c>
      <c r="B16" s="3" t="inlineStr">
        <is>
          <t>전투마</t>
        </is>
      </c>
      <c r="C16" s="3" t="inlineStr">
        <is>
          <t>+50%</t>
        </is>
      </c>
      <c r="D16" s="3" t="inlineStr">
        <is>
          <t>5000G</t>
        </is>
      </c>
      <c r="E16" s="3" t="inlineStr">
        <is>
          <t>희귀</t>
        </is>
      </c>
    </row>
    <row r="17">
      <c r="A17" s="3" t="inlineStr">
        <is>
          <t>mount_griffin</t>
        </is>
      </c>
      <c r="B17" s="3" t="inlineStr">
        <is>
          <t>그리폰</t>
        </is>
      </c>
      <c r="C17" s="3" t="inlineStr">
        <is>
          <t>+70%</t>
        </is>
      </c>
      <c r="D17" s="3" t="inlineStr">
        <is>
          <t>다이아 500개</t>
        </is>
      </c>
      <c r="E17" s="3" t="inlineStr">
        <is>
          <t>전설</t>
        </is>
      </c>
    </row>
    <row r="18">
      <c r="A18" s="3" t="inlineStr">
        <is>
          <t>mount_dragon</t>
        </is>
      </c>
      <c r="B18" s="3" t="inlineStr">
        <is>
          <t>흑룡</t>
        </is>
      </c>
      <c r="C18" s="3" t="inlineStr">
        <is>
          <t>+100%</t>
        </is>
      </c>
      <c r="D18" s="3" t="inlineStr">
        <is>
          <t>드래곤 보스 드롭</t>
        </is>
      </c>
      <c r="E18" s="3" t="inlineStr">
        <is>
          <t>신화</t>
        </is>
      </c>
    </row>
    <row r="19">
      <c r="A19" s="3" t="inlineStr">
        <is>
          <t>mount_pegasus</t>
        </is>
      </c>
      <c r="B19" s="3" t="inlineStr">
        <is>
          <t>페가수스</t>
        </is>
      </c>
      <c r="C19" s="3" t="inlineStr">
        <is>
          <t>+85% (비행)</t>
        </is>
      </c>
      <c r="D19" s="3" t="inlineStr">
        <is>
          <t>다이아 1200개</t>
        </is>
      </c>
      <c r="E19" s="3" t="inlineStr">
        <is>
          <t>전설 — v1.11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2" customWidth="1" min="4" max="4"/>
    <col width="18" customWidth="1" min="5" max="5"/>
  </cols>
  <sheetData>
    <row r="1">
      <c r="A1" s="5" t="inlineStr">
        <is>
          <t>버프/디버프 (14종)</t>
        </is>
      </c>
    </row>
    <row r="3">
      <c r="A3" s="6" t="inlineStr">
        <is>
          <t>분류</t>
        </is>
      </c>
      <c r="B3" s="6" t="inlineStr">
        <is>
          <t>이름</t>
        </is>
      </c>
      <c r="C3" s="6" t="inlineStr">
        <is>
          <t>효과</t>
        </is>
      </c>
      <c r="D3" s="6" t="inlineStr">
        <is>
          <t>지속시간</t>
        </is>
      </c>
      <c r="E3" s="6" t="inlineStr">
        <is>
          <t>발동조건</t>
        </is>
      </c>
    </row>
    <row r="4">
      <c r="A4" s="7" t="inlineStr">
        <is>
          <t>버프</t>
        </is>
      </c>
      <c r="B4" s="7" t="inlineStr">
        <is>
          <t>공격 증가</t>
        </is>
      </c>
      <c r="C4" s="7" t="inlineStr">
        <is>
          <t>ATK ×1.3</t>
        </is>
      </c>
      <c r="D4" s="7" t="inlineStr">
        <is>
          <t>60초</t>
        </is>
      </c>
      <c r="E4" s="7" t="inlineStr">
        <is>
          <t>물약/스킬</t>
        </is>
      </c>
    </row>
    <row r="5">
      <c r="A5" s="8" t="inlineStr">
        <is>
          <t>버프</t>
        </is>
      </c>
      <c r="B5" s="8" t="inlineStr">
        <is>
          <t>방어 증가</t>
        </is>
      </c>
      <c r="C5" s="8" t="inlineStr">
        <is>
          <t>DEF ×1.3</t>
        </is>
      </c>
      <c r="D5" s="8" t="inlineStr">
        <is>
          <t>60초</t>
        </is>
      </c>
      <c r="E5" s="8" t="inlineStr">
        <is>
          <t>물약/스킬</t>
        </is>
      </c>
    </row>
    <row r="6">
      <c r="A6" s="7" t="inlineStr">
        <is>
          <t>버프</t>
        </is>
      </c>
      <c r="B6" s="7" t="inlineStr">
        <is>
          <t>속도 증가</t>
        </is>
      </c>
      <c r="C6" s="7" t="inlineStr">
        <is>
          <t>SPD ×1.5</t>
        </is>
      </c>
      <c r="D6" s="7" t="inlineStr">
        <is>
          <t>30초</t>
        </is>
      </c>
      <c r="E6" s="7" t="inlineStr">
        <is>
          <t>스킬</t>
        </is>
      </c>
    </row>
    <row r="7">
      <c r="A7" s="8" t="inlineStr">
        <is>
          <t>버프</t>
        </is>
      </c>
      <c r="B7" s="8" t="inlineStr">
        <is>
          <t>경험치 부스트</t>
        </is>
      </c>
      <c r="C7" s="8" t="inlineStr">
        <is>
          <t>EXP ×2.0</t>
        </is>
      </c>
      <c r="D7" s="8" t="inlineStr">
        <is>
          <t>300초</t>
        </is>
      </c>
      <c r="E7" s="8" t="inlineStr">
        <is>
          <t>상점 구매</t>
        </is>
      </c>
    </row>
    <row r="8">
      <c r="A8" s="7" t="inlineStr">
        <is>
          <t>버프</t>
        </is>
      </c>
      <c r="B8" s="7" t="inlineStr">
        <is>
          <t>생선 스튜</t>
        </is>
      </c>
      <c r="C8" s="7" t="inlineStr">
        <is>
          <t>maxHP +200</t>
        </is>
      </c>
      <c r="D8" s="7" t="inlineStr">
        <is>
          <t>180초</t>
        </is>
      </c>
      <c r="E8" s="7" t="inlineStr">
        <is>
          <t>NPC 요리</t>
        </is>
      </c>
    </row>
    <row r="9">
      <c r="A9" s="8" t="inlineStr">
        <is>
          <t>버프</t>
        </is>
      </c>
      <c r="B9" s="8" t="inlineStr">
        <is>
          <t>황금 수프</t>
        </is>
      </c>
      <c r="C9" s="8" t="inlineStr">
        <is>
          <t>ATK +15</t>
        </is>
      </c>
      <c r="D9" s="8" t="inlineStr">
        <is>
          <t>180초</t>
        </is>
      </c>
      <c r="E9" s="8" t="inlineStr">
        <is>
          <t>NPC 요리</t>
        </is>
      </c>
    </row>
    <row r="10">
      <c r="A10" s="7" t="inlineStr">
        <is>
          <t>버프</t>
        </is>
      </c>
      <c r="B10" s="7" t="inlineStr">
        <is>
          <t>용의 만찬</t>
        </is>
      </c>
      <c r="C10" s="7" t="inlineStr">
        <is>
          <t>전스탯 +10</t>
        </is>
      </c>
      <c r="D10" s="7" t="inlineStr">
        <is>
          <t>300초</t>
        </is>
      </c>
      <c r="E10" s="7" t="inlineStr">
        <is>
          <t>NPC 요리</t>
        </is>
      </c>
    </row>
    <row r="11">
      <c r="A11" s="8" t="inlineStr">
        <is>
          <t>버프</t>
        </is>
      </c>
      <c r="B11" s="8" t="inlineStr">
        <is>
          <t>버서커</t>
        </is>
      </c>
      <c r="C11" s="8" t="inlineStr">
        <is>
          <t>ATK ×2.0</t>
        </is>
      </c>
      <c r="D11" s="8" t="inlineStr">
        <is>
          <t>15초</t>
        </is>
      </c>
      <c r="E11" s="8" t="inlineStr">
        <is>
          <t>워리어 궁극기</t>
        </is>
      </c>
    </row>
    <row r="12">
      <c r="A12" s="7" t="inlineStr">
        <is>
          <t>버프</t>
        </is>
      </c>
      <c r="B12" s="7" t="inlineStr">
        <is>
          <t>철벽 방어</t>
        </is>
      </c>
      <c r="C12" s="7" t="inlineStr">
        <is>
          <t>DEF ×3.0</t>
        </is>
      </c>
      <c r="D12" s="7" t="inlineStr">
        <is>
          <t>5초</t>
        </is>
      </c>
      <c r="E12" s="7" t="inlineStr">
        <is>
          <t>나이트 궁극기</t>
        </is>
      </c>
    </row>
    <row r="13">
      <c r="A13" s="8" t="inlineStr">
        <is>
          <t>디버프</t>
        </is>
      </c>
      <c r="B13" s="8" t="inlineStr">
        <is>
          <t>독</t>
        </is>
      </c>
      <c r="C13" s="8" t="inlineStr">
        <is>
          <t>HP -15/초</t>
        </is>
      </c>
      <c r="D13" s="8" t="inlineStr">
        <is>
          <t>5초</t>
        </is>
      </c>
      <c r="E13" s="8" t="inlineStr">
        <is>
          <t>슬라임/독 지역</t>
        </is>
      </c>
    </row>
    <row r="14">
      <c r="A14" s="7" t="inlineStr">
        <is>
          <t>디버프</t>
        </is>
      </c>
      <c r="B14" s="7" t="inlineStr">
        <is>
          <t>슬로우</t>
        </is>
      </c>
      <c r="C14" s="7" t="inlineStr">
        <is>
          <t>SPD ×0.5</t>
        </is>
      </c>
      <c r="D14" s="7" t="inlineStr">
        <is>
          <t>3초</t>
        </is>
      </c>
      <c r="E14" s="7" t="inlineStr">
        <is>
          <t>아이스 볼트</t>
        </is>
      </c>
    </row>
    <row r="15">
      <c r="A15" s="8" t="inlineStr">
        <is>
          <t>디버프</t>
        </is>
      </c>
      <c r="B15" s="8" t="inlineStr">
        <is>
          <t>스턴</t>
        </is>
      </c>
      <c r="C15" s="8" t="inlineStr">
        <is>
          <t>행동 불가</t>
        </is>
      </c>
      <c r="D15" s="8" t="inlineStr">
        <is>
          <t>1초</t>
        </is>
      </c>
      <c r="E15" s="8" t="inlineStr">
        <is>
          <t>방패 강타</t>
        </is>
      </c>
    </row>
    <row r="16">
      <c r="A16" s="7" t="inlineStr">
        <is>
          <t>디버프</t>
        </is>
      </c>
      <c r="B16" s="7" t="inlineStr">
        <is>
          <t>화상</t>
        </is>
      </c>
      <c r="C16" s="7" t="inlineStr">
        <is>
          <t>HP -25/초</t>
        </is>
      </c>
      <c r="D16" s="7" t="inlineStr">
        <is>
          <t>5초</t>
        </is>
      </c>
      <c r="E16" s="7" t="inlineStr">
        <is>
          <t>용암 지역</t>
        </is>
      </c>
    </row>
    <row r="17">
      <c r="A17" s="8" t="inlineStr">
        <is>
          <t>디버프</t>
        </is>
      </c>
      <c r="B17" s="8" t="inlineStr">
        <is>
          <t>저주</t>
        </is>
      </c>
      <c r="C17" s="8" t="inlineStr">
        <is>
          <t>회복량 50%</t>
        </is>
      </c>
      <c r="D17" s="8" t="inlineStr">
        <is>
          <t>10초</t>
        </is>
      </c>
      <c r="E17" s="8" t="inlineStr">
        <is>
          <t>언데드 몬스터</t>
        </is>
      </c>
    </row>
    <row r="20">
      <c r="A20" s="9" t="inlineStr">
        <is>
          <t>변신 시스템 (4종)</t>
        </is>
      </c>
    </row>
    <row r="21">
      <c r="A21" s="10" t="inlineStr">
        <is>
          <t>변신명</t>
        </is>
      </c>
      <c r="B21" s="10" t="inlineStr">
        <is>
          <t>필요 처치</t>
        </is>
      </c>
      <c r="C21" s="10" t="inlineStr">
        <is>
          <t>스탯 보너스</t>
        </is>
      </c>
      <c r="D21" s="10" t="inlineStr">
        <is>
          <t>지속시간</t>
        </is>
      </c>
      <c r="E21" s="10" t="inlineStr">
        <is>
          <t>외형 변화</t>
        </is>
      </c>
    </row>
    <row r="22">
      <c r="A22" s="3" t="inlineStr">
        <is>
          <t>슬라임 변신</t>
        </is>
      </c>
      <c r="B22" s="3" t="inlineStr">
        <is>
          <t>슬라임 30마리</t>
        </is>
      </c>
      <c r="C22" s="3" t="inlineStr">
        <is>
          <t>HP+50, SPD+3</t>
        </is>
      </c>
      <c r="D22" s="3" t="inlineStr">
        <is>
          <t>120초</t>
        </is>
      </c>
      <c r="E22" s="3" t="inlineStr">
        <is>
          <t>슬라임 외형</t>
        </is>
      </c>
    </row>
    <row r="23">
      <c r="A23" s="3" t="inlineStr">
        <is>
          <t>오크 변신</t>
        </is>
      </c>
      <c r="B23" s="3" t="inlineStr">
        <is>
          <t>오크 20마리</t>
        </is>
      </c>
      <c r="C23" s="3" t="inlineStr">
        <is>
          <t>ATK+15, DEF+10</t>
        </is>
      </c>
      <c r="D23" s="3" t="inlineStr">
        <is>
          <t>120초</t>
        </is>
      </c>
      <c r="E23" s="3" t="inlineStr">
        <is>
          <t>오크 외형</t>
        </is>
      </c>
    </row>
    <row r="24">
      <c r="A24" s="3" t="inlineStr">
        <is>
          <t>다크나이트 변신</t>
        </is>
      </c>
      <c r="B24" s="3" t="inlineStr">
        <is>
          <t>다크나이트 15마리</t>
        </is>
      </c>
      <c r="C24" s="3" t="inlineStr">
        <is>
          <t>ATK+25, CRIT+10%</t>
        </is>
      </c>
      <c r="D24" s="3" t="inlineStr">
        <is>
          <t>90초</t>
        </is>
      </c>
      <c r="E24" s="3" t="inlineStr">
        <is>
          <t>다크나이트 외형</t>
        </is>
      </c>
    </row>
    <row r="25">
      <c r="A25" s="3" t="inlineStr">
        <is>
          <t>드래곤 변신</t>
        </is>
      </c>
      <c r="B25" s="3" t="inlineStr">
        <is>
          <t>드래곤 5마리</t>
        </is>
      </c>
      <c r="C25" s="3" t="inlineStr">
        <is>
          <t>ATK+40, HP+200, DEF+20</t>
        </is>
      </c>
      <c r="D25" s="3" t="inlineStr">
        <is>
          <t>60초</t>
        </is>
      </c>
      <c r="E25" s="3" t="inlineStr">
        <is>
          <t>드래곤 외형</t>
        </is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5" customWidth="1" min="3" max="3"/>
  </cols>
  <sheetData>
    <row r="1">
      <c r="A1" s="5" t="inlineStr">
        <is>
          <t>PvP &amp; 카르마 시스템</t>
        </is>
      </c>
    </row>
    <row r="3">
      <c r="A3" s="6" t="inlineStr">
        <is>
          <t>시스템</t>
        </is>
      </c>
      <c r="B3" s="6" t="inlineStr">
        <is>
          <t>조건</t>
        </is>
      </c>
      <c r="C3" s="6" t="inlineStr">
        <is>
          <t>효과</t>
        </is>
      </c>
    </row>
    <row r="4">
      <c r="A4" s="7" t="inlineStr">
        <is>
          <t>평화 모드</t>
        </is>
      </c>
      <c r="B4" s="7" t="inlineStr">
        <is>
          <t>기본 상태, 몬스터만 공격 가능</t>
        </is>
      </c>
      <c r="C4" s="7" t="inlineStr">
        <is>
          <t>PvP 선언으로 전환</t>
        </is>
      </c>
    </row>
    <row r="5">
      <c r="A5" s="8" t="inlineStr">
        <is>
          <t>왕 모드</t>
        </is>
      </c>
      <c r="B5" s="8" t="inlineStr">
        <is>
          <t>킹이 없을 때 PvP 선언시</t>
        </is>
      </c>
      <c r="C5" s="8" t="inlineStr">
        <is>
          <t>HP ×3, DMG ×2, 보스급 강화</t>
        </is>
      </c>
    </row>
    <row r="6">
      <c r="A6" s="7" t="inlineStr">
        <is>
          <t>카오틱 모드</t>
        </is>
      </c>
      <c r="B6" s="7" t="inlineStr">
        <is>
          <t>킹이 있을 때 PvP 선언시</t>
        </is>
      </c>
      <c r="C6" s="7" t="inlineStr">
        <is>
          <t>HP ×1.5, DMG ×1.2</t>
        </is>
      </c>
    </row>
    <row r="7">
      <c r="A7" s="8" t="inlineStr">
        <is>
          <t>PK 페널티</t>
        </is>
      </c>
      <c r="B7" s="8" t="inlineStr">
        <is>
          <t>평화 모드 플레이어 처치시</t>
        </is>
      </c>
      <c r="C7" s="8" t="inlineStr">
        <is>
          <t>카르마 +100</t>
        </is>
      </c>
    </row>
    <row r="8">
      <c r="A8" s="7" t="inlineStr">
        <is>
          <t>카르마 감소</t>
        </is>
      </c>
      <c r="B8" s="7" t="inlineStr">
        <is>
          <t>시간 경과</t>
        </is>
      </c>
      <c r="C8" s="7" t="inlineStr">
        <is>
          <t>분당 -5 자연 감소</t>
        </is>
      </c>
    </row>
    <row r="9">
      <c r="A9" s="8" t="inlineStr">
        <is>
          <t>카오틱 상태</t>
        </is>
      </c>
      <c r="B9" s="8" t="inlineStr">
        <is>
          <t>카르마 200 이상</t>
        </is>
      </c>
      <c r="C9" s="8" t="inlineStr">
        <is>
          <t>빨간 이름, 공격 대상 우선순위</t>
        </is>
      </c>
    </row>
    <row r="10">
      <c r="A10" s="7" t="inlineStr">
        <is>
          <t>사망 페널티</t>
        </is>
      </c>
      <c r="B10" s="7" t="inlineStr">
        <is>
          <t>PvP 사망시</t>
        </is>
      </c>
      <c r="C10" s="7" t="inlineStr">
        <is>
          <t>골드 50% 손실 + 인벤토리 30% 드롭</t>
        </is>
      </c>
    </row>
    <row r="11">
      <c r="A11" s="8" t="inlineStr">
        <is>
          <t>용병 손실</t>
        </is>
      </c>
      <c r="B11" s="8" t="inlineStr">
        <is>
          <t>PvP 사망시</t>
        </is>
      </c>
      <c r="C11" s="8" t="inlineStr">
        <is>
          <t>모든 용병 삭제</t>
        </is>
      </c>
    </row>
    <row r="12">
      <c r="A12" s="7" t="inlineStr">
        <is>
          <t>현상금</t>
        </is>
      </c>
      <c r="B12" s="7" t="inlineStr">
        <is>
          <t>카오틱 플레이어 처치</t>
        </is>
      </c>
      <c r="C12" s="7" t="inlineStr">
        <is>
          <t>보상 1.5배</t>
        </is>
      </c>
    </row>
    <row r="13">
      <c r="A13" s="8" t="inlineStr">
        <is>
          <t>성채 점령</t>
        </is>
      </c>
      <c r="B13" s="8" t="inlineStr">
        <is>
          <t>하늘의 성채에서</t>
        </is>
      </c>
      <c r="C13" s="8" t="inlineStr">
        <is>
          <t>길드 성 점령전 가능</t>
        </is>
      </c>
    </row>
  </sheetData>
  <mergeCells count="1">
    <mergeCell ref="A1:C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8" customWidth="1" min="4" max="4"/>
    <col width="18" customWidth="1" min="5" max="5"/>
  </cols>
  <sheetData>
    <row r="1">
      <c r="A1" s="5" t="inlineStr">
        <is>
          <t>퀘스트 (총 64종 — 일일4 / 주간4 / 메인11 / 업적40+5)</t>
        </is>
      </c>
    </row>
    <row r="3">
      <c r="A3" s="6" t="inlineStr">
        <is>
          <t>분류</t>
        </is>
      </c>
      <c r="B3" s="6" t="inlineStr">
        <is>
          <t>퀘스트명</t>
        </is>
      </c>
      <c r="C3" s="6" t="inlineStr">
        <is>
          <t>목표</t>
        </is>
      </c>
      <c r="D3" s="6" t="inlineStr">
        <is>
          <t>보상</t>
        </is>
      </c>
      <c r="E3" s="6" t="inlineStr">
        <is>
          <t>비고</t>
        </is>
      </c>
    </row>
    <row r="4">
      <c r="A4" s="7" t="inlineStr">
        <is>
          <t>일일</t>
        </is>
      </c>
      <c r="B4" s="7" t="inlineStr">
        <is>
          <t>일일 사냥</t>
        </is>
      </c>
      <c r="C4" s="7" t="inlineStr">
        <is>
          <t>몬스터 50마리 처치</t>
        </is>
      </c>
      <c r="D4" s="7" t="inlineStr">
        <is>
          <t>200G + 500EXP</t>
        </is>
      </c>
      <c r="E4" s="7" t="inlineStr">
        <is>
          <t>매일 초기화</t>
        </is>
      </c>
    </row>
    <row r="5">
      <c r="A5" s="8" t="inlineStr">
        <is>
          <t>일일</t>
        </is>
      </c>
      <c r="B5" s="8" t="inlineStr">
        <is>
          <t>필드 보스</t>
        </is>
      </c>
      <c r="C5" s="8" t="inlineStr">
        <is>
          <t>엘리트+ 3마리</t>
        </is>
      </c>
      <c r="D5" s="8" t="inlineStr">
        <is>
          <t>500G + 800EXP</t>
        </is>
      </c>
      <c r="E5" s="8" t="inlineStr">
        <is>
          <t>매일 초기화</t>
        </is>
      </c>
    </row>
    <row r="6">
      <c r="A6" s="7" t="inlineStr">
        <is>
          <t>일일</t>
        </is>
      </c>
      <c r="B6" s="7" t="inlineStr">
        <is>
          <t>골드 수집</t>
        </is>
      </c>
      <c r="C6" s="7" t="inlineStr">
        <is>
          <t>골드 500 획득</t>
        </is>
      </c>
      <c r="D6" s="7" t="inlineStr">
        <is>
          <t>200G + 300EXP</t>
        </is>
      </c>
      <c r="E6" s="7" t="inlineStr">
        <is>
          <t>매일 초기화</t>
        </is>
      </c>
    </row>
    <row r="7">
      <c r="A7" s="8" t="inlineStr">
        <is>
          <t>일일</t>
        </is>
      </c>
      <c r="B7" s="8" t="inlineStr">
        <is>
          <t>PvP 도전</t>
        </is>
      </c>
      <c r="C7" s="8" t="inlineStr">
        <is>
          <t>PvP 3회 참여</t>
        </is>
      </c>
      <c r="D7" s="8" t="inlineStr">
        <is>
          <t>300G + 400EXP</t>
        </is>
      </c>
      <c r="E7" s="8" t="inlineStr">
        <is>
          <t>매일 초기화</t>
        </is>
      </c>
    </row>
    <row r="8">
      <c r="A8" s="7" t="inlineStr">
        <is>
          <t>주간</t>
        </is>
      </c>
      <c r="B8" s="7" t="inlineStr">
        <is>
          <t>보스 레이드</t>
        </is>
      </c>
      <c r="C8" s="7" t="inlineStr">
        <is>
          <t>보스 5회 처치</t>
        </is>
      </c>
      <c r="D8" s="7" t="inlineStr">
        <is>
          <t>5000G + 8000EXP + 30다이아</t>
        </is>
      </c>
      <c r="E8" s="7" t="inlineStr">
        <is>
          <t>매주 초기화</t>
        </is>
      </c>
    </row>
    <row r="9">
      <c r="A9" s="8" t="inlineStr">
        <is>
          <t>주간</t>
        </is>
      </c>
      <c r="B9" s="8" t="inlineStr">
        <is>
          <t>길드 미션</t>
        </is>
      </c>
      <c r="C9" s="8" t="inlineStr">
        <is>
          <t>길드 던전 2회 클리어</t>
        </is>
      </c>
      <c r="D9" s="8" t="inlineStr">
        <is>
          <t>3000G + 5000EXP</t>
        </is>
      </c>
      <c r="E9" s="8" t="inlineStr">
        <is>
          <t>매주 초기화</t>
        </is>
      </c>
    </row>
    <row r="10">
      <c r="A10" s="7" t="inlineStr">
        <is>
          <t>주간</t>
        </is>
      </c>
      <c r="B10" s="7" t="inlineStr">
        <is>
          <t>PvP 전적</t>
        </is>
      </c>
      <c r="C10" s="7" t="inlineStr">
        <is>
          <t>PvP 20승</t>
        </is>
      </c>
      <c r="D10" s="7" t="inlineStr">
        <is>
          <t>2000G + 3000EXP + 20다이아</t>
        </is>
      </c>
      <c r="E10" s="7" t="inlineStr">
        <is>
          <t>매주 초기화</t>
        </is>
      </c>
    </row>
    <row r="11">
      <c r="A11" s="8" t="inlineStr">
        <is>
          <t>주간</t>
        </is>
      </c>
      <c r="B11" s="8" t="inlineStr">
        <is>
          <t>교역 달인</t>
        </is>
      </c>
      <c r="C11" s="8" t="inlineStr">
        <is>
          <t>교역 10회</t>
        </is>
      </c>
      <c r="D11" s="8" t="inlineStr">
        <is>
          <t>3000G + 2000EXP</t>
        </is>
      </c>
      <c r="E11" s="8" t="inlineStr">
        <is>
          <t>매주 초기화</t>
        </is>
      </c>
    </row>
    <row r="12">
      <c r="A12" s="7" t="inlineStr">
        <is>
          <t>메인</t>
        </is>
      </c>
      <c r="B12" s="7" t="inlineStr">
        <is>
          <t>첫 번째 사냥</t>
        </is>
      </c>
      <c r="C12" s="7" t="inlineStr">
        <is>
          <t>슬라임 5마리</t>
        </is>
      </c>
      <c r="D12" s="7" t="inlineStr">
        <is>
          <t>100G + 200EXP</t>
        </is>
      </c>
      <c r="E12" s="7" t="inlineStr">
        <is>
          <t>일회성</t>
        </is>
      </c>
    </row>
    <row r="13">
      <c r="A13" s="8" t="inlineStr">
        <is>
          <t>메인</t>
        </is>
      </c>
      <c r="B13" s="8" t="inlineStr">
        <is>
          <t>성장의 시작</t>
        </is>
      </c>
      <c r="C13" s="8" t="inlineStr">
        <is>
          <t>레벨 5 달성</t>
        </is>
      </c>
      <c r="D13" s="8" t="inlineStr">
        <is>
          <t>500G + 30다이아</t>
        </is>
      </c>
      <c r="E13" s="8" t="inlineStr">
        <is>
          <t>일회성</t>
        </is>
      </c>
    </row>
    <row r="14">
      <c r="A14" s="7" t="inlineStr">
        <is>
          <t>메인</t>
        </is>
      </c>
      <c r="B14" s="7" t="inlineStr">
        <is>
          <t>전사의 길</t>
        </is>
      </c>
      <c r="C14" s="7" t="inlineStr">
        <is>
          <t>레벨 10 달성</t>
        </is>
      </c>
      <c r="D14" s="7" t="inlineStr">
        <is>
          <t>1000G + 50다이아</t>
        </is>
      </c>
      <c r="E14" s="7" t="inlineStr">
        <is>
          <t>일회성</t>
        </is>
      </c>
    </row>
    <row r="15">
      <c r="A15" s="8" t="inlineStr">
        <is>
          <t>메인</t>
        </is>
      </c>
      <c r="B15" s="8" t="inlineStr">
        <is>
          <t>오크의 위협</t>
        </is>
      </c>
      <c r="C15" s="8" t="inlineStr">
        <is>
          <t>오크전사 10마리</t>
        </is>
      </c>
      <c r="D15" s="8" t="inlineStr">
        <is>
          <t>500G + 20다이아</t>
        </is>
      </c>
      <c r="E15" s="8" t="inlineStr">
        <is>
          <t>일회성</t>
        </is>
      </c>
    </row>
    <row r="16">
      <c r="A16" s="7" t="inlineStr">
        <is>
          <t>메인</t>
        </is>
      </c>
      <c r="B16" s="7" t="inlineStr">
        <is>
          <t>영웅의 각성</t>
        </is>
      </c>
      <c r="C16" s="7" t="inlineStr">
        <is>
          <t>레벨 20 달성</t>
        </is>
      </c>
      <c r="D16" s="7" t="inlineStr">
        <is>
          <t>3000G + 100다이아</t>
        </is>
      </c>
      <c r="E16" s="7" t="inlineStr">
        <is>
          <t>일회성</t>
        </is>
      </c>
    </row>
    <row r="17">
      <c r="A17" s="8" t="inlineStr">
        <is>
          <t>메인</t>
        </is>
      </c>
      <c r="B17" s="8" t="inlineStr">
        <is>
          <t>어둠의 동굴</t>
        </is>
      </c>
      <c r="C17" s="8" t="inlineStr">
        <is>
          <t>던전 클리어</t>
        </is>
      </c>
      <c r="D17" s="8" t="inlineStr">
        <is>
          <t>2000G + 50다이아</t>
        </is>
      </c>
      <c r="E17" s="8" t="inlineStr">
        <is>
          <t>일회성</t>
        </is>
      </c>
    </row>
    <row r="18">
      <c r="A18" s="7" t="inlineStr">
        <is>
          <t>메인</t>
        </is>
      </c>
      <c r="B18" s="7" t="inlineStr">
        <is>
          <t>전설의 시작</t>
        </is>
      </c>
      <c r="C18" s="7" t="inlineStr">
        <is>
          <t>레벨 30 달성</t>
        </is>
      </c>
      <c r="D18" s="7" t="inlineStr">
        <is>
          <t>5000G + 150다이아</t>
        </is>
      </c>
      <c r="E18" s="7" t="inlineStr">
        <is>
          <t>일회성</t>
        </is>
      </c>
    </row>
    <row r="19">
      <c r="A19" s="8" t="inlineStr">
        <is>
          <t>메인</t>
        </is>
      </c>
      <c r="B19" s="8" t="inlineStr">
        <is>
          <t>드래곤 토벌</t>
        </is>
      </c>
      <c r="C19" s="8" t="inlineStr">
        <is>
          <t>보스 몬스터 처치</t>
        </is>
      </c>
      <c r="D19" s="8" t="inlineStr">
        <is>
          <t>5000G + 80다이아</t>
        </is>
      </c>
      <c r="E19" s="8" t="inlineStr">
        <is>
          <t>일회성</t>
        </is>
      </c>
    </row>
    <row r="20">
      <c r="A20" s="7" t="inlineStr">
        <is>
          <t>메인</t>
        </is>
      </c>
      <c r="B20" s="7" t="inlineStr">
        <is>
          <t>PvP 입문</t>
        </is>
      </c>
      <c r="C20" s="7" t="inlineStr">
        <is>
          <t>PvP 모드 전환</t>
        </is>
      </c>
      <c r="D20" s="7" t="inlineStr">
        <is>
          <t>1000G + 30다이아</t>
        </is>
      </c>
      <c r="E20" s="7" t="inlineStr">
        <is>
          <t>일회성</t>
        </is>
      </c>
    </row>
    <row r="21">
      <c r="A21" s="8" t="inlineStr">
        <is>
          <t>메인</t>
        </is>
      </c>
      <c r="B21" s="8" t="inlineStr">
        <is>
          <t>군단장</t>
        </is>
      </c>
      <c r="C21" s="8" t="inlineStr">
        <is>
          <t>용병 10명 보유</t>
        </is>
      </c>
      <c r="D21" s="8" t="inlineStr">
        <is>
          <t>2000G + 50다이아</t>
        </is>
      </c>
      <c r="E21" s="8" t="inlineStr">
        <is>
          <t>일회성</t>
        </is>
      </c>
    </row>
    <row r="22">
      <c r="A22" s="7" t="inlineStr">
        <is>
          <t>업적</t>
        </is>
      </c>
      <c r="B22" s="7" t="inlineStr">
        <is>
          <t>피의 세례 외 39종</t>
        </is>
      </c>
      <c r="C22" s="7" t="inlineStr">
        <is>
          <t>PK/사냥/교역/제작/탐험/길드/탐방 등</t>
        </is>
      </c>
      <c r="D22" s="7" t="inlineStr">
        <is>
          <t>각종 골드/다이아 보상</t>
        </is>
      </c>
      <c r="E22" s="7" t="inlineStr">
        <is>
          <t>일회성</t>
        </is>
      </c>
    </row>
    <row r="23">
      <c r="A23" s="8" t="inlineStr">
        <is>
          <t>업적 v1.14</t>
        </is>
      </c>
      <c r="B23" s="8" t="inlineStr">
        <is>
          <t>폭풍 정복자</t>
        </is>
      </c>
      <c r="C23" s="8" t="inlineStr">
        <is>
          <t>폭풍의 거인 처치</t>
        </is>
      </c>
      <c r="D23" s="8" t="inlineStr">
        <is>
          <t>10,000G + 150다이아</t>
        </is>
      </c>
      <c r="E23" s="8" t="inlineStr">
        <is>
          <t>일회성 — v1.14 신규</t>
        </is>
      </c>
    </row>
    <row r="24">
      <c r="A24" s="7" t="inlineStr">
        <is>
          <t>업적 v1.14</t>
        </is>
      </c>
      <c r="B24" s="7" t="inlineStr">
        <is>
          <t>연금술사</t>
        </is>
      </c>
      <c r="C24" s="7" t="inlineStr">
        <is>
          <t>엘릭서 10회 제작</t>
        </is>
      </c>
      <c r="D24" s="7" t="inlineStr">
        <is>
          <t>5,000G + 80다이아</t>
        </is>
      </c>
      <c r="E24" s="7" t="inlineStr">
        <is>
          <t>일회성 — v1.14 신규</t>
        </is>
      </c>
    </row>
    <row r="25">
      <c r="A25" s="8" t="inlineStr">
        <is>
          <t>업적 v1.14</t>
        </is>
      </c>
      <c r="B25" s="8" t="inlineStr">
        <is>
          <t>그림자 정복자</t>
        </is>
      </c>
      <c r="C25" s="8" t="inlineStr">
        <is>
          <t>그림자 미궁 클리어</t>
        </is>
      </c>
      <c r="D25" s="8" t="inlineStr">
        <is>
          <t>8,000G + 120다이아</t>
        </is>
      </c>
      <c r="E25" s="8" t="inlineStr">
        <is>
          <t>일회성 — v1.14 신규</t>
        </is>
      </c>
    </row>
    <row r="26">
      <c r="A26" s="7" t="inlineStr">
        <is>
          <t>업적 v1.14</t>
        </is>
      </c>
      <c r="B26" s="7" t="inlineStr">
        <is>
          <t>전설의 동반자</t>
        </is>
      </c>
      <c r="C26" s="7" t="inlineStr">
        <is>
          <t>전설급 펫 진화 1회</t>
        </is>
      </c>
      <c r="D26" s="7" t="inlineStr">
        <is>
          <t>6,000G + 100다이아</t>
        </is>
      </c>
      <c r="E26" s="7" t="inlineStr">
        <is>
          <t>일회성 — v1.14 신규</t>
        </is>
      </c>
    </row>
    <row r="27">
      <c r="A27" s="8" t="inlineStr">
        <is>
          <t>업적 v1.14</t>
        </is>
      </c>
      <c r="B27" s="8" t="inlineStr">
        <is>
          <t>이국의 상인</t>
        </is>
      </c>
      <c r="C27" s="8" t="inlineStr">
        <is>
          <t>사치품 교역 5회</t>
        </is>
      </c>
      <c r="D27" s="8" t="inlineStr">
        <is>
          <t>4,000G + 60다이아</t>
        </is>
      </c>
      <c r="E27" s="8" t="inlineStr">
        <is>
          <t>일회성 — v1.14 신규</t>
        </is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32" customWidth="1" min="5" max="5"/>
  </cols>
  <sheetData>
    <row r="1">
      <c r="A1" s="5" t="inlineStr">
        <is>
          <t>상점 (20종 — v1.18 프리미엄 5종 신규)</t>
        </is>
      </c>
    </row>
    <row r="3">
      <c r="A3" s="6" t="inlineStr">
        <is>
          <t>분류</t>
        </is>
      </c>
      <c r="B3" s="6" t="inlineStr">
        <is>
          <t>상품명</t>
        </is>
      </c>
      <c r="C3" s="6" t="inlineStr">
        <is>
          <t>다이아</t>
        </is>
      </c>
      <c r="D3" s="6" t="inlineStr">
        <is>
          <t>골드</t>
        </is>
      </c>
      <c r="E3" s="6" t="inlineStr">
        <is>
          <t>설명</t>
        </is>
      </c>
    </row>
    <row r="4">
      <c r="A4" s="7" t="inlineStr">
        <is>
          <t>다이아</t>
        </is>
      </c>
      <c r="B4" s="7" t="inlineStr">
        <is>
          <t>경험치 2배 부스터</t>
        </is>
      </c>
      <c r="C4" s="7" t="inlineStr">
        <is>
          <t>50 다이아</t>
        </is>
      </c>
      <c r="D4" s="7" t="inlineStr">
        <is>
          <t>-</t>
        </is>
      </c>
      <c r="E4" s="7" t="inlineStr">
        <is>
          <t>5분간 EXP 2배</t>
        </is>
      </c>
    </row>
    <row r="5">
      <c r="A5" s="8" t="inlineStr">
        <is>
          <t>다이아</t>
        </is>
      </c>
      <c r="B5" s="8" t="inlineStr">
        <is>
          <t>골드 2배 부스터</t>
        </is>
      </c>
      <c r="C5" s="8" t="inlineStr">
        <is>
          <t>50 다이아</t>
        </is>
      </c>
      <c r="D5" s="8" t="inlineStr">
        <is>
          <t>-</t>
        </is>
      </c>
      <c r="E5" s="8" t="inlineStr">
        <is>
          <t>5분간 골드 2배</t>
        </is>
      </c>
    </row>
    <row r="6">
      <c r="A6" s="7" t="inlineStr">
        <is>
          <t>다이아</t>
        </is>
      </c>
      <c r="B6" s="7" t="inlineStr">
        <is>
          <t>상급 HP 물약 ×10</t>
        </is>
      </c>
      <c r="C6" s="7" t="inlineStr">
        <is>
          <t>30 다이아</t>
        </is>
      </c>
      <c r="D6" s="7" t="inlineStr">
        <is>
          <t>-</t>
        </is>
      </c>
      <c r="E6" s="7" t="inlineStr">
        <is>
          <t>HP 800 즉시 회복</t>
        </is>
      </c>
    </row>
    <row r="7">
      <c r="A7" s="8" t="inlineStr">
        <is>
          <t>다이아</t>
        </is>
      </c>
      <c r="B7" s="8" t="inlineStr">
        <is>
          <t>부활 주문서 ×3</t>
        </is>
      </c>
      <c r="C7" s="8" t="inlineStr">
        <is>
          <t>80 다이아</t>
        </is>
      </c>
      <c r="D7" s="8" t="inlineStr">
        <is>
          <t>-</t>
        </is>
      </c>
      <c r="E7" s="8" t="inlineStr">
        <is>
          <t>현재 위치에서 부활</t>
        </is>
      </c>
    </row>
    <row r="8">
      <c r="A8" s="7" t="inlineStr">
        <is>
          <t>다이아</t>
        </is>
      </c>
      <c r="B8" s="7" t="inlineStr">
        <is>
          <t>강화 보호 주문서</t>
        </is>
      </c>
      <c r="C8" s="7" t="inlineStr">
        <is>
          <t>100 다이아</t>
        </is>
      </c>
      <c r="D8" s="7" t="inlineStr">
        <is>
          <t>-</t>
        </is>
      </c>
      <c r="E8" s="7" t="inlineStr">
        <is>
          <t>강화 실패시 파괴 방지</t>
        </is>
      </c>
    </row>
    <row r="9">
      <c r="A9" s="8" t="inlineStr">
        <is>
          <t>다이아</t>
        </is>
      </c>
      <c r="B9" s="8" t="inlineStr">
        <is>
          <t>용병 슬롯 +5</t>
        </is>
      </c>
      <c r="C9" s="8" t="inlineStr">
        <is>
          <t>200 다이아</t>
        </is>
      </c>
      <c r="D9" s="8" t="inlineStr">
        <is>
          <t>-</t>
        </is>
      </c>
      <c r="E9" s="8" t="inlineStr">
        <is>
          <t>최대 용병수 +5 (영구)</t>
        </is>
      </c>
    </row>
    <row r="10">
      <c r="A10" s="7" t="inlineStr">
        <is>
          <t>다이아</t>
        </is>
      </c>
      <c r="B10" s="7" t="inlineStr">
        <is>
          <t>루팅 범위 확대</t>
        </is>
      </c>
      <c r="C10" s="7" t="inlineStr">
        <is>
          <t>150 다이아</t>
        </is>
      </c>
      <c r="D10" s="7" t="inlineStr">
        <is>
          <t>-</t>
        </is>
      </c>
      <c r="E10" s="7" t="inlineStr">
        <is>
          <t>1시간 루팅 범위 2배</t>
        </is>
      </c>
    </row>
    <row r="11">
      <c r="A11" s="8" t="inlineStr">
        <is>
          <t>다이아</t>
        </is>
      </c>
      <c r="B11" s="8" t="inlineStr">
        <is>
          <t>황금 오라 스킨</t>
        </is>
      </c>
      <c r="C11" s="8" t="inlineStr">
        <is>
          <t>300 다이아</t>
        </is>
      </c>
      <c r="D11" s="8" t="inlineStr">
        <is>
          <t>-</t>
        </is>
      </c>
      <c r="E11" s="8" t="inlineStr">
        <is>
          <t>황금빛 이펙트 (영구)</t>
        </is>
      </c>
    </row>
    <row r="12">
      <c r="A12" s="7" t="inlineStr">
        <is>
          <t>다이아</t>
        </is>
      </c>
      <c r="B12" s="7" t="inlineStr">
        <is>
          <t>그림자 스킨</t>
        </is>
      </c>
      <c r="C12" s="7" t="inlineStr">
        <is>
          <t>300 다이아</t>
        </is>
      </c>
      <c r="D12" s="7" t="inlineStr">
        <is>
          <t>-</t>
        </is>
      </c>
      <c r="E12" s="7" t="inlineStr">
        <is>
          <t>어둠 이펙트 (영구)</t>
        </is>
      </c>
    </row>
    <row r="13">
      <c r="A13" s="8" t="inlineStr">
        <is>
          <t>다이아</t>
        </is>
      </c>
      <c r="B13" s="8" t="inlineStr">
        <is>
          <t>화염 스킨</t>
        </is>
      </c>
      <c r="C13" s="8" t="inlineStr">
        <is>
          <t>500 다이아</t>
        </is>
      </c>
      <c r="D13" s="8" t="inlineStr">
        <is>
          <t>-</t>
        </is>
      </c>
      <c r="E13" s="8" t="inlineStr">
        <is>
          <t>불꽃 이펙트 (영구)</t>
        </is>
      </c>
    </row>
    <row r="14">
      <c r="A14" s="7" t="inlineStr">
        <is>
          <t>골드</t>
        </is>
      </c>
      <c r="B14" s="7" t="inlineStr">
        <is>
          <t>하급 HP 물약 ×10</t>
        </is>
      </c>
      <c r="C14" s="7" t="inlineStr">
        <is>
          <t>-</t>
        </is>
      </c>
      <c r="D14" s="7" t="inlineStr">
        <is>
          <t>100G</t>
        </is>
      </c>
      <c r="E14" s="7" t="inlineStr">
        <is>
          <t>HP 100 회복</t>
        </is>
      </c>
    </row>
    <row r="15">
      <c r="A15" s="8" t="inlineStr">
        <is>
          <t>골드</t>
        </is>
      </c>
      <c r="B15" s="8" t="inlineStr">
        <is>
          <t>중급 HP 물약 ×10</t>
        </is>
      </c>
      <c r="C15" s="8" t="inlineStr">
        <is>
          <t>-</t>
        </is>
      </c>
      <c r="D15" s="8" t="inlineStr">
        <is>
          <t>300G</t>
        </is>
      </c>
      <c r="E15" s="8" t="inlineStr">
        <is>
          <t>HP 300 회복</t>
        </is>
      </c>
    </row>
    <row r="16">
      <c r="A16" s="7" t="inlineStr">
        <is>
          <t>골드</t>
        </is>
      </c>
      <c r="B16" s="7" t="inlineStr">
        <is>
          <t>공격 부스터</t>
        </is>
      </c>
      <c r="C16" s="7" t="inlineStr">
        <is>
          <t>-</t>
        </is>
      </c>
      <c r="D16" s="7" t="inlineStr">
        <is>
          <t>500G</t>
        </is>
      </c>
      <c r="E16" s="7" t="inlineStr">
        <is>
          <t>1분간 ATK +30%</t>
        </is>
      </c>
    </row>
    <row r="17">
      <c r="A17" s="8" t="inlineStr">
        <is>
          <t>골드</t>
        </is>
      </c>
      <c r="B17" s="8" t="inlineStr">
        <is>
          <t>방어 부스터</t>
        </is>
      </c>
      <c r="C17" s="8" t="inlineStr">
        <is>
          <t>-</t>
        </is>
      </c>
      <c r="D17" s="8" t="inlineStr">
        <is>
          <t>500G</t>
        </is>
      </c>
      <c r="E17" s="8" t="inlineStr">
        <is>
          <t>1분간 DEF +30%</t>
        </is>
      </c>
    </row>
    <row r="18">
      <c r="A18" s="7" t="inlineStr">
        <is>
          <t>골드</t>
        </is>
      </c>
      <c r="B18" s="7" t="inlineStr">
        <is>
          <t>귀환 주문서</t>
        </is>
      </c>
      <c r="C18" s="7" t="inlineStr">
        <is>
          <t>-</t>
        </is>
      </c>
      <c r="D18" s="7" t="inlineStr">
        <is>
          <t>200G</t>
        </is>
      </c>
      <c r="E18" s="7" t="inlineStr">
        <is>
          <t>마을로 즉시 귀환</t>
        </is>
      </c>
    </row>
    <row r="19">
      <c r="A19" s="8" t="inlineStr">
        <is>
          <t>다이아</t>
        </is>
      </c>
      <c r="B19" s="8" t="inlineStr">
        <is>
          <t>불사조 스킨</t>
        </is>
      </c>
      <c r="C19" s="8" t="inlineStr">
        <is>
          <t>1200 다이아</t>
        </is>
      </c>
      <c r="D19" s="8" t="inlineStr">
        <is>
          <t>-</t>
        </is>
      </c>
      <c r="E19" s="8" t="inlineStr">
        <is>
          <t>불사조 깃털 이펙트 (영구) — v1.18</t>
        </is>
      </c>
    </row>
    <row r="20">
      <c r="A20" s="7" t="inlineStr">
        <is>
          <t>다이아</t>
        </is>
      </c>
      <c r="B20" s="7" t="inlineStr">
        <is>
          <t>폭풍 스킨</t>
        </is>
      </c>
      <c r="C20" s="7" t="inlineStr">
        <is>
          <t>1200 다이아</t>
        </is>
      </c>
      <c r="D20" s="7" t="inlineStr">
        <is>
          <t>-</t>
        </is>
      </c>
      <c r="E20" s="7" t="inlineStr">
        <is>
          <t>번개 오라 이펙트 (영구) — v1.18</t>
        </is>
      </c>
    </row>
    <row r="21">
      <c r="A21" s="8" t="inlineStr">
        <is>
          <t>다이아</t>
        </is>
      </c>
      <c r="B21" s="8" t="inlineStr">
        <is>
          <t>프리미엄 자동물약</t>
        </is>
      </c>
      <c r="C21" s="8" t="inlineStr">
        <is>
          <t>500 다이아</t>
        </is>
      </c>
      <c r="D21" s="8" t="inlineStr">
        <is>
          <t>-</t>
        </is>
      </c>
      <c r="E21" s="8" t="inlineStr">
        <is>
          <t>24시간 자동물약 무한 — v1.18</t>
        </is>
      </c>
    </row>
    <row r="22">
      <c r="A22" s="7" t="inlineStr">
        <is>
          <t>다이아</t>
        </is>
      </c>
      <c r="B22" s="7" t="inlineStr">
        <is>
          <t>프리미엄 보물 상자</t>
        </is>
      </c>
      <c r="C22" s="7" t="inlineStr">
        <is>
          <t>300 다이아</t>
        </is>
      </c>
      <c r="D22" s="7" t="inlineStr">
        <is>
          <t>-</t>
        </is>
      </c>
      <c r="E22" s="7" t="inlineStr">
        <is>
          <t>전설 장비 확정 + 다이아 — v1.18</t>
        </is>
      </c>
    </row>
    <row r="23">
      <c r="A23" s="8" t="inlineStr">
        <is>
          <t>다이아</t>
        </is>
      </c>
      <c r="B23" s="8" t="inlineStr">
        <is>
          <t>전설 재료 패키지</t>
        </is>
      </c>
      <c r="C23" s="8" t="inlineStr">
        <is>
          <t>600 다이아</t>
        </is>
      </c>
      <c r="D23" s="8" t="inlineStr">
        <is>
          <t>-</t>
        </is>
      </c>
      <c r="E23" s="8" t="inlineStr">
        <is>
          <t>용재료×10 + 영혼석×20 + 마법재료×20 — v1.18</t>
        </is>
      </c>
    </row>
    <row r="26">
      <c r="A26" s="9" t="inlineStr">
        <is>
          <t>다이아몬드 결제 (Toss Payments)</t>
        </is>
      </c>
    </row>
    <row r="27">
      <c r="A27" s="10" t="inlineStr">
        <is>
          <t>상품</t>
        </is>
      </c>
      <c r="B27" s="10" t="inlineStr">
        <is>
          <t>수량</t>
        </is>
      </c>
      <c r="C27" s="10" t="inlineStr">
        <is>
          <t>가격(원)</t>
        </is>
      </c>
      <c r="D27" s="10" t="inlineStr">
        <is>
          <t>보너스</t>
        </is>
      </c>
    </row>
    <row r="28">
      <c r="A28" s="3" t="inlineStr">
        <is>
          <t>다이아 100개</t>
        </is>
      </c>
      <c r="B28" s="3" t="inlineStr">
        <is>
          <t>100개</t>
        </is>
      </c>
      <c r="C28" s="3" t="inlineStr">
        <is>
          <t>1,000원</t>
        </is>
      </c>
      <c r="D28" s="3" t="inlineStr">
        <is>
          <t>-</t>
        </is>
      </c>
    </row>
    <row r="29">
      <c r="A29" s="3" t="inlineStr">
        <is>
          <t>다이아 500개</t>
        </is>
      </c>
      <c r="B29" s="3" t="inlineStr">
        <is>
          <t>550개</t>
        </is>
      </c>
      <c r="C29" s="3" t="inlineStr">
        <is>
          <t>4,500원</t>
        </is>
      </c>
      <c r="D29" s="3" t="inlineStr">
        <is>
          <t>+10% 보너스</t>
        </is>
      </c>
    </row>
    <row r="30">
      <c r="A30" s="3" t="inlineStr">
        <is>
          <t>다이아 1100개</t>
        </is>
      </c>
      <c r="B30" s="3" t="inlineStr">
        <is>
          <t>1,100개</t>
        </is>
      </c>
      <c r="C30" s="3" t="inlineStr">
        <is>
          <t>9,000원</t>
        </is>
      </c>
      <c r="D30" s="3" t="inlineStr">
        <is>
          <t>+20% 보너스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6" customWidth="1" min="4" max="4"/>
    <col width="22" customWidth="1" min="5" max="5"/>
  </cols>
  <sheetData>
    <row r="1">
      <c r="A1" s="5" t="inlineStr">
        <is>
          <t>칭호 (16종 — v1.9 전설 칭호 3종 추가)</t>
        </is>
      </c>
    </row>
    <row r="3">
      <c r="A3" s="6" t="inlineStr">
        <is>
          <t>칭호명</t>
        </is>
      </c>
      <c r="B3" s="6" t="inlineStr">
        <is>
          <t>획득조건</t>
        </is>
      </c>
      <c r="C3" s="6" t="inlineStr">
        <is>
          <t>색상</t>
        </is>
      </c>
      <c r="D3" s="6" t="inlineStr">
        <is>
          <t>효과</t>
        </is>
      </c>
      <c r="E3" s="6" t="inlineStr">
        <is>
          <t>설명</t>
        </is>
      </c>
    </row>
    <row r="4">
      <c r="A4" s="7" t="inlineStr">
        <is>
          <t>피의 세례</t>
        </is>
      </c>
      <c r="B4" s="7" t="inlineStr">
        <is>
          <t>첫 PK 달성</t>
        </is>
      </c>
      <c r="C4" s="7" t="inlineStr">
        <is>
          <t>빨강</t>
        </is>
      </c>
      <c r="D4" s="7" t="inlineStr">
        <is>
          <t>-</t>
        </is>
      </c>
      <c r="E4" s="7" t="inlineStr">
        <is>
          <t>PK 입문자 마크</t>
        </is>
      </c>
    </row>
    <row r="5">
      <c r="A5" s="8" t="inlineStr">
        <is>
          <t>학살자</t>
        </is>
      </c>
      <c r="B5" s="8" t="inlineStr">
        <is>
          <t>PK 100회</t>
        </is>
      </c>
      <c r="C5" s="8" t="inlineStr">
        <is>
          <t>진홍</t>
        </is>
      </c>
      <c r="D5" s="8" t="inlineStr">
        <is>
          <t>ATK +3%</t>
        </is>
      </c>
      <c r="E5" s="8" t="inlineStr">
        <is>
          <t>공포의 칭호</t>
        </is>
      </c>
    </row>
    <row r="6">
      <c r="A6" s="7" t="inlineStr">
        <is>
          <t>전쟁의 신</t>
        </is>
      </c>
      <c r="B6" s="7" t="inlineStr">
        <is>
          <t>PvP 1000승</t>
        </is>
      </c>
      <c r="C6" s="7" t="inlineStr">
        <is>
          <t>금색</t>
        </is>
      </c>
      <c r="D6" s="7" t="inlineStr">
        <is>
          <t>ATK +5%</t>
        </is>
      </c>
      <c r="E6" s="7" t="inlineStr">
        <is>
          <t>최강 전사</t>
        </is>
      </c>
    </row>
    <row r="7">
      <c r="A7" s="8" t="inlineStr">
        <is>
          <t>드래곤 슬레이어</t>
        </is>
      </c>
      <c r="B7" s="8" t="inlineStr">
        <is>
          <t>드래곤 100 처치</t>
        </is>
      </c>
      <c r="C7" s="8" t="inlineStr">
        <is>
          <t>주황</t>
        </is>
      </c>
      <c r="D7" s="8" t="inlineStr">
        <is>
          <t>보스DMG +10%</t>
        </is>
      </c>
      <c r="E7" s="8" t="inlineStr">
        <is>
          <t>용사의 증표</t>
        </is>
      </c>
    </row>
    <row r="8">
      <c r="A8" s="7" t="inlineStr">
        <is>
          <t>던전 정복자</t>
        </is>
      </c>
      <c r="B8" s="7" t="inlineStr">
        <is>
          <t>던전 10회 클리어</t>
        </is>
      </c>
      <c r="C8" s="7" t="inlineStr">
        <is>
          <t>보라</t>
        </is>
      </c>
      <c r="D8" s="7" t="inlineStr">
        <is>
          <t>EXP +15%</t>
        </is>
      </c>
      <c r="E8" s="7" t="inlineStr">
        <is>
          <t>던전 마스터</t>
        </is>
      </c>
    </row>
    <row r="9">
      <c r="A9" s="8" t="inlineStr">
        <is>
          <t>거상</t>
        </is>
      </c>
      <c r="B9" s="8" t="inlineStr">
        <is>
          <t>교역 이익 10만G</t>
        </is>
      </c>
      <c r="C9" s="8" t="inlineStr">
        <is>
          <t>금색</t>
        </is>
      </c>
      <c r="D9" s="8" t="inlineStr">
        <is>
          <t>수수료 -2%</t>
        </is>
      </c>
      <c r="E9" s="8" t="inlineStr">
        <is>
          <t>부의 상징</t>
        </is>
      </c>
    </row>
    <row r="10">
      <c r="A10" s="7" t="inlineStr">
        <is>
          <t>백만장자</t>
        </is>
      </c>
      <c r="B10" s="7" t="inlineStr">
        <is>
          <t>골드 100만 보유</t>
        </is>
      </c>
      <c r="C10" s="7" t="inlineStr">
        <is>
          <t>금색</t>
        </is>
      </c>
      <c r="D10" s="7" t="inlineStr">
        <is>
          <t>-</t>
        </is>
      </c>
      <c r="E10" s="7" t="inlineStr">
        <is>
          <t>재력가</t>
        </is>
      </c>
    </row>
    <row r="11">
      <c r="A11" s="8" t="inlineStr">
        <is>
          <t>마스터 대장장이</t>
        </is>
      </c>
      <c r="B11" s="8" t="inlineStr">
        <is>
          <t>제작 50회</t>
        </is>
      </c>
      <c r="C11" s="8" t="inlineStr">
        <is>
          <t>파랑</t>
        </is>
      </c>
      <c r="D11" s="8" t="inlineStr">
        <is>
          <t>제작보너스 +5%</t>
        </is>
      </c>
      <c r="E11" s="8" t="inlineStr">
        <is>
          <t>장인</t>
        </is>
      </c>
    </row>
    <row r="12">
      <c r="A12" s="7" t="inlineStr">
        <is>
          <t>포켓몬 마스터</t>
        </is>
      </c>
      <c r="B12" s="7" t="inlineStr">
        <is>
          <t>테이밍 50마리</t>
        </is>
      </c>
      <c r="C12" s="7" t="inlineStr">
        <is>
          <t>파랑</t>
        </is>
      </c>
      <c r="D12" s="7" t="inlineStr">
        <is>
          <t>-</t>
        </is>
      </c>
      <c r="E12" s="7" t="inlineStr">
        <is>
          <t>테이밍 달인</t>
        </is>
      </c>
    </row>
    <row r="13">
      <c r="A13" s="8" t="inlineStr">
        <is>
          <t>투기장 왕</t>
        </is>
      </c>
      <c r="B13" s="8" t="inlineStr">
        <is>
          <t>아레나 100승</t>
        </is>
      </c>
      <c r="C13" s="8" t="inlineStr">
        <is>
          <t>빨강</t>
        </is>
      </c>
      <c r="D13" s="8" t="inlineStr">
        <is>
          <t>ATK +5%</t>
        </is>
      </c>
      <c r="E13" s="8" t="inlineStr">
        <is>
          <t>콜로세움의 영웅</t>
        </is>
      </c>
    </row>
    <row r="14">
      <c r="A14" s="7" t="inlineStr">
        <is>
          <t>혈맹의 별</t>
        </is>
      </c>
      <c r="B14" s="7" t="inlineStr">
        <is>
          <t>혈맹 Lv.5 달성</t>
        </is>
      </c>
      <c r="C14" s="7" t="inlineStr">
        <is>
          <t>보라</t>
        </is>
      </c>
      <c r="D14" s="7" t="inlineStr">
        <is>
          <t>-</t>
        </is>
      </c>
      <c r="E14" s="7" t="inlineStr">
        <is>
          <t>혈맹의 핵심</t>
        </is>
      </c>
    </row>
    <row r="15">
      <c r="A15" s="8" t="inlineStr">
        <is>
          <t>서버 최강자</t>
        </is>
      </c>
      <c r="B15" s="8" t="inlineStr">
        <is>
          <t>레벨 1위 (주간)</t>
        </is>
      </c>
      <c r="C15" s="8" t="inlineStr">
        <is>
          <t>금색</t>
        </is>
      </c>
      <c r="D15" s="8" t="inlineStr">
        <is>
          <t>EXP +20%</t>
        </is>
      </c>
      <c r="E15" s="8" t="inlineStr">
        <is>
          <t>주간 1위</t>
        </is>
      </c>
    </row>
    <row r="16">
      <c r="A16" s="7" t="inlineStr">
        <is>
          <t>최강 전사</t>
        </is>
      </c>
      <c r="B16" s="7" t="inlineStr">
        <is>
          <t>PvP 1위 (주간)</t>
        </is>
      </c>
      <c r="C16" s="7" t="inlineStr">
        <is>
          <t>빨강</t>
        </is>
      </c>
      <c r="D16" s="7" t="inlineStr">
        <is>
          <t>ATK +10%</t>
        </is>
      </c>
      <c r="E16" s="7" t="inlineStr">
        <is>
          <t>주간 PvP 1위</t>
        </is>
      </c>
    </row>
    <row r="17">
      <c r="A17" s="8" t="inlineStr">
        <is>
          <t>최고의 혈맹</t>
        </is>
      </c>
      <c r="B17" s="8" t="inlineStr">
        <is>
          <t>혈맹 1위 (주간)</t>
        </is>
      </c>
      <c r="C17" s="8" t="inlineStr">
        <is>
          <t>보라</t>
        </is>
      </c>
      <c r="D17" s="8" t="inlineStr">
        <is>
          <t>-</t>
        </is>
      </c>
      <c r="E17" s="8" t="inlineStr">
        <is>
          <t>혈맹 1위</t>
        </is>
      </c>
    </row>
    <row r="18">
      <c r="A18" s="7" t="inlineStr">
        <is>
          <t>공허의 방랑자</t>
        </is>
      </c>
      <c r="B18" s="7" t="inlineStr">
        <is>
          <t>몬스터 10,000 처치</t>
        </is>
      </c>
      <c r="C18" s="7" t="inlineStr">
        <is>
          <t>보라</t>
        </is>
      </c>
      <c r="D18" s="7" t="inlineStr">
        <is>
          <t>ATK +7%</t>
        </is>
      </c>
      <c r="E18" s="7" t="inlineStr">
        <is>
          <t>v1.9 신규 — 공허의 힘</t>
        </is>
      </c>
    </row>
    <row r="19">
      <c r="A19" s="8" t="inlineStr">
        <is>
          <t>불멸자</t>
        </is>
      </c>
      <c r="B19" s="8" t="inlineStr">
        <is>
          <t>환생 5회</t>
        </is>
      </c>
      <c r="C19" s="8" t="inlineStr">
        <is>
          <t>오렌지</t>
        </is>
      </c>
      <c r="D19" s="8" t="inlineStr">
        <is>
          <t>EXP +25%</t>
        </is>
      </c>
      <c r="E19" s="8" t="inlineStr">
        <is>
          <t>v1.9 신규 — 시간을 초월한 자</t>
        </is>
      </c>
    </row>
    <row r="20">
      <c r="A20" s="7" t="inlineStr">
        <is>
          <t>천공의 군주</t>
        </is>
      </c>
      <c r="B20" s="7" t="inlineStr">
        <is>
          <t>월드 보스 10회 처치</t>
        </is>
      </c>
      <c r="C20" s="7" t="inlineStr">
        <is>
          <t>시안</t>
        </is>
      </c>
      <c r="D20" s="7" t="inlineStr">
        <is>
          <t>보스DMG +15%</t>
        </is>
      </c>
      <c r="E20" s="7" t="inlineStr">
        <is>
          <t>v1.9 신규 — 하늘의 지배자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25" customWidth="1" min="4" max="4"/>
  </cols>
  <sheetData>
    <row r="1">
      <c r="A1" s="5" t="inlineStr">
        <is>
          <t>용병 시스템</t>
        </is>
      </c>
    </row>
    <row r="3">
      <c r="A3" s="6" t="inlineStr">
        <is>
          <t>기능</t>
        </is>
      </c>
      <c r="B3" s="6" t="inlineStr">
        <is>
          <t>조건/비용</t>
        </is>
      </c>
      <c r="C3" s="6" t="inlineStr">
        <is>
          <t>효과</t>
        </is>
      </c>
      <c r="D3" s="6" t="inlineStr">
        <is>
          <t>비고</t>
        </is>
      </c>
    </row>
    <row r="4">
      <c r="A4" s="7" t="inlineStr">
        <is>
          <t>용병 고용</t>
        </is>
      </c>
      <c r="B4" s="7" t="inlineStr">
        <is>
          <t>상점에서 150G</t>
        </is>
      </c>
      <c r="C4" s="7" t="inlineStr">
        <is>
          <t>랜덤 클래스 1명 고용</t>
        </is>
      </c>
      <c r="D4" s="7" t="inlineStr">
        <is>
          <t>주인 근처 ±2유닛 생성</t>
        </is>
      </c>
    </row>
    <row r="5">
      <c r="A5" s="8" t="inlineStr">
        <is>
          <t>몬스터 테이밍</t>
        </is>
      </c>
      <c r="B5" s="8" t="inlineStr">
        <is>
          <t>50G + 확률</t>
        </is>
      </c>
      <c r="C5" s="8" t="inlineStr">
        <is>
          <t>포획한 몬스터 → 용병화</t>
        </is>
      </c>
      <c r="D5" s="8" t="inlineStr">
        <is>
          <t>등급별 확률 (3~30%)</t>
        </is>
      </c>
    </row>
    <row r="6">
      <c r="A6" s="7" t="inlineStr">
        <is>
          <t>용병 AI</t>
        </is>
      </c>
      <c r="B6" s="7" t="inlineStr">
        <is>
          <t>자동 전투</t>
        </is>
      </c>
      <c r="C6" s="7" t="inlineStr">
        <is>
          <t>주인 주변 몬스터 자동 공격</t>
        </is>
      </c>
      <c r="D6" s="7" t="inlineStr">
        <is>
          <t>거리 15유닛 이내 복귀</t>
        </is>
      </c>
    </row>
    <row r="7">
      <c r="A7" s="8" t="inlineStr">
        <is>
          <t>용병 해고</t>
        </is>
      </c>
      <c r="B7" s="8" t="inlineStr">
        <is>
          <t>유닛 관리</t>
        </is>
      </c>
      <c r="C7" s="8" t="inlineStr">
        <is>
          <t>불필요한 용병 해고</t>
        </is>
      </c>
      <c r="D7" s="8" t="inlineStr">
        <is>
          <t>즉시 삭제</t>
        </is>
      </c>
    </row>
    <row r="8">
      <c r="A8" s="7" t="inlineStr">
        <is>
          <t>용병 NPC 판매</t>
        </is>
      </c>
      <c r="B8" s="7" t="inlineStr">
        <is>
          <t>유닛 관리</t>
        </is>
      </c>
      <c r="C8" s="7" t="inlineStr">
        <is>
          <t>용병을 NPC에 판매</t>
        </is>
      </c>
      <c r="D8" s="7" t="inlineStr">
        <is>
          <t>클래스별 판매가</t>
        </is>
      </c>
    </row>
    <row r="9">
      <c r="A9" s="8" t="inlineStr">
        <is>
          <t>용병 거래</t>
        </is>
      </c>
      <c r="B9" s="8" t="inlineStr">
        <is>
          <t>소셜 탭</t>
        </is>
      </c>
      <c r="C9" s="8" t="inlineStr">
        <is>
          <t>다른 플레이어에게 용병 판매</t>
        </is>
      </c>
      <c r="D9" s="8" t="inlineStr">
        <is>
          <t>가격 협상</t>
        </is>
      </c>
    </row>
    <row r="10">
      <c r="A10" s="7" t="inlineStr">
        <is>
          <t>용병 슬롯</t>
        </is>
      </c>
      <c r="B10" s="7" t="inlineStr">
        <is>
          <t>기본 30명</t>
        </is>
      </c>
      <c r="C10" s="7" t="inlineStr">
        <is>
          <t>최대 보유 가능 용병 수</t>
        </is>
      </c>
      <c r="D10" s="7" t="inlineStr">
        <is>
          <t>다이아로 확장 (+5)</t>
        </is>
      </c>
    </row>
    <row r="11">
      <c r="A11" s="8" t="inlineStr">
        <is>
          <t>등급별 능력</t>
        </is>
      </c>
      <c r="B11" s="8" t="inlineStr">
        <is>
          <t>테이밍 등급</t>
        </is>
      </c>
      <c r="C11" s="8" t="inlineStr">
        <is>
          <t>Elite: ATK×1.3 DEF×1.2</t>
        </is>
      </c>
      <c r="D11" s="8" t="inlineStr">
        <is>
          <t>Rare: ATK×1.6 CRIT 20%</t>
        </is>
      </c>
    </row>
    <row r="12">
      <c r="A12" s="7" t="inlineStr">
        <is>
          <t>보스 용병</t>
        </is>
      </c>
      <c r="B12" s="7" t="inlineStr">
        <is>
          <t>Boss 테이밍</t>
        </is>
      </c>
      <c r="C12" s="7" t="inlineStr">
        <is>
          <t>ATK×2.0 HP×1.5</t>
        </is>
      </c>
      <c r="D12" s="7" t="inlineStr">
        <is>
          <t>최강 전력</t>
        </is>
      </c>
    </row>
    <row r="13">
      <c r="A13" s="8" t="inlineStr">
        <is>
          <t>공격 스타일</t>
        </is>
      </c>
      <c r="B13" s="8" t="inlineStr">
        <is>
          <t>등급별 상이</t>
        </is>
      </c>
      <c r="C13" s="8" t="inlineStr">
        <is>
          <t>Normal:근접 Elite:돌진 Rare:광역 Boss:브레스</t>
        </is>
      </c>
      <c r="D13" s="8" t="inlineStr">
        <is>
          <t>다양한 전투 패턴</t>
        </is>
      </c>
    </row>
  </sheetData>
  <mergeCells count="1">
    <mergeCell ref="A1:D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5" customWidth="1" min="4" max="4"/>
  </cols>
  <sheetData>
    <row r="1">
      <c r="A1" s="5" t="inlineStr">
        <is>
          <t>게임 수치 총정리</t>
        </is>
      </c>
    </row>
    <row r="3">
      <c r="A3" s="6" t="inlineStr">
        <is>
          <t>분류</t>
        </is>
      </c>
      <c r="B3" s="6" t="inlineStr">
        <is>
          <t>항목</t>
        </is>
      </c>
      <c r="C3" s="6" t="inlineStr">
        <is>
          <t>수치</t>
        </is>
      </c>
      <c r="D3" s="6" t="inlineStr">
        <is>
          <t>설명</t>
        </is>
      </c>
    </row>
    <row r="4">
      <c r="A4" s="7" t="inlineStr">
        <is>
          <t>맵</t>
        </is>
      </c>
      <c r="B4" s="7" t="inlineStr">
        <is>
          <t>MAP_SIZE</t>
        </is>
      </c>
      <c r="C4" s="7" t="inlineStr">
        <is>
          <t>1000×1000</t>
        </is>
      </c>
      <c r="D4" s="7" t="inlineStr">
        <is>
          <t>좌표 -500~500</t>
        </is>
      </c>
    </row>
    <row r="5">
      <c r="A5" s="8" t="inlineStr">
        <is>
          <t>맵</t>
        </is>
      </c>
      <c r="B5" s="8" t="inlineStr">
        <is>
          <t>MAX_PLAYERS</t>
        </is>
      </c>
      <c r="C5" s="8" t="inlineStr">
        <is>
          <t>50</t>
        </is>
      </c>
      <c r="D5" s="8" t="inlineStr">
        <is>
          <t>최대 동시접속</t>
        </is>
      </c>
    </row>
    <row r="6">
      <c r="A6" s="7" t="inlineStr">
        <is>
          <t>맵</t>
        </is>
      </c>
      <c r="B6" s="7" t="inlineStr">
        <is>
          <t>MAX_MONSTERS</t>
        </is>
      </c>
      <c r="C6" s="7" t="inlineStr">
        <is>
          <t>200</t>
        </is>
      </c>
      <c r="D6" s="7" t="inlineStr">
        <is>
          <t>최대 몬스터 수</t>
        </is>
      </c>
    </row>
    <row r="7">
      <c r="A7" s="8" t="inlineStr">
        <is>
          <t>맵</t>
        </is>
      </c>
      <c r="B7" s="8" t="inlineStr">
        <is>
          <t>DAY_NIGHT_CYCLE</t>
        </is>
      </c>
      <c r="C7" s="8" t="inlineStr">
        <is>
          <t>600초 (10분)</t>
        </is>
      </c>
      <c r="D7" s="8" t="inlineStr">
        <is>
          <t>밤: 몬스터 강화</t>
        </is>
      </c>
    </row>
    <row r="8">
      <c r="A8" s="7" t="inlineStr">
        <is>
          <t>전투</t>
        </is>
      </c>
      <c r="B8" s="7" t="inlineStr">
        <is>
          <t>데미지 공식</t>
        </is>
      </c>
      <c r="C8" s="7" t="inlineStr">
        <is>
          <t>MAX(1, ATK×배수 - DEF×0.5)</t>
        </is>
      </c>
      <c r="D8" s="7" t="inlineStr">
        <is>
          <t>기본 공식</t>
        </is>
      </c>
    </row>
    <row r="9">
      <c r="A9" s="8" t="inlineStr">
        <is>
          <t>전투</t>
        </is>
      </c>
      <c r="B9" s="8" t="inlineStr">
        <is>
          <t>크리티컬 데미지</t>
        </is>
      </c>
      <c r="C9" s="8" t="inlineStr">
        <is>
          <t>×2.0</t>
        </is>
      </c>
      <c r="D9" s="8" t="inlineStr">
        <is>
          <t>크리티컬 적중시</t>
        </is>
      </c>
    </row>
    <row r="10">
      <c r="A10" s="7" t="inlineStr">
        <is>
          <t>전투</t>
        </is>
      </c>
      <c r="B10" s="7" t="inlineStr">
        <is>
          <t>경험치 공식</t>
        </is>
      </c>
      <c r="C10" s="7" t="inlineStr">
        <is>
          <t>100 × 1.15^(Lv-1)</t>
        </is>
      </c>
      <c r="D10" s="7" t="inlineStr">
        <is>
          <t>레벨업 필요 경험치</t>
        </is>
      </c>
    </row>
    <row r="11">
      <c r="A11" s="8" t="inlineStr">
        <is>
          <t>전투</t>
        </is>
      </c>
      <c r="B11" s="8" t="inlineStr">
        <is>
          <t>HP 재생</t>
        </is>
      </c>
      <c r="C11" s="8" t="inlineStr">
        <is>
          <t>5HP/10초</t>
        </is>
      </c>
      <c r="D11" s="8" t="inlineStr">
        <is>
          <t>자동 재생</t>
        </is>
      </c>
    </row>
    <row r="12">
      <c r="A12" s="7" t="inlineStr">
        <is>
          <t>전투</t>
        </is>
      </c>
      <c r="B12" s="7" t="inlineStr">
        <is>
          <t>공격 쿨타임</t>
        </is>
      </c>
      <c r="C12" s="7" t="inlineStr">
        <is>
          <t>어쌔신0.25 / 워리어0.35 / 나이트0.7 / 메이지1.2</t>
        </is>
      </c>
      <c r="D12" s="7" t="inlineStr">
        <is>
          <t>초 단위</t>
        </is>
      </c>
    </row>
    <row r="13">
      <c r="A13" s="8" t="inlineStr">
        <is>
          <t>경제</t>
        </is>
      </c>
      <c r="B13" s="8" t="inlineStr">
        <is>
          <t>타워 비용</t>
        </is>
      </c>
      <c r="C13" s="8" t="inlineStr">
        <is>
          <t>80G</t>
        </is>
      </c>
      <c r="D13" s="8" t="inlineStr">
        <is>
          <t>가디언 타워 설치</t>
        </is>
      </c>
    </row>
    <row r="14">
      <c r="A14" s="7" t="inlineStr">
        <is>
          <t>경제</t>
        </is>
      </c>
      <c r="B14" s="7" t="inlineStr">
        <is>
          <t>용병 비용</t>
        </is>
      </c>
      <c r="C14" s="7" t="inlineStr">
        <is>
          <t>150G</t>
        </is>
      </c>
      <c r="D14" s="7" t="inlineStr">
        <is>
          <t>용병 1명 고용</t>
        </is>
      </c>
    </row>
    <row r="15">
      <c r="A15" s="8" t="inlineStr">
        <is>
          <t>경제</t>
        </is>
      </c>
      <c r="B15" s="8" t="inlineStr">
        <is>
          <t>테이밍 비용</t>
        </is>
      </c>
      <c r="C15" s="8" t="inlineStr">
        <is>
          <t>50G</t>
        </is>
      </c>
      <c r="D15" s="8" t="inlineStr">
        <is>
          <t>몬스터 테이밍</t>
        </is>
      </c>
    </row>
    <row r="16">
      <c r="A16" s="7" t="inlineStr">
        <is>
          <t>경제</t>
        </is>
      </c>
      <c r="B16" s="7" t="inlineStr">
        <is>
          <t>강화 비용</t>
        </is>
      </c>
      <c r="C16" s="7" t="inlineStr">
        <is>
          <t>(단계+1) × 200G</t>
        </is>
      </c>
      <c r="D16" s="7" t="inlineStr">
        <is>
          <t>강화 1회</t>
        </is>
      </c>
    </row>
    <row r="17">
      <c r="A17" s="8" t="inlineStr">
        <is>
          <t>경제</t>
        </is>
      </c>
      <c r="B17" s="8" t="inlineStr">
        <is>
          <t>교역 변동</t>
        </is>
      </c>
      <c r="C17" s="8" t="inlineStr">
        <is>
          <t>0.5~1.5배</t>
        </is>
      </c>
      <c r="D17" s="8" t="inlineStr">
        <is>
          <t>마을별 가격 배수</t>
        </is>
      </c>
    </row>
    <row r="18">
      <c r="A18" s="7" t="inlineStr">
        <is>
          <t>PK</t>
        </is>
      </c>
      <c r="B18" s="7" t="inlineStr">
        <is>
          <t>카르마 PK 패널티</t>
        </is>
      </c>
      <c r="C18" s="7" t="inlineStr">
        <is>
          <t>+100</t>
        </is>
      </c>
      <c r="D18" s="7" t="inlineStr">
        <is>
          <t>평화 모드 살해시</t>
        </is>
      </c>
    </row>
    <row r="19">
      <c r="A19" s="8" t="inlineStr">
        <is>
          <t>PK</t>
        </is>
      </c>
      <c r="B19" s="8" t="inlineStr">
        <is>
          <t>카르마 감소</t>
        </is>
      </c>
      <c r="C19" s="8" t="inlineStr">
        <is>
          <t>-5/분</t>
        </is>
      </c>
      <c r="D19" s="8" t="inlineStr">
        <is>
          <t>자연 감소</t>
        </is>
      </c>
    </row>
    <row r="20">
      <c r="A20" s="7" t="inlineStr">
        <is>
          <t>PK</t>
        </is>
      </c>
      <c r="B20" s="7" t="inlineStr">
        <is>
          <t>카오틱 기준</t>
        </is>
      </c>
      <c r="C20" s="7" t="inlineStr">
        <is>
          <t>200 이상</t>
        </is>
      </c>
      <c r="D20" s="7" t="inlineStr">
        <is>
          <t>빨간 이름</t>
        </is>
      </c>
    </row>
    <row r="21">
      <c r="A21" s="8" t="inlineStr">
        <is>
          <t>PK</t>
        </is>
      </c>
      <c r="B21" s="8" t="inlineStr">
        <is>
          <t>사망시 골드 손실</t>
        </is>
      </c>
      <c r="C21" s="8" t="inlineStr">
        <is>
          <t>50%</t>
        </is>
      </c>
      <c r="D21" s="8" t="inlineStr">
        <is>
          <t>PvP 사망시</t>
        </is>
      </c>
    </row>
    <row r="22">
      <c r="A22" s="7" t="inlineStr">
        <is>
          <t>PK</t>
        </is>
      </c>
      <c r="B22" s="7" t="inlineStr">
        <is>
          <t>사망시 아이템 손실</t>
        </is>
      </c>
      <c r="C22" s="7" t="inlineStr">
        <is>
          <t>30%</t>
        </is>
      </c>
      <c r="D22" s="7" t="inlineStr">
        <is>
          <t>인벤토리 드롭</t>
        </is>
      </c>
    </row>
    <row r="23">
      <c r="A23" s="8" t="inlineStr">
        <is>
          <t>스폰</t>
        </is>
      </c>
      <c r="B23" s="8" t="inlineStr">
        <is>
          <t>시작 위치</t>
        </is>
      </c>
      <c r="C23" s="8" t="inlineStr">
        <is>
          <t>바람개비 마을 (-480±40)</t>
        </is>
      </c>
      <c r="D23" s="8" t="inlineStr">
        <is>
          <t>신규 플레이어</t>
        </is>
      </c>
    </row>
    <row r="24">
      <c r="A24" s="7" t="inlineStr">
        <is>
          <t>스폰</t>
        </is>
      </c>
      <c r="B24" s="7" t="inlineStr">
        <is>
          <t>몬스터 리스폰</t>
        </is>
      </c>
      <c r="C24" s="7" t="inlineStr">
        <is>
          <t>10초</t>
        </is>
      </c>
      <c r="D24" s="7" t="inlineStr">
        <is>
          <t>처치 후 리스폰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</cols>
  <sheetData>
    <row r="1">
      <c r="A1" s="5" t="inlineStr">
        <is>
          <t>출석 캘린더 (28일 사이클)</t>
        </is>
      </c>
    </row>
    <row r="3">
      <c r="A3" s="6" t="inlineStr">
        <is>
          <t>일차</t>
        </is>
      </c>
      <c r="B3" s="6" t="inlineStr">
        <is>
          <t>보상</t>
        </is>
      </c>
      <c r="C3" s="6" t="inlineStr">
        <is>
          <t>구분</t>
        </is>
      </c>
    </row>
    <row r="4">
      <c r="A4" s="7" t="n">
        <v>1</v>
      </c>
      <c r="B4" s="7" t="inlineStr">
        <is>
          <t>100G</t>
        </is>
      </c>
      <c r="C4" s="7" t="inlineStr">
        <is>
          <t>일반</t>
        </is>
      </c>
    </row>
    <row r="5">
      <c r="A5" s="8" t="n">
        <v>2</v>
      </c>
      <c r="B5" s="8" t="inlineStr">
        <is>
          <t>200G</t>
        </is>
      </c>
      <c r="C5" s="8" t="inlineStr">
        <is>
          <t>일반</t>
        </is>
      </c>
    </row>
    <row r="6">
      <c r="A6" s="7" t="n">
        <v>3</v>
      </c>
      <c r="B6" s="7" t="inlineStr">
        <is>
          <t>300G + 10다이아</t>
        </is>
      </c>
      <c r="C6" s="7" t="inlineStr">
        <is>
          <t>특별</t>
        </is>
      </c>
    </row>
    <row r="7">
      <c r="A7" s="8" t="n">
        <v>4</v>
      </c>
      <c r="B7" s="8" t="inlineStr">
        <is>
          <t>400G</t>
        </is>
      </c>
      <c r="C7" s="8" t="inlineStr">
        <is>
          <t>일반</t>
        </is>
      </c>
    </row>
    <row r="8">
      <c r="A8" s="7" t="n">
        <v>5</v>
      </c>
      <c r="B8" s="7" t="inlineStr">
        <is>
          <t>500G + 15다이아</t>
        </is>
      </c>
      <c r="C8" s="7" t="inlineStr">
        <is>
          <t>특별</t>
        </is>
      </c>
    </row>
    <row r="9">
      <c r="A9" s="8" t="n">
        <v>6</v>
      </c>
      <c r="B9" s="8" t="inlineStr">
        <is>
          <t>600G</t>
        </is>
      </c>
      <c r="C9" s="8" t="inlineStr">
        <is>
          <t>일반</t>
        </is>
      </c>
    </row>
    <row r="10">
      <c r="A10" s="7" t="n">
        <v>7</v>
      </c>
      <c r="B10" s="7" t="inlineStr">
        <is>
          <t>희귀 상자</t>
        </is>
      </c>
      <c r="C10" s="7" t="inlineStr">
        <is>
          <t>주간</t>
        </is>
      </c>
    </row>
    <row r="11">
      <c r="A11" s="8" t="n">
        <v>8</v>
      </c>
      <c r="B11" s="8" t="inlineStr">
        <is>
          <t>800G</t>
        </is>
      </c>
      <c r="C11" s="8" t="inlineStr">
        <is>
          <t>일반</t>
        </is>
      </c>
    </row>
    <row r="12">
      <c r="A12" s="7" t="n">
        <v>9</v>
      </c>
      <c r="B12" s="7" t="inlineStr">
        <is>
          <t>900G</t>
        </is>
      </c>
      <c r="C12" s="7" t="inlineStr">
        <is>
          <t>일반</t>
        </is>
      </c>
    </row>
    <row r="13">
      <c r="A13" s="8" t="n">
        <v>10</v>
      </c>
      <c r="B13" s="8" t="inlineStr">
        <is>
          <t>1000G + 30다이아</t>
        </is>
      </c>
      <c r="C13" s="8" t="inlineStr">
        <is>
          <t>특별</t>
        </is>
      </c>
    </row>
    <row r="14">
      <c r="A14" s="7" t="n">
        <v>11</v>
      </c>
      <c r="B14" s="7" t="inlineStr">
        <is>
          <t>1100G</t>
        </is>
      </c>
      <c r="C14" s="7" t="inlineStr">
        <is>
          <t>일반</t>
        </is>
      </c>
    </row>
    <row r="15">
      <c r="A15" s="8" t="n">
        <v>12</v>
      </c>
      <c r="B15" s="8" t="inlineStr">
        <is>
          <t>1200G</t>
        </is>
      </c>
      <c r="C15" s="8" t="inlineStr">
        <is>
          <t>일반</t>
        </is>
      </c>
    </row>
    <row r="16">
      <c r="A16" s="7" t="n">
        <v>13</v>
      </c>
      <c r="B16" s="7" t="inlineStr">
        <is>
          <t>1300G + 20다이아</t>
        </is>
      </c>
      <c r="C16" s="7" t="inlineStr">
        <is>
          <t>특별</t>
        </is>
      </c>
    </row>
    <row r="17">
      <c r="A17" s="8" t="n">
        <v>14</v>
      </c>
      <c r="B17" s="8" t="inlineStr">
        <is>
          <t>전설 재료 ×3</t>
        </is>
      </c>
      <c r="C17" s="8" t="inlineStr">
        <is>
          <t>주간</t>
        </is>
      </c>
    </row>
    <row r="18">
      <c r="A18" s="7" t="n">
        <v>15</v>
      </c>
      <c r="B18" s="7" t="inlineStr">
        <is>
          <t>1500G</t>
        </is>
      </c>
      <c r="C18" s="7" t="inlineStr">
        <is>
          <t>일반</t>
        </is>
      </c>
    </row>
    <row r="19">
      <c r="A19" s="8" t="n">
        <v>16</v>
      </c>
      <c r="B19" s="8" t="inlineStr">
        <is>
          <t>1600G</t>
        </is>
      </c>
      <c r="C19" s="8" t="inlineStr">
        <is>
          <t>일반</t>
        </is>
      </c>
    </row>
    <row r="20">
      <c r="A20" s="7" t="n">
        <v>17</v>
      </c>
      <c r="B20" s="7" t="inlineStr">
        <is>
          <t>1700G + 30다이아</t>
        </is>
      </c>
      <c r="C20" s="7" t="inlineStr">
        <is>
          <t>특별</t>
        </is>
      </c>
    </row>
    <row r="21">
      <c r="A21" s="8" t="n">
        <v>18</v>
      </c>
      <c r="B21" s="8" t="inlineStr">
        <is>
          <t>1800G</t>
        </is>
      </c>
      <c r="C21" s="8" t="inlineStr">
        <is>
          <t>일반</t>
        </is>
      </c>
    </row>
    <row r="22">
      <c r="A22" s="7" t="n">
        <v>19</v>
      </c>
      <c r="B22" s="7" t="inlineStr">
        <is>
          <t>1900G</t>
        </is>
      </c>
      <c r="C22" s="7" t="inlineStr">
        <is>
          <t>일반</t>
        </is>
      </c>
    </row>
    <row r="23">
      <c r="A23" s="8" t="n">
        <v>20</v>
      </c>
      <c r="B23" s="8" t="inlineStr">
        <is>
          <t>2000G + 50다이아</t>
        </is>
      </c>
      <c r="C23" s="8" t="inlineStr">
        <is>
          <t>특별</t>
        </is>
      </c>
    </row>
    <row r="24">
      <c r="A24" s="7" t="n">
        <v>21</v>
      </c>
      <c r="B24" s="7" t="inlineStr">
        <is>
          <t>영웅 장비 상자</t>
        </is>
      </c>
      <c r="C24" s="7" t="inlineStr">
        <is>
          <t>주간</t>
        </is>
      </c>
    </row>
    <row r="25">
      <c r="A25" s="8" t="n">
        <v>22</v>
      </c>
      <c r="B25" s="8" t="inlineStr">
        <is>
          <t>2200G</t>
        </is>
      </c>
      <c r="C25" s="8" t="inlineStr">
        <is>
          <t>일반</t>
        </is>
      </c>
    </row>
    <row r="26">
      <c r="A26" s="7" t="n">
        <v>23</v>
      </c>
      <c r="B26" s="7" t="inlineStr">
        <is>
          <t>2300G</t>
        </is>
      </c>
      <c r="C26" s="7" t="inlineStr">
        <is>
          <t>일반</t>
        </is>
      </c>
    </row>
    <row r="27">
      <c r="A27" s="8" t="n">
        <v>24</v>
      </c>
      <c r="B27" s="8" t="inlineStr">
        <is>
          <t>2400G + 40다이아</t>
        </is>
      </c>
      <c r="C27" s="8" t="inlineStr">
        <is>
          <t>특별</t>
        </is>
      </c>
    </row>
    <row r="28">
      <c r="A28" s="7" t="n">
        <v>25</v>
      </c>
      <c r="B28" s="7" t="inlineStr">
        <is>
          <t>2500G</t>
        </is>
      </c>
      <c r="C28" s="7" t="inlineStr">
        <is>
          <t>일반</t>
        </is>
      </c>
    </row>
    <row r="29">
      <c r="A29" s="8" t="n">
        <v>26</v>
      </c>
      <c r="B29" s="8" t="inlineStr">
        <is>
          <t>2600G</t>
        </is>
      </c>
      <c r="C29" s="8" t="inlineStr">
        <is>
          <t>일반</t>
        </is>
      </c>
    </row>
    <row r="30">
      <c r="A30" s="7" t="n">
        <v>27</v>
      </c>
      <c r="B30" s="7" t="inlineStr">
        <is>
          <t>2700G + 50다이아</t>
        </is>
      </c>
      <c r="C30" s="7" t="inlineStr">
        <is>
          <t>특별</t>
        </is>
      </c>
    </row>
    <row r="31">
      <c r="A31" s="8" t="n">
        <v>28</v>
      </c>
      <c r="B31" s="8" t="inlineStr">
        <is>
          <t>전설 장비 상자 + 칭호</t>
        </is>
      </c>
      <c r="C31" s="8" t="inlineStr">
        <is>
          <t>월간</t>
        </is>
      </c>
    </row>
  </sheetData>
  <mergeCells count="1">
    <mergeCell ref="A1:C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28" customWidth="1" min="4" max="4"/>
  </cols>
  <sheetData>
    <row r="1">
      <c r="A1" s="5" t="inlineStr">
        <is>
          <t>장비 세트 (3종)</t>
        </is>
      </c>
    </row>
    <row r="3">
      <c r="A3" s="6" t="inlineStr">
        <is>
          <t>세트명</t>
        </is>
      </c>
      <c r="B3" s="6" t="inlineStr">
        <is>
          <t>구성수</t>
        </is>
      </c>
      <c r="C3" s="6" t="inlineStr">
        <is>
          <t>구성품</t>
        </is>
      </c>
      <c r="D3" s="6" t="inlineStr">
        <is>
          <t>세트 효과</t>
        </is>
      </c>
    </row>
    <row r="4">
      <c r="A4" s="7" t="inlineStr">
        <is>
          <t>드래곤 세트</t>
        </is>
      </c>
      <c r="B4" s="7" t="inlineStr">
        <is>
          <t>7피스</t>
        </is>
      </c>
      <c r="C4" s="7" t="inlineStr">
        <is>
          <t>검/갑옷/투구/장갑/장화/벨트/망토</t>
        </is>
      </c>
      <c r="D4" s="7" t="inlineStr">
        <is>
          <t>2피스: ATK+20 DEF+20</t>
        </is>
      </c>
    </row>
    <row r="5">
      <c r="A5" s="8" t="inlineStr">
        <is>
          <t>드래곤 세트</t>
        </is>
      </c>
      <c r="B5" s="8" t="inlineStr">
        <is>
          <t>7피스</t>
        </is>
      </c>
      <c r="C5" s="8" t="inlineStr">
        <is>
          <t>검/갑옷/투구/장갑/장화/벨트/망토</t>
        </is>
      </c>
      <c r="D5" s="8" t="inlineStr">
        <is>
          <t>3피스: ATK+40 DEF+40 HP+200</t>
        </is>
      </c>
    </row>
    <row r="6">
      <c r="A6" s="7" t="inlineStr">
        <is>
          <t>드래곤 세트</t>
        </is>
      </c>
      <c r="B6" s="7" t="inlineStr">
        <is>
          <t>7피스</t>
        </is>
      </c>
      <c r="C6" s="7" t="inlineStr">
        <is>
          <t>검/갑옷/투구/장갑/장화/벨트/망토</t>
        </is>
      </c>
      <c r="D6" s="7" t="inlineStr">
        <is>
          <t>5피스: ATK×1.2 DEF×1.2 HP+500</t>
        </is>
      </c>
    </row>
    <row r="7">
      <c r="A7" s="8" t="inlineStr">
        <is>
          <t>드래곤 세트</t>
        </is>
      </c>
      <c r="B7" s="8" t="inlineStr">
        <is>
          <t>7피스</t>
        </is>
      </c>
      <c r="C7" s="8" t="inlineStr">
        <is>
          <t>검/갑옷/투구/장갑/장화/벨트/망토</t>
        </is>
      </c>
      <c r="D7" s="8" t="inlineStr">
        <is>
          <t>7피스: ATK×1.5 DEF×1.5 HP+1000</t>
        </is>
      </c>
    </row>
    <row r="8">
      <c r="A8" s="7" t="inlineStr">
        <is>
          <t>영웅 세트</t>
        </is>
      </c>
      <c r="B8" s="7" t="inlineStr">
        <is>
          <t>7피스</t>
        </is>
      </c>
      <c r="C8" s="7" t="inlineStr">
        <is>
          <t>검/갑옷/투구/장갑/장화/벨트/망토</t>
        </is>
      </c>
      <c r="D8" s="7" t="inlineStr">
        <is>
          <t>2피스: ATK+10 DEF+10</t>
        </is>
      </c>
    </row>
    <row r="9">
      <c r="A9" s="8" t="inlineStr">
        <is>
          <t>영웅 세트</t>
        </is>
      </c>
      <c r="B9" s="8" t="inlineStr">
        <is>
          <t>7피스</t>
        </is>
      </c>
      <c r="C9" s="8" t="inlineStr">
        <is>
          <t>검/갑옷/투구/장갑/장화/벨트/망토</t>
        </is>
      </c>
      <c r="D9" s="8" t="inlineStr">
        <is>
          <t>3피스: ATK+25 DEF+25 HP+100</t>
        </is>
      </c>
    </row>
    <row r="10">
      <c r="A10" s="7" t="inlineStr">
        <is>
          <t>영웅 세트</t>
        </is>
      </c>
      <c r="B10" s="7" t="inlineStr">
        <is>
          <t>7피스</t>
        </is>
      </c>
      <c r="C10" s="7" t="inlineStr">
        <is>
          <t>검/갑옷/투구/장갑/장화/벨트/망토</t>
        </is>
      </c>
      <c r="D10" s="7" t="inlineStr">
        <is>
          <t>5피스: ATK×1.15 DEF×1.15 HP+300</t>
        </is>
      </c>
    </row>
    <row r="11">
      <c r="A11" s="8" t="inlineStr">
        <is>
          <t>태초 세트</t>
        </is>
      </c>
      <c r="B11" s="8" t="inlineStr">
        <is>
          <t>3피스</t>
        </is>
      </c>
      <c r="C11" s="8" t="inlineStr">
        <is>
          <t>태초의 검/갑옷/반지</t>
        </is>
      </c>
      <c r="D11" s="8" t="inlineStr">
        <is>
          <t>2피스: ATK+50 DEF+50 HP+500</t>
        </is>
      </c>
    </row>
    <row r="12">
      <c r="A12" s="7" t="inlineStr">
        <is>
          <t>태초 세트</t>
        </is>
      </c>
      <c r="B12" s="7" t="inlineStr">
        <is>
          <t>3피스</t>
        </is>
      </c>
      <c r="C12" s="7" t="inlineStr">
        <is>
          <t>태초의 검/갑옷/반지</t>
        </is>
      </c>
      <c r="D12" s="7" t="inlineStr">
        <is>
          <t>3피스: ATK×1.5 DEF×1.5 HP+2000 EXP+30%</t>
        </is>
      </c>
    </row>
  </sheetData>
  <mergeCells count="1">
    <mergeCell ref="A1:D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</cols>
  <sheetData>
    <row r="1">
      <c r="A1" s="5" t="inlineStr">
        <is>
          <t>장비 등급 (5단계)</t>
        </is>
      </c>
    </row>
    <row r="3">
      <c r="A3" s="6" t="inlineStr">
        <is>
          <t>등급</t>
        </is>
      </c>
      <c r="B3" s="6" t="inlineStr">
        <is>
          <t>색상</t>
        </is>
      </c>
      <c r="C3" s="6" t="inlineStr">
        <is>
          <t>스탯배수</t>
        </is>
      </c>
      <c r="D3" s="6" t="inlineStr">
        <is>
          <t>최대강화</t>
        </is>
      </c>
      <c r="E3" s="6" t="inlineStr">
        <is>
          <t>랜덤옵션수</t>
        </is>
      </c>
      <c r="F3" s="6" t="inlineStr">
        <is>
          <t>요구레벨</t>
        </is>
      </c>
      <c r="G3" s="6" t="inlineStr">
        <is>
          <t>획득경로</t>
        </is>
      </c>
    </row>
    <row r="4">
      <c r="A4" s="7" t="inlineStr">
        <is>
          <t>일반 (normal)</t>
        </is>
      </c>
      <c r="B4" s="7" t="inlineStr">
        <is>
          <t>회색</t>
        </is>
      </c>
      <c r="C4" s="7" t="inlineStr">
        <is>
          <t>×1.0</t>
        </is>
      </c>
      <c r="D4" s="7" t="inlineStr">
        <is>
          <t>+5</t>
        </is>
      </c>
      <c r="E4" s="7" t="inlineStr">
        <is>
          <t>0</t>
        </is>
      </c>
      <c r="F4" s="7" t="inlineStr">
        <is>
          <t>Lv.1</t>
        </is>
      </c>
      <c r="G4" s="7" t="inlineStr">
        <is>
          <t>드롭/제작</t>
        </is>
      </c>
    </row>
    <row r="5">
      <c r="A5" s="8" t="inlineStr">
        <is>
          <t>고급 (uncommon)</t>
        </is>
      </c>
      <c r="B5" s="8" t="inlineStr">
        <is>
          <t>녹색</t>
        </is>
      </c>
      <c r="C5" s="8" t="inlineStr">
        <is>
          <t>×1.2</t>
        </is>
      </c>
      <c r="D5" s="8" t="inlineStr">
        <is>
          <t>+8</t>
        </is>
      </c>
      <c r="E5" s="8" t="inlineStr">
        <is>
          <t>1</t>
        </is>
      </c>
      <c r="F5" s="8" t="inlineStr">
        <is>
          <t>Lv.5</t>
        </is>
      </c>
      <c r="G5" s="8" t="inlineStr">
        <is>
          <t>드롭/제작</t>
        </is>
      </c>
    </row>
    <row r="6">
      <c r="A6" s="7" t="inlineStr">
        <is>
          <t>희귀 (rare)</t>
        </is>
      </c>
      <c r="B6" s="7" t="inlineStr">
        <is>
          <t>파랑</t>
        </is>
      </c>
      <c r="C6" s="7" t="inlineStr">
        <is>
          <t>×1.4</t>
        </is>
      </c>
      <c r="D6" s="7" t="inlineStr">
        <is>
          <t>+10</t>
        </is>
      </c>
      <c r="E6" s="7" t="inlineStr">
        <is>
          <t>2</t>
        </is>
      </c>
      <c r="F6" s="7" t="inlineStr">
        <is>
          <t>Lv.15</t>
        </is>
      </c>
      <c r="G6" s="7" t="inlineStr">
        <is>
          <t>드롭/제작</t>
        </is>
      </c>
    </row>
    <row r="7">
      <c r="A7" s="8" t="inlineStr">
        <is>
          <t>영웅 (epic)</t>
        </is>
      </c>
      <c r="B7" s="8" t="inlineStr">
        <is>
          <t>보라</t>
        </is>
      </c>
      <c r="C7" s="8" t="inlineStr">
        <is>
          <t>×1.7</t>
        </is>
      </c>
      <c r="D7" s="8" t="inlineStr">
        <is>
          <t>+12</t>
        </is>
      </c>
      <c r="E7" s="8" t="inlineStr">
        <is>
          <t>3</t>
        </is>
      </c>
      <c r="F7" s="8" t="inlineStr">
        <is>
          <t>Lv.25</t>
        </is>
      </c>
      <c r="G7" s="8" t="inlineStr">
        <is>
          <t>드롭전용</t>
        </is>
      </c>
    </row>
    <row r="8">
      <c r="A8" s="7" t="inlineStr">
        <is>
          <t>전설 (legendary)</t>
        </is>
      </c>
      <c r="B8" s="7" t="inlineStr">
        <is>
          <t>주황</t>
        </is>
      </c>
      <c r="C8" s="7" t="inlineStr">
        <is>
          <t>×2.2</t>
        </is>
      </c>
      <c r="D8" s="7" t="inlineStr">
        <is>
          <t>+15</t>
        </is>
      </c>
      <c r="E8" s="7" t="inlineStr">
        <is>
          <t>4</t>
        </is>
      </c>
      <c r="F8" s="7" t="inlineStr">
        <is>
          <t>Lv.35</t>
        </is>
      </c>
      <c r="G8" s="7" t="inlineStr">
        <is>
          <t>드롭전용 (귀속)</t>
        </is>
      </c>
    </row>
    <row r="11">
      <c r="A11" s="9" t="inlineStr">
        <is>
          <t>랜덤 옵션 (7종)</t>
        </is>
      </c>
    </row>
    <row r="12">
      <c r="A12" s="10" t="inlineStr">
        <is>
          <t>옵션명</t>
        </is>
      </c>
      <c r="B12" s="10" t="inlineStr">
        <is>
          <t>대상 스탯</t>
        </is>
      </c>
      <c r="C12" s="10" t="inlineStr">
        <is>
          <t>최소</t>
        </is>
      </c>
      <c r="D12" s="10" t="inlineStr">
        <is>
          <t>최대</t>
        </is>
      </c>
      <c r="E12" s="10" t="inlineStr">
        <is>
          <t>비고</t>
        </is>
      </c>
    </row>
    <row r="13">
      <c r="A13" s="3" t="inlineStr">
        <is>
          <t>크리티컬 +</t>
        </is>
      </c>
      <c r="B13" s="3" t="inlineStr">
        <is>
          <t>critRate</t>
        </is>
      </c>
      <c r="C13" s="3" t="inlineStr">
        <is>
          <t>2%</t>
        </is>
      </c>
      <c r="D13" s="3" t="inlineStr">
        <is>
          <t>8%</t>
        </is>
      </c>
      <c r="E13" s="3" t="inlineStr">
        <is>
          <t>크리티컬 확률</t>
        </is>
      </c>
    </row>
    <row r="14">
      <c r="A14" s="3" t="inlineStr">
        <is>
          <t>회피 +</t>
        </is>
      </c>
      <c r="B14" s="3" t="inlineStr">
        <is>
          <t>dodgeRate</t>
        </is>
      </c>
      <c r="C14" s="3" t="inlineStr">
        <is>
          <t>1%</t>
        </is>
      </c>
      <c r="D14" s="3" t="inlineStr">
        <is>
          <t>5%</t>
        </is>
      </c>
      <c r="E14" s="3" t="inlineStr">
        <is>
          <t>피격 회피</t>
        </is>
      </c>
    </row>
    <row r="15">
      <c r="A15" s="3" t="inlineStr">
        <is>
          <t>HP +</t>
        </is>
      </c>
      <c r="B15" s="3" t="inlineStr">
        <is>
          <t>bonusHp</t>
        </is>
      </c>
      <c r="C15" s="3" t="inlineStr">
        <is>
          <t>+20</t>
        </is>
      </c>
      <c r="D15" s="3" t="inlineStr">
        <is>
          <t>+100</t>
        </is>
      </c>
      <c r="E15" s="3" t="inlineStr">
        <is>
          <t>최대 HP</t>
        </is>
      </c>
    </row>
    <row r="16">
      <c r="A16" s="3" t="inlineStr">
        <is>
          <t>공격속도 +</t>
        </is>
      </c>
      <c r="B16" s="3" t="inlineStr">
        <is>
          <t>atkSpeed</t>
        </is>
      </c>
      <c r="C16" s="3" t="inlineStr">
        <is>
          <t>5%</t>
        </is>
      </c>
      <c r="D16" s="3" t="inlineStr">
        <is>
          <t>15%</t>
        </is>
      </c>
      <c r="E16" s="3" t="inlineStr">
        <is>
          <t>공격 쿨타임 감소</t>
        </is>
      </c>
    </row>
    <row r="17">
      <c r="A17" s="3" t="inlineStr">
        <is>
          <t>이동속도 +</t>
        </is>
      </c>
      <c r="B17" s="3" t="inlineStr">
        <is>
          <t>bonusSpd</t>
        </is>
      </c>
      <c r="C17" s="3" t="inlineStr">
        <is>
          <t>+1</t>
        </is>
      </c>
      <c r="D17" s="3" t="inlineStr">
        <is>
          <t>+5</t>
        </is>
      </c>
      <c r="E17" s="3" t="inlineStr">
        <is>
          <t>이동속도</t>
        </is>
      </c>
    </row>
    <row r="18">
      <c r="A18" s="3" t="inlineStr">
        <is>
          <t>경험치 +</t>
        </is>
      </c>
      <c r="B18" s="3" t="inlineStr">
        <is>
          <t>expBonus</t>
        </is>
      </c>
      <c r="C18" s="3" t="inlineStr">
        <is>
          <t>5%</t>
        </is>
      </c>
      <c r="D18" s="3" t="inlineStr">
        <is>
          <t>15%</t>
        </is>
      </c>
      <c r="E18" s="3" t="inlineStr">
        <is>
          <t>경험치 획득량</t>
        </is>
      </c>
    </row>
    <row r="19">
      <c r="A19" s="3" t="inlineStr">
        <is>
          <t>골드 +</t>
        </is>
      </c>
      <c r="B19" s="3" t="inlineStr">
        <is>
          <t>goldBonus</t>
        </is>
      </c>
      <c r="C19" s="3" t="inlineStr">
        <is>
          <t>5%</t>
        </is>
      </c>
      <c r="D19" s="3" t="inlineStr">
        <is>
          <t>10%</t>
        </is>
      </c>
      <c r="E19" s="3" t="inlineStr">
        <is>
          <t>골드 획득량</t>
        </is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0" customWidth="1" min="4" max="4"/>
    <col width="28" customWidth="1" min="5" max="5"/>
  </cols>
  <sheetData>
    <row r="1">
      <c r="A1" s="5" t="inlineStr">
        <is>
          <t>디버프 (10종 — v1.7 신규 5종 포함)</t>
        </is>
      </c>
    </row>
    <row r="3">
      <c r="A3" s="6" t="inlineStr">
        <is>
          <t>이름</t>
        </is>
      </c>
      <c r="B3" s="6" t="inlineStr">
        <is>
          <t>ID</t>
        </is>
      </c>
      <c r="C3" s="6" t="inlineStr">
        <is>
          <t>효과</t>
        </is>
      </c>
      <c r="D3" s="6" t="inlineStr">
        <is>
          <t>지속</t>
        </is>
      </c>
      <c r="E3" s="6" t="inlineStr">
        <is>
          <t>출처</t>
        </is>
      </c>
    </row>
    <row r="4">
      <c r="A4" s="7" t="inlineStr">
        <is>
          <t>독</t>
        </is>
      </c>
      <c r="B4" s="7" t="inlineStr">
        <is>
          <t>poison</t>
        </is>
      </c>
      <c r="C4" s="7" t="inlineStr">
        <is>
          <t>HP -15/초</t>
        </is>
      </c>
      <c r="D4" s="7" t="inlineStr">
        <is>
          <t>5초</t>
        </is>
      </c>
      <c r="E4" s="7" t="inlineStr">
        <is>
          <t>슬라임/독 지역 — 기존</t>
        </is>
      </c>
    </row>
    <row r="5">
      <c r="A5" s="8" t="inlineStr">
        <is>
          <t>슬로우</t>
        </is>
      </c>
      <c r="B5" s="8" t="inlineStr">
        <is>
          <t>slow</t>
        </is>
      </c>
      <c r="C5" s="8" t="inlineStr">
        <is>
          <t>SPD ×0.5</t>
        </is>
      </c>
      <c r="D5" s="8" t="inlineStr">
        <is>
          <t>3초</t>
        </is>
      </c>
      <c r="E5" s="8" t="inlineStr">
        <is>
          <t>아이스 볼트 — 기존</t>
        </is>
      </c>
    </row>
    <row r="6">
      <c r="A6" s="7" t="inlineStr">
        <is>
          <t>스턴</t>
        </is>
      </c>
      <c r="B6" s="7" t="inlineStr">
        <is>
          <t>stun</t>
        </is>
      </c>
      <c r="C6" s="7" t="inlineStr">
        <is>
          <t>행동 불가</t>
        </is>
      </c>
      <c r="D6" s="7" t="inlineStr">
        <is>
          <t>1초</t>
        </is>
      </c>
      <c r="E6" s="7" t="inlineStr">
        <is>
          <t>방패 강타 — 기존</t>
        </is>
      </c>
    </row>
    <row r="7">
      <c r="A7" s="8" t="inlineStr">
        <is>
          <t>화상</t>
        </is>
      </c>
      <c r="B7" s="8" t="inlineStr">
        <is>
          <t>burn</t>
        </is>
      </c>
      <c r="C7" s="8" t="inlineStr">
        <is>
          <t>HP -25/초</t>
        </is>
      </c>
      <c r="D7" s="8" t="inlineStr">
        <is>
          <t>5초</t>
        </is>
      </c>
      <c r="E7" s="8" t="inlineStr">
        <is>
          <t>용암 지역 — 기존</t>
        </is>
      </c>
    </row>
    <row r="8">
      <c r="A8" s="7" t="inlineStr">
        <is>
          <t>저주</t>
        </is>
      </c>
      <c r="B8" s="7" t="inlineStr">
        <is>
          <t>curse</t>
        </is>
      </c>
      <c r="C8" s="7" t="inlineStr">
        <is>
          <t>회복 ×0.5</t>
        </is>
      </c>
      <c r="D8" s="7" t="inlineStr">
        <is>
          <t>10초</t>
        </is>
      </c>
      <c r="E8" s="7" t="inlineStr">
        <is>
          <t>언데드 — 기존</t>
        </is>
      </c>
    </row>
    <row r="9">
      <c r="A9" s="8" t="inlineStr">
        <is>
          <t>빙결</t>
        </is>
      </c>
      <c r="B9" s="8" t="inlineStr">
        <is>
          <t>freeze</t>
        </is>
      </c>
      <c r="C9" s="8" t="inlineStr">
        <is>
          <t>SPD ×0.2</t>
        </is>
      </c>
      <c r="D9" s="8" t="inlineStr">
        <is>
          <t>3초</t>
        </is>
      </c>
      <c r="E9" s="8" t="inlineStr">
        <is>
          <t>v1.7 신규 — 행동 제약</t>
        </is>
      </c>
    </row>
    <row r="10">
      <c r="A10" s="7" t="inlineStr">
        <is>
          <t>감전</t>
        </is>
      </c>
      <c r="B10" s="7" t="inlineStr">
        <is>
          <t>shock</t>
        </is>
      </c>
      <c r="C10" s="7" t="inlineStr">
        <is>
          <t>HP -30/초</t>
        </is>
      </c>
      <c r="D10" s="7" t="inlineStr">
        <is>
          <t>4초</t>
        </is>
      </c>
      <c r="E10" s="7" t="inlineStr">
        <is>
          <t>v1.7 신규 — 강력 DOT</t>
        </is>
      </c>
    </row>
    <row r="11">
      <c r="A11" s="8" t="inlineStr">
        <is>
          <t>출혈</t>
        </is>
      </c>
      <c r="B11" s="8" t="inlineStr">
        <is>
          <t>bleed</t>
        </is>
      </c>
      <c r="C11" s="8" t="inlineStr">
        <is>
          <t>HP -20/초</t>
        </is>
      </c>
      <c r="D11" s="8" t="inlineStr">
        <is>
          <t>8초</t>
        </is>
      </c>
      <c r="E11" s="8" t="inlineStr">
        <is>
          <t>v1.7 신규 — 장기 DOT</t>
        </is>
      </c>
    </row>
    <row r="12">
      <c r="A12" s="7" t="inlineStr">
        <is>
          <t>약화</t>
        </is>
      </c>
      <c r="B12" s="7" t="inlineStr">
        <is>
          <t>weak</t>
        </is>
      </c>
      <c r="C12" s="7" t="inlineStr">
        <is>
          <t>ATK ×0.7</t>
        </is>
      </c>
      <c r="D12" s="7" t="inlineStr">
        <is>
          <t>6초</t>
        </is>
      </c>
      <c r="E12" s="7" t="inlineStr">
        <is>
          <t>v1.7 신규 — 공격력 감소</t>
        </is>
      </c>
    </row>
    <row r="13">
      <c r="A13" s="8" t="inlineStr">
        <is>
          <t>공포</t>
        </is>
      </c>
      <c r="B13" s="8" t="inlineStr">
        <is>
          <t>fear</t>
        </is>
      </c>
      <c r="C13" s="8" t="inlineStr">
        <is>
          <t>SPD ×0.6</t>
        </is>
      </c>
      <c r="D13" s="8" t="inlineStr">
        <is>
          <t>4초</t>
        </is>
      </c>
      <c r="E13" s="8" t="inlineStr">
        <is>
          <t>v1.7 신규 — 도주 효과</t>
        </is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0" customWidth="1" min="6" max="6"/>
    <col width="30" customWidth="1" min="7" max="7"/>
    <col width="18" customWidth="1" min="8" max="8"/>
    <col width="30" customWidth="1" min="9" max="9"/>
  </cols>
  <sheetData>
    <row r="1">
      <c r="A1" s="5" t="inlineStr">
        <is>
          <t>던전 (7종 — v1.10 그림자 미궁 신규)</t>
        </is>
      </c>
    </row>
    <row r="3">
      <c r="A3" s="6" t="inlineStr">
        <is>
          <t>ID</t>
        </is>
      </c>
      <c r="B3" s="6" t="inlineStr">
        <is>
          <t>던전명</t>
        </is>
      </c>
      <c r="C3" s="6" t="inlineStr">
        <is>
          <t>지역</t>
        </is>
      </c>
      <c r="D3" s="6" t="inlineStr">
        <is>
          <t>최소Lv</t>
        </is>
      </c>
      <c r="E3" s="6" t="inlineStr">
        <is>
          <t>최대파티</t>
        </is>
      </c>
      <c r="F3" s="6" t="inlineStr">
        <is>
          <t>스테이지</t>
        </is>
      </c>
      <c r="G3" s="6" t="inlineStr">
        <is>
          <t>구성</t>
        </is>
      </c>
      <c r="H3" s="6" t="inlineStr">
        <is>
          <t>보상</t>
        </is>
      </c>
      <c r="I3" s="6" t="inlineStr">
        <is>
          <t>드롭</t>
        </is>
      </c>
    </row>
    <row r="4">
      <c r="A4" s="7" t="inlineStr">
        <is>
          <t>cave_dungeon</t>
        </is>
      </c>
      <c r="B4" s="7" t="inlineStr">
        <is>
          <t>어둠의 동굴</t>
        </is>
      </c>
      <c r="C4" s="7" t="inlineStr">
        <is>
          <t>수정 동굴(cave)</t>
        </is>
      </c>
      <c r="D4" s="7" t="n">
        <v>15</v>
      </c>
      <c r="E4" s="7" t="n">
        <v>5</v>
      </c>
      <c r="F4" s="7" t="n">
        <v>3</v>
      </c>
      <c r="G4" s="7" t="inlineStr">
        <is>
          <t>엘리트→엘리트→보스</t>
        </is>
      </c>
      <c r="H4" s="7" t="inlineStr">
        <is>
          <t>2,000G + 3,000EXP</t>
        </is>
      </c>
      <c r="I4" s="7" t="inlineStr">
        <is>
          <t>미스릴 검/갑옷</t>
        </is>
      </c>
    </row>
    <row r="5">
      <c r="A5" s="8" t="inlineStr">
        <is>
          <t>ruins_dungeon</t>
        </is>
      </c>
      <c r="B5" s="8" t="inlineStr">
        <is>
          <t>지하 감옥</t>
        </is>
      </c>
      <c r="C5" s="8" t="inlineStr">
        <is>
          <t>달그림자 유적(ruins)</t>
        </is>
      </c>
      <c r="D5" s="8" t="n">
        <v>20</v>
      </c>
      <c r="E5" s="8" t="n">
        <v>5</v>
      </c>
      <c r="F5" s="8" t="n">
        <v>5</v>
      </c>
      <c r="G5" s="8" t="inlineStr">
        <is>
          <t>엘리트→레어→엘리트→레어→보스×2</t>
        </is>
      </c>
      <c r="H5" s="8" t="inlineStr">
        <is>
          <t>5,000G + 8,000EXP</t>
        </is>
      </c>
      <c r="I5" s="8" t="inlineStr">
        <is>
          <t>영웅 검/갑옷/반지</t>
        </is>
      </c>
    </row>
    <row r="6">
      <c r="A6" s="7" t="inlineStr">
        <is>
          <t>frozen_temple</t>
        </is>
      </c>
      <c r="B6" s="7" t="inlineStr">
        <is>
          <t>얼어붙은 신전</t>
        </is>
      </c>
      <c r="C6" s="7" t="inlineStr">
        <is>
          <t>얼음 협곡(glacier)</t>
        </is>
      </c>
      <c r="D6" s="7" t="n">
        <v>18</v>
      </c>
      <c r="E6" s="7" t="n">
        <v>5</v>
      </c>
      <c r="F6" s="7" t="n">
        <v>4</v>
      </c>
      <c r="G6" s="7" t="inlineStr">
        <is>
          <t>노말→엘리트→레어→보스</t>
        </is>
      </c>
      <c r="H6" s="7" t="inlineStr">
        <is>
          <t>4,000G + 6,000EXP</t>
        </is>
      </c>
      <c r="I6" s="7" t="inlineStr">
        <is>
          <t>미스릴 투구/장갑/장화</t>
        </is>
      </c>
    </row>
    <row r="7">
      <c r="A7" s="8" t="inlineStr">
        <is>
          <t>holy_sanctuary</t>
        </is>
      </c>
      <c r="B7" s="8" t="inlineStr">
        <is>
          <t>신성한 성역</t>
        </is>
      </c>
      <c r="C7" s="8" t="inlineStr">
        <is>
          <t>천공의 정상(celestial)</t>
        </is>
      </c>
      <c r="D7" s="8" t="n">
        <v>30</v>
      </c>
      <c r="E7" s="8" t="n">
        <v>5</v>
      </c>
      <c r="F7" s="8" t="n">
        <v>5</v>
      </c>
      <c r="G7" s="8" t="inlineStr">
        <is>
          <t>엘리트→레어→보스→레어→전설</t>
        </is>
      </c>
      <c r="H7" s="8" t="inlineStr">
        <is>
          <t>12,000G + 18,000EXP</t>
        </is>
      </c>
      <c r="I7" s="8" t="inlineStr">
        <is>
          <t>영웅 검/망토/벨트</t>
        </is>
      </c>
    </row>
    <row r="8">
      <c r="A8" s="7" t="inlineStr">
        <is>
          <t>dragon_raid</t>
        </is>
      </c>
      <c r="B8" s="7" t="inlineStr">
        <is>
          <t>드래곤 둥지 레이드</t>
        </is>
      </c>
      <c r="C8" s="7" t="inlineStr">
        <is>
          <t>용의 요람(dragon)</t>
        </is>
      </c>
      <c r="D8" s="7" t="n">
        <v>25</v>
      </c>
      <c r="E8" s="7" t="n">
        <v>25</v>
      </c>
      <c r="F8" s="7" t="n">
        <v>3</v>
      </c>
      <c r="G8" s="7" t="inlineStr">
        <is>
          <t>레어×10→보스×3→보스</t>
        </is>
      </c>
      <c r="H8" s="7" t="inlineStr">
        <is>
          <t>15,000G + 20,000EXP</t>
        </is>
      </c>
      <c r="I8" s="7" t="inlineStr">
        <is>
          <t>드래곤 검/갑옷</t>
        </is>
      </c>
    </row>
    <row r="9">
      <c r="A9" s="8" t="inlineStr">
        <is>
          <t>void_abyss</t>
        </is>
      </c>
      <c r="B9" s="8" t="inlineStr">
        <is>
          <t>공허의 심연</t>
        </is>
      </c>
      <c r="C9" s="8" t="inlineStr">
        <is>
          <t>공허의 균열(void_rift)</t>
        </is>
      </c>
      <c r="D9" s="8" t="n">
        <v>35</v>
      </c>
      <c r="E9" s="8" t="n">
        <v>10</v>
      </c>
      <c r="F9" s="8" t="n">
        <v>6</v>
      </c>
      <c r="G9" s="8" t="inlineStr">
        <is>
          <t>레어→보스→레어→보스→전설→보스</t>
        </is>
      </c>
      <c r="H9" s="8" t="inlineStr">
        <is>
          <t>30,000G + 50,000EXP</t>
        </is>
      </c>
      <c r="I9" s="8" t="inlineStr">
        <is>
          <t>태초 검/갑옷/반지 + 용재료</t>
        </is>
      </c>
    </row>
    <row r="10">
      <c r="A10" s="7" t="inlineStr">
        <is>
          <t>shadow_labyrinth</t>
        </is>
      </c>
      <c r="B10" s="7" t="inlineStr">
        <is>
          <t>그림자 미궁</t>
        </is>
      </c>
      <c r="C10" s="7" t="inlineStr">
        <is>
          <t>그림자 영역(shadow)</t>
        </is>
      </c>
      <c r="D10" s="7" t="n">
        <v>38</v>
      </c>
      <c r="E10" s="7" t="n">
        <v>8</v>
      </c>
      <c r="F10" s="7" t="n">
        <v>7</v>
      </c>
      <c r="G10" s="7" t="inlineStr">
        <is>
          <t>레어→엘리트→레어→보스→레어→보스→전설</t>
        </is>
      </c>
      <c r="H10" s="7" t="inlineStr">
        <is>
          <t>22,000G + 32,000EXP</t>
        </is>
      </c>
      <c r="I10" s="7" t="inlineStr">
        <is>
          <t>드래곤 검/망토/투구/장갑 (v1.10 신규)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30" customWidth="1" min="5" max="5"/>
    <col width="12" customWidth="1" min="6" max="6"/>
  </cols>
  <sheetData>
    <row r="1">
      <c r="A1" s="5" t="inlineStr">
        <is>
          <t>작물 (7종 — v1.36 신규 모듈 game/farm.js)</t>
        </is>
      </c>
    </row>
    <row r="3">
      <c r="A3" s="6" t="inlineStr">
        <is>
          <t>ID</t>
        </is>
      </c>
      <c r="B3" s="6" t="inlineStr">
        <is>
          <t>이름</t>
        </is>
      </c>
      <c r="C3" s="6" t="inlineStr">
        <is>
          <t>성장 시간</t>
        </is>
      </c>
      <c r="D3" s="6" t="inlineStr">
        <is>
          <t>씨앗 가격</t>
        </is>
      </c>
      <c r="E3" s="6" t="inlineStr">
        <is>
          <t>수확 보상</t>
        </is>
      </c>
      <c r="F3" s="6" t="inlineStr">
        <is>
          <t>등급</t>
        </is>
      </c>
    </row>
    <row r="4">
      <c r="A4" s="7" t="inlineStr">
        <is>
          <t>herb</t>
        </is>
      </c>
      <c r="B4" s="7" t="inlineStr">
        <is>
          <t>약초</t>
        </is>
      </c>
      <c r="C4" s="7" t="inlineStr">
        <is>
          <t>5분</t>
        </is>
      </c>
      <c r="D4" s="7" t="inlineStr">
        <is>
          <t>30G</t>
        </is>
      </c>
      <c r="E4" s="7" t="inlineStr">
        <is>
          <t>약초 ×3 + 20EXP</t>
        </is>
      </c>
      <c r="F4" s="7" t="inlineStr">
        <is>
          <t>초보용 / 빠른 수확</t>
        </is>
      </c>
    </row>
    <row r="5">
      <c r="A5" s="8" t="inlineStr">
        <is>
          <t>carrot</t>
        </is>
      </c>
      <c r="B5" s="8" t="inlineStr">
        <is>
          <t>당근</t>
        </is>
      </c>
      <c r="C5" s="8" t="inlineStr">
        <is>
          <t>10분</t>
        </is>
      </c>
      <c r="D5" s="8" t="inlineStr">
        <is>
          <t>60G</t>
        </is>
      </c>
      <c r="E5" s="8" t="inlineStr">
        <is>
          <t>약초 ×2 + 50G + 40EXP</t>
        </is>
      </c>
      <c r="F5" s="8" t="inlineStr">
        <is>
          <t>초보용</t>
        </is>
      </c>
    </row>
    <row r="6">
      <c r="A6" s="7" t="inlineStr">
        <is>
          <t>wheat</t>
        </is>
      </c>
      <c r="B6" s="7" t="inlineStr">
        <is>
          <t>밀</t>
        </is>
      </c>
      <c r="C6" s="7" t="inlineStr">
        <is>
          <t>15분</t>
        </is>
      </c>
      <c r="D6" s="7" t="inlineStr">
        <is>
          <t>100G</t>
        </is>
      </c>
      <c r="E6" s="7" t="inlineStr">
        <is>
          <t>물약 원료 ×1 + 100G + 60EXP</t>
        </is>
      </c>
      <c r="F6" s="7" t="inlineStr">
        <is>
          <t>중급</t>
        </is>
      </c>
    </row>
    <row r="7">
      <c r="A7" s="8" t="inlineStr">
        <is>
          <t>pumpkin</t>
        </is>
      </c>
      <c r="B7" s="8" t="inlineStr">
        <is>
          <t>호박</t>
        </is>
      </c>
      <c r="C7" s="8" t="inlineStr">
        <is>
          <t>30분</t>
        </is>
      </c>
      <c r="D7" s="8" t="inlineStr">
        <is>
          <t>200G</t>
        </is>
      </c>
      <c r="E7" s="8" t="inlineStr">
        <is>
          <t>향신료 ×1 + 250G + 120EXP</t>
        </is>
      </c>
      <c r="F7" s="8" t="inlineStr">
        <is>
          <t>중급</t>
        </is>
      </c>
    </row>
    <row r="8">
      <c r="A8" s="7" t="inlineStr">
        <is>
          <t>golden_apple</t>
        </is>
      </c>
      <c r="B8" s="7" t="inlineStr">
        <is>
          <t>황금 사과</t>
        </is>
      </c>
      <c r="C8" s="7" t="inlineStr">
        <is>
          <t>1시간</t>
        </is>
      </c>
      <c r="D8" s="7" t="inlineStr">
        <is>
          <t>500G</t>
        </is>
      </c>
      <c r="E8" s="7" t="inlineStr">
        <is>
          <t>보석 ×1 + 마법재료 ×2 + 600G</t>
        </is>
      </c>
      <c r="F8" s="7" t="inlineStr">
        <is>
          <t>고급</t>
        </is>
      </c>
    </row>
    <row r="9">
      <c r="A9" s="8" t="inlineStr">
        <is>
          <t>moonflower</t>
        </is>
      </c>
      <c r="B9" s="8" t="inlineStr">
        <is>
          <t>달꽃</t>
        </is>
      </c>
      <c r="C9" s="8" t="inlineStr">
        <is>
          <t>2시간</t>
        </is>
      </c>
      <c r="D9" s="8" t="inlineStr">
        <is>
          <t>30💎</t>
        </is>
      </c>
      <c r="E9" s="8" t="inlineStr">
        <is>
          <t>마법재료 ×5 + 영혼석 ×1 + 1500G</t>
        </is>
      </c>
      <c r="F9" s="8" t="inlineStr">
        <is>
          <t>희귀</t>
        </is>
      </c>
    </row>
    <row r="10">
      <c r="A10" s="7" t="inlineStr">
        <is>
          <t>dragon_fruit</t>
        </is>
      </c>
      <c r="B10" s="7" t="inlineStr">
        <is>
          <t>용 과일</t>
        </is>
      </c>
      <c r="C10" s="7" t="inlineStr">
        <is>
          <t>4시간</t>
        </is>
      </c>
      <c r="D10" s="7" t="inlineStr">
        <is>
          <t>80💎</t>
        </is>
      </c>
      <c r="E10" s="7" t="inlineStr">
        <is>
          <t>용재료 ×1 + 영혼석 ×3 + 3000G</t>
        </is>
      </c>
      <c r="F10" s="7" t="inlineStr">
        <is>
          <t>전설</t>
        </is>
      </c>
    </row>
    <row r="13">
      <c r="A13" s="9" t="inlineStr">
        <is>
          <t>농장 시스템</t>
        </is>
      </c>
    </row>
    <row r="14">
      <c r="A14" s="3" t="inlineStr">
        <is>
          <t>기본 슬롯</t>
        </is>
      </c>
      <c r="B14" s="3" t="inlineStr">
        <is>
          <t>4개</t>
        </is>
      </c>
    </row>
    <row r="15">
      <c r="A15" s="3" t="inlineStr">
        <is>
          <t>최대 슬롯</t>
        </is>
      </c>
      <c r="B15" s="3" t="inlineStr">
        <is>
          <t>12개 (다이아 확장)</t>
        </is>
      </c>
    </row>
    <row r="16">
      <c r="A16" s="3" t="inlineStr">
        <is>
          <t>슬롯 확장</t>
        </is>
      </c>
      <c r="B16" s="3" t="inlineStr">
        <is>
          <t>50💎 / 슬롯</t>
        </is>
      </c>
    </row>
    <row r="17">
      <c r="A17" s="3" t="inlineStr">
        <is>
          <t>비료</t>
        </is>
      </c>
      <c r="B17" s="3" t="inlineStr">
        <is>
          <t>20💎로 50% 시간 단축 (슬롯당 1회)</t>
        </is>
      </c>
    </row>
    <row r="18">
      <c r="A18" s="3" t="inlineStr">
        <is>
          <t>AFK 진행</t>
        </is>
      </c>
      <c r="B18" s="3" t="inlineStr">
        <is>
          <t>오프라인 시간도 카운트 (Date.now() 기반)</t>
        </is>
      </c>
    </row>
    <row r="19">
      <c r="A19" s="3" t="inlineStr">
        <is>
          <t>모듈</t>
        </is>
      </c>
      <c r="B19" s="3" t="inlineStr">
        <is>
          <t>game/farm.js (신규 파일)</t>
        </is>
      </c>
    </row>
    <row r="20">
      <c r="A20" s="3" t="inlineStr">
        <is>
          <t>통합</t>
        </is>
      </c>
      <c r="B20" s="3" t="inlineStr">
        <is>
          <t>farm_status / plant / harvest / fertilize / expand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6" customWidth="1" min="4" max="4"/>
    <col width="10" customWidth="1" min="5" max="5"/>
    <col width="28" customWidth="1" min="6" max="6"/>
    <col width="12" customWidth="1" min="7" max="7"/>
  </cols>
  <sheetData>
    <row r="1">
      <c r="A1" s="5" t="inlineStr">
        <is>
          <t>특성 트리 (3브랜치 × 7노드 = 21노드 — v1.35 신규 모듈 game/skill_tree.js)</t>
        </is>
      </c>
    </row>
    <row r="3">
      <c r="A3" s="6" t="inlineStr">
        <is>
          <t>브랜치</t>
        </is>
      </c>
      <c r="B3" s="6" t="inlineStr">
        <is>
          <t>아이콘</t>
        </is>
      </c>
      <c r="C3" s="6" t="inlineStr">
        <is>
          <t>노드명</t>
        </is>
      </c>
      <c r="D3" s="6" t="inlineStr">
        <is>
          <t>ID</t>
        </is>
      </c>
      <c r="E3" s="6" t="inlineStr">
        <is>
          <t>최대 랭크</t>
        </is>
      </c>
      <c r="F3" s="6" t="inlineStr">
        <is>
          <t>효과</t>
        </is>
      </c>
      <c r="G3" s="6" t="inlineStr">
        <is>
          <t>요구 포인트</t>
        </is>
      </c>
    </row>
    <row r="4">
      <c r="A4" s="7" t="inlineStr">
        <is>
          <t>offense</t>
        </is>
      </c>
      <c r="B4" s="7" t="inlineStr">
        <is>
          <t>⚔️</t>
        </is>
      </c>
      <c r="C4" s="7" t="inlineStr">
        <is>
          <t>공격력 단련</t>
        </is>
      </c>
      <c r="D4" s="7" t="inlineStr">
        <is>
          <t>off_atk</t>
        </is>
      </c>
      <c r="E4" s="7" t="n">
        <v>5</v>
      </c>
      <c r="F4" s="7" t="inlineStr">
        <is>
          <t>ATK +3 / 랭크</t>
        </is>
      </c>
      <c r="G4" s="7" t="n">
        <v>0</v>
      </c>
    </row>
    <row r="5">
      <c r="A5" s="8" t="inlineStr">
        <is>
          <t>offense</t>
        </is>
      </c>
      <c r="B5" s="8" t="inlineStr">
        <is>
          <t>⚔️</t>
        </is>
      </c>
      <c r="C5" s="8" t="inlineStr">
        <is>
          <t>크리티컬</t>
        </is>
      </c>
      <c r="D5" s="8" t="inlineStr">
        <is>
          <t>off_crit</t>
        </is>
      </c>
      <c r="E5" s="8" t="n">
        <v>5</v>
      </c>
      <c r="F5" s="8" t="inlineStr">
        <is>
          <t>크리율 +2% / 랭크</t>
        </is>
      </c>
      <c r="G5" s="8" t="n">
        <v>0</v>
      </c>
    </row>
    <row r="6">
      <c r="A6" s="7" t="inlineStr">
        <is>
          <t>offense</t>
        </is>
      </c>
      <c r="B6" s="7" t="inlineStr">
        <is>
          <t>⚔️</t>
        </is>
      </c>
      <c r="C6" s="7" t="inlineStr">
        <is>
          <t>공격 속도</t>
        </is>
      </c>
      <c r="D6" s="7" t="inlineStr">
        <is>
          <t>off_speed</t>
        </is>
      </c>
      <c r="E6" s="7" t="n">
        <v>3</v>
      </c>
      <c r="F6" s="7" t="inlineStr">
        <is>
          <t>공속 +5% / 랭크</t>
        </is>
      </c>
      <c r="G6" s="7" t="n">
        <v>5</v>
      </c>
    </row>
    <row r="7">
      <c r="A7" s="8" t="inlineStr">
        <is>
          <t>offense</t>
        </is>
      </c>
      <c r="B7" s="8" t="inlineStr">
        <is>
          <t>⚔️</t>
        </is>
      </c>
      <c r="C7" s="8" t="inlineStr">
        <is>
          <t>관통</t>
        </is>
      </c>
      <c r="D7" s="8" t="inlineStr">
        <is>
          <t>off_pierce</t>
        </is>
      </c>
      <c r="E7" s="8" t="n">
        <v>3</v>
      </c>
      <c r="F7" s="8" t="inlineStr">
        <is>
          <t>관통 +4% / 랭크</t>
        </is>
      </c>
      <c r="G7" s="8" t="n">
        <v>10</v>
      </c>
    </row>
    <row r="8">
      <c r="A8" s="7" t="inlineStr">
        <is>
          <t>offense</t>
        </is>
      </c>
      <c r="B8" s="7" t="inlineStr">
        <is>
          <t>⚔️</t>
        </is>
      </c>
      <c r="C8" s="7" t="inlineStr">
        <is>
          <t>폭발 일격</t>
        </is>
      </c>
      <c r="D8" s="7" t="inlineStr">
        <is>
          <t>off_burst</t>
        </is>
      </c>
      <c r="E8" s="7" t="n">
        <v>3</v>
      </c>
      <c r="F8" s="7" t="inlineStr">
        <is>
          <t>크리DMG +10% / 랭크</t>
        </is>
      </c>
      <c r="G8" s="7" t="n">
        <v>15</v>
      </c>
    </row>
    <row r="9">
      <c r="A9" s="8" t="inlineStr">
        <is>
          <t>offense</t>
        </is>
      </c>
      <c r="B9" s="8" t="inlineStr">
        <is>
          <t>⚔️</t>
        </is>
      </c>
      <c r="C9" s="8" t="inlineStr">
        <is>
          <t>마무리 일격</t>
        </is>
      </c>
      <c r="D9" s="8" t="inlineStr">
        <is>
          <t>off_execute</t>
        </is>
      </c>
      <c r="E9" s="8" t="n">
        <v>1</v>
      </c>
      <c r="F9" s="8" t="inlineStr">
        <is>
          <t>처형 보너스 +15%</t>
        </is>
      </c>
      <c r="G9" s="8" t="n">
        <v>20</v>
      </c>
    </row>
    <row r="10">
      <c r="A10" s="7" t="inlineStr">
        <is>
          <t>offense</t>
        </is>
      </c>
      <c r="B10" s="7" t="inlineStr">
        <is>
          <t>⚔️</t>
        </is>
      </c>
      <c r="C10" s="7" t="inlineStr">
        <is>
          <t>전쟁의 화신</t>
        </is>
      </c>
      <c r="D10" s="7" t="inlineStr">
        <is>
          <t>off_master</t>
        </is>
      </c>
      <c r="E10" s="7" t="n">
        <v>1</v>
      </c>
      <c r="F10" s="7" t="inlineStr">
        <is>
          <t>ATK +30 / 크리 +5%</t>
        </is>
      </c>
      <c r="G10" s="7" t="n">
        <v>25</v>
      </c>
    </row>
    <row r="11">
      <c r="A11" s="8" t="inlineStr">
        <is>
          <t>defense</t>
        </is>
      </c>
      <c r="B11" s="8" t="inlineStr">
        <is>
          <t>🛡️</t>
        </is>
      </c>
      <c r="C11" s="8" t="inlineStr">
        <is>
          <t>방어력 단련</t>
        </is>
      </c>
      <c r="D11" s="8" t="inlineStr">
        <is>
          <t>def_def</t>
        </is>
      </c>
      <c r="E11" s="8" t="n">
        <v>5</v>
      </c>
      <c r="F11" s="8" t="inlineStr">
        <is>
          <t>DEF +3 / 랭크</t>
        </is>
      </c>
      <c r="G11" s="8" t="n">
        <v>0</v>
      </c>
    </row>
    <row r="12">
      <c r="A12" s="7" t="inlineStr">
        <is>
          <t>defense</t>
        </is>
      </c>
      <c r="B12" s="7" t="inlineStr">
        <is>
          <t>🛡️</t>
        </is>
      </c>
      <c r="C12" s="7" t="inlineStr">
        <is>
          <t>체력 단련</t>
        </is>
      </c>
      <c r="D12" s="7" t="inlineStr">
        <is>
          <t>def_hp</t>
        </is>
      </c>
      <c r="E12" s="7" t="n">
        <v>5</v>
      </c>
      <c r="F12" s="7" t="inlineStr">
        <is>
          <t>HP +30 / 랭크</t>
        </is>
      </c>
      <c r="G12" s="7" t="n">
        <v>0</v>
      </c>
    </row>
    <row r="13">
      <c r="A13" s="8" t="inlineStr">
        <is>
          <t>defense</t>
        </is>
      </c>
      <c r="B13" s="8" t="inlineStr">
        <is>
          <t>🛡️</t>
        </is>
      </c>
      <c r="C13" s="8" t="inlineStr">
        <is>
          <t>회피</t>
        </is>
      </c>
      <c r="D13" s="8" t="inlineStr">
        <is>
          <t>def_dodge</t>
        </is>
      </c>
      <c r="E13" s="8" t="n">
        <v>3</v>
      </c>
      <c r="F13" s="8" t="inlineStr">
        <is>
          <t>회피 +2% / 랭크</t>
        </is>
      </c>
      <c r="G13" s="8" t="n">
        <v>5</v>
      </c>
    </row>
    <row r="14">
      <c r="A14" s="7" t="inlineStr">
        <is>
          <t>defense</t>
        </is>
      </c>
      <c r="B14" s="7" t="inlineStr">
        <is>
          <t>🛡️</t>
        </is>
      </c>
      <c r="C14" s="7" t="inlineStr">
        <is>
          <t>재생</t>
        </is>
      </c>
      <c r="D14" s="7" t="inlineStr">
        <is>
          <t>def_regen</t>
        </is>
      </c>
      <c r="E14" s="7" t="n">
        <v>3</v>
      </c>
      <c r="F14" s="7" t="inlineStr">
        <is>
          <t>HP재생 +10% / 랭크</t>
        </is>
      </c>
      <c r="G14" s="7" t="n">
        <v>10</v>
      </c>
    </row>
    <row r="15">
      <c r="A15" s="8" t="inlineStr">
        <is>
          <t>defense</t>
        </is>
      </c>
      <c r="B15" s="8" t="inlineStr">
        <is>
          <t>🛡️</t>
        </is>
      </c>
      <c r="C15" s="8" t="inlineStr">
        <is>
          <t>피해 감소</t>
        </is>
      </c>
      <c r="D15" s="8" t="inlineStr">
        <is>
          <t>def_block</t>
        </is>
      </c>
      <c r="E15" s="8" t="n">
        <v>3</v>
      </c>
      <c r="F15" s="8" t="inlineStr">
        <is>
          <t>피해 -3% / 랭크</t>
        </is>
      </c>
      <c r="G15" s="8" t="n">
        <v>15</v>
      </c>
    </row>
    <row r="16">
      <c r="A16" s="7" t="inlineStr">
        <is>
          <t>defense</t>
        </is>
      </c>
      <c r="B16" s="7" t="inlineStr">
        <is>
          <t>🛡️</t>
        </is>
      </c>
      <c r="C16" s="7" t="inlineStr">
        <is>
          <t>불굴</t>
        </is>
      </c>
      <c r="D16" s="7" t="inlineStr">
        <is>
          <t>def_revive</t>
        </is>
      </c>
      <c r="E16" s="7" t="n">
        <v>1</v>
      </c>
      <c r="F16" s="7" t="inlineStr">
        <is>
          <t>부활 확률 +10%</t>
        </is>
      </c>
      <c r="G16" s="7" t="n">
        <v>20</v>
      </c>
    </row>
    <row r="17">
      <c r="A17" s="8" t="inlineStr">
        <is>
          <t>defense</t>
        </is>
      </c>
      <c r="B17" s="8" t="inlineStr">
        <is>
          <t>🛡️</t>
        </is>
      </c>
      <c r="C17" s="8" t="inlineStr">
        <is>
          <t>불멸의 의지</t>
        </is>
      </c>
      <c r="D17" s="8" t="inlineStr">
        <is>
          <t>def_master</t>
        </is>
      </c>
      <c r="E17" s="8" t="n">
        <v>1</v>
      </c>
      <c r="F17" s="8" t="inlineStr">
        <is>
          <t>DEF +30 / HP +300</t>
        </is>
      </c>
      <c r="G17" s="8" t="n">
        <v>25</v>
      </c>
    </row>
    <row r="18">
      <c r="A18" s="7" t="inlineStr">
        <is>
          <t>utility</t>
        </is>
      </c>
      <c r="B18" s="7" t="inlineStr">
        <is>
          <t>✨</t>
        </is>
      </c>
      <c r="C18" s="7" t="inlineStr">
        <is>
          <t>경험치 보너스</t>
        </is>
      </c>
      <c r="D18" s="7" t="inlineStr">
        <is>
          <t>util_exp</t>
        </is>
      </c>
      <c r="E18" s="7" t="n">
        <v>5</v>
      </c>
      <c r="F18" s="7" t="inlineStr">
        <is>
          <t>EXP +3% / 랭크</t>
        </is>
      </c>
      <c r="G18" s="7" t="n">
        <v>0</v>
      </c>
    </row>
    <row r="19">
      <c r="A19" s="8" t="inlineStr">
        <is>
          <t>utility</t>
        </is>
      </c>
      <c r="B19" s="8" t="inlineStr">
        <is>
          <t>✨</t>
        </is>
      </c>
      <c r="C19" s="8" t="inlineStr">
        <is>
          <t>골드 보너스</t>
        </is>
      </c>
      <c r="D19" s="8" t="inlineStr">
        <is>
          <t>util_gold</t>
        </is>
      </c>
      <c r="E19" s="8" t="n">
        <v>5</v>
      </c>
      <c r="F19" s="8" t="inlineStr">
        <is>
          <t>GOLD +3% / 랭크</t>
        </is>
      </c>
      <c r="G19" s="8" t="n">
        <v>0</v>
      </c>
    </row>
    <row r="20">
      <c r="A20" s="7" t="inlineStr">
        <is>
          <t>utility</t>
        </is>
      </c>
      <c r="B20" s="7" t="inlineStr">
        <is>
          <t>✨</t>
        </is>
      </c>
      <c r="C20" s="7" t="inlineStr">
        <is>
          <t>드롭률</t>
        </is>
      </c>
      <c r="D20" s="7" t="inlineStr">
        <is>
          <t>util_drop</t>
        </is>
      </c>
      <c r="E20" s="7" t="n">
        <v>3</v>
      </c>
      <c r="F20" s="7" t="inlineStr">
        <is>
          <t>드롭 +3% / 랭크</t>
        </is>
      </c>
      <c r="G20" s="7" t="n">
        <v>5</v>
      </c>
    </row>
    <row r="21">
      <c r="A21" s="8" t="inlineStr">
        <is>
          <t>utility</t>
        </is>
      </c>
      <c r="B21" s="8" t="inlineStr">
        <is>
          <t>✨</t>
        </is>
      </c>
      <c r="C21" s="8" t="inlineStr">
        <is>
          <t>이동 속도</t>
        </is>
      </c>
      <c r="D21" s="8" t="inlineStr">
        <is>
          <t>util_speed</t>
        </is>
      </c>
      <c r="E21" s="8" t="n">
        <v>3</v>
      </c>
      <c r="F21" s="8" t="inlineStr">
        <is>
          <t>SPD +1 / 랭크</t>
        </is>
      </c>
      <c r="G21" s="8" t="n">
        <v>10</v>
      </c>
    </row>
    <row r="22">
      <c r="A22" s="7" t="inlineStr">
        <is>
          <t>utility</t>
        </is>
      </c>
      <c r="B22" s="7" t="inlineStr">
        <is>
          <t>✨</t>
        </is>
      </c>
      <c r="C22" s="7" t="inlineStr">
        <is>
          <t>행운</t>
        </is>
      </c>
      <c r="D22" s="7" t="inlineStr">
        <is>
          <t>util_lucky</t>
        </is>
      </c>
      <c r="E22" s="7" t="n">
        <v>3</v>
      </c>
      <c r="F22" s="7" t="inlineStr">
        <is>
          <t>행운 확률 +2% / 랭크</t>
        </is>
      </c>
      <c r="G22" s="7" t="n">
        <v>15</v>
      </c>
    </row>
    <row r="23">
      <c r="A23" s="8" t="inlineStr">
        <is>
          <t>utility</t>
        </is>
      </c>
      <c r="B23" s="8" t="inlineStr">
        <is>
          <t>✨</t>
        </is>
      </c>
      <c r="C23" s="8" t="inlineStr">
        <is>
          <t>정찰</t>
        </is>
      </c>
      <c r="D23" s="8" t="inlineStr">
        <is>
          <t>util_scout</t>
        </is>
      </c>
      <c r="E23" s="8" t="n">
        <v>1</v>
      </c>
      <c r="F23" s="8" t="inlineStr">
        <is>
          <t>시야 +5</t>
        </is>
      </c>
      <c r="G23" s="8" t="n">
        <v>20</v>
      </c>
    </row>
    <row r="24">
      <c r="A24" s="7" t="inlineStr">
        <is>
          <t>utility</t>
        </is>
      </c>
      <c r="B24" s="7" t="inlineStr">
        <is>
          <t>✨</t>
        </is>
      </c>
      <c r="C24" s="7" t="inlineStr">
        <is>
          <t>운명의 인도자</t>
        </is>
      </c>
      <c r="D24" s="7" t="inlineStr">
        <is>
          <t>util_master</t>
        </is>
      </c>
      <c r="E24" s="7" t="n">
        <v>1</v>
      </c>
      <c r="F24" s="7" t="inlineStr">
        <is>
          <t>EXP/GOLD +20% / 드롭 +10%</t>
        </is>
      </c>
      <c r="G24" s="7" t="n">
        <v>25</v>
      </c>
    </row>
    <row r="27">
      <c r="A27" s="9" t="inlineStr">
        <is>
          <t>특성 트리 시스템</t>
        </is>
      </c>
    </row>
    <row r="28">
      <c r="A28" s="3" t="inlineStr">
        <is>
          <t>포인트 획득</t>
        </is>
      </c>
      <c r="B28" s="3" t="inlineStr">
        <is>
          <t>레벨업 시 +1 (Lv.50 만렙 = 50 포인트)</t>
        </is>
      </c>
    </row>
    <row r="29">
      <c r="A29" s="3" t="inlineStr">
        <is>
          <t>게이트</t>
        </is>
      </c>
      <c r="B29" s="3" t="inlineStr">
        <is>
          <t>상위 노드는 해당 브랜치에 5/10/15/20/25 투자 후 해금</t>
        </is>
      </c>
    </row>
    <row r="30">
      <c r="A30" s="3" t="inlineStr">
        <is>
          <t>리셋 비용</t>
        </is>
      </c>
      <c r="B30" s="3" t="inlineStr">
        <is>
          <t>100 다이아 → 모든 포인트 환원</t>
        </is>
      </c>
    </row>
    <row r="31">
      <c r="A31" s="3" t="inlineStr">
        <is>
          <t>최대 효과</t>
        </is>
      </c>
      <c r="B31" s="3" t="inlineStr">
        <is>
          <t>한 브랜치 풀투자 시 마스터 노드 해금 가능</t>
        </is>
      </c>
    </row>
    <row r="32">
      <c r="A32" s="3" t="inlineStr">
        <is>
          <t>모듈</t>
        </is>
      </c>
      <c r="B32" s="3" t="inlineStr">
        <is>
          <t>game/skill_tree.js (신규 파일)</t>
        </is>
      </c>
    </row>
    <row r="33">
      <c r="A33" s="3" t="inlineStr">
        <is>
          <t>통합</t>
        </is>
      </c>
      <c r="B33" s="3" t="inlineStr">
        <is>
          <t>레벨업 시 awardPoints() 자동 호출 / 소켓 talent_status / spend / reset</t>
        </is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2" customWidth="1" min="4" max="4"/>
  </cols>
  <sheetData>
    <row r="1">
      <c r="A1" s="5" t="inlineStr">
        <is>
          <t>우편함 시스템 (v1.34 신규 모듈 game/mail.js)</t>
        </is>
      </c>
    </row>
    <row r="3">
      <c r="A3" s="6" t="inlineStr">
        <is>
          <t>종류</t>
        </is>
      </c>
      <c r="B3" s="6" t="inlineStr">
        <is>
          <t>용도</t>
        </is>
      </c>
      <c r="C3" s="6" t="inlineStr">
        <is>
          <t>조건</t>
        </is>
      </c>
      <c r="D3" s="6" t="inlineStr">
        <is>
          <t>만료</t>
        </is>
      </c>
    </row>
    <row r="4">
      <c r="A4" s="7" t="inlineStr">
        <is>
          <t>시스템 메일</t>
        </is>
      </c>
      <c r="B4" s="7" t="inlineStr">
        <is>
          <t>이벤트 보상/공지/GM 메시지</t>
        </is>
      </c>
      <c r="C4" s="7" t="inlineStr">
        <is>
          <t>시스템 자동 발송</t>
        </is>
      </c>
      <c r="D4" s="7" t="inlineStr">
        <is>
          <t>14일</t>
        </is>
      </c>
    </row>
    <row r="5">
      <c r="A5" s="8" t="inlineStr">
        <is>
          <t>선물 메일</t>
        </is>
      </c>
      <c r="B5" s="8" t="inlineStr">
        <is>
          <t>플레이어 → 플레이어</t>
        </is>
      </c>
      <c r="C5" s="8" t="inlineStr">
        <is>
          <t>로그인 중인 수신자</t>
        </is>
      </c>
      <c r="D5" s="8" t="inlineStr">
        <is>
          <t>7일</t>
        </is>
      </c>
    </row>
    <row r="6">
      <c r="A6" s="7" t="inlineStr">
        <is>
          <t>일반 메일</t>
        </is>
      </c>
      <c r="B6" s="7" t="inlineStr">
        <is>
          <t>-</t>
        </is>
      </c>
      <c r="C6" s="7" t="inlineStr">
        <is>
          <t>범용</t>
        </is>
      </c>
      <c r="D6" s="7" t="inlineStr">
        <is>
          <t>30일 (기본)</t>
        </is>
      </c>
    </row>
    <row r="9">
      <c r="A9" s="9" t="inlineStr">
        <is>
          <t>첨부 가능 항목</t>
        </is>
      </c>
    </row>
    <row r="10">
      <c r="A10" s="10" t="inlineStr">
        <is>
          <t>항목</t>
        </is>
      </c>
      <c r="B10" s="10" t="inlineStr">
        <is>
          <t>검증</t>
        </is>
      </c>
      <c r="C10" s="10" t="inlineStr">
        <is>
          <t>특수</t>
        </is>
      </c>
    </row>
    <row r="11">
      <c r="A11" s="3" t="inlineStr">
        <is>
          <t>gold</t>
        </is>
      </c>
      <c r="B11" s="3" t="inlineStr">
        <is>
          <t>발신자 골드 검증</t>
        </is>
      </c>
      <c r="C11" s="3" t="inlineStr">
        <is>
          <t>선물 발송 시 2% 수수료</t>
        </is>
      </c>
    </row>
    <row r="12">
      <c r="A12" s="3" t="inlineStr">
        <is>
          <t>diamonds</t>
        </is>
      </c>
      <c r="B12" s="3" t="inlineStr">
        <is>
          <t>발신자 다이아 검증</t>
        </is>
      </c>
      <c r="C12" s="3" t="inlineStr">
        <is>
          <t>-</t>
        </is>
      </c>
    </row>
    <row r="13">
      <c r="A13" s="3" t="inlineStr">
        <is>
          <t>items</t>
        </is>
      </c>
      <c r="B13" s="3" t="inlineStr">
        <is>
          <t>발신자 인벤토리 검증</t>
        </is>
      </c>
      <c r="C13" s="3" t="inlineStr">
        <is>
          <t>itemId → count 매핑</t>
        </is>
      </c>
    </row>
    <row r="16">
      <c r="A16" s="9" t="inlineStr">
        <is>
          <t>제한 / 룰</t>
        </is>
      </c>
    </row>
    <row r="17">
      <c r="A17" s="3" t="inlineStr">
        <is>
          <t>우편함 최대</t>
        </is>
      </c>
      <c r="B17" s="3" t="inlineStr">
        <is>
          <t>100통 (가득 시 수신 거부)</t>
        </is>
      </c>
    </row>
    <row r="18">
      <c r="A18" s="3" t="inlineStr">
        <is>
          <t>일일 선물 한도</t>
        </is>
      </c>
      <c r="B18" s="3" t="inlineStr">
        <is>
          <t>플레이어당 10회 / 일</t>
        </is>
      </c>
    </row>
    <row r="19">
      <c r="A19" s="3" t="inlineStr">
        <is>
          <t>선물 수수료</t>
        </is>
      </c>
      <c r="B19" s="3" t="inlineStr">
        <is>
          <t>골드 첨부의 2%</t>
        </is>
      </c>
    </row>
    <row r="20">
      <c r="A20" s="3" t="inlineStr">
        <is>
          <t>첨부 미수령 삭제</t>
        </is>
      </c>
      <c r="B20" s="3" t="inlineStr">
        <is>
          <t>거부 (수령 후에만 삭제 가능)</t>
        </is>
      </c>
    </row>
    <row r="21">
      <c r="A21" s="3" t="inlineStr">
        <is>
          <t>만료 처리</t>
        </is>
      </c>
      <c r="B21" s="3" t="inlineStr">
        <is>
          <t>조회 시 자동 삭제</t>
        </is>
      </c>
    </row>
    <row r="22">
      <c r="A22" s="3" t="inlineStr">
        <is>
          <t>기존 시스템</t>
        </is>
      </c>
      <c r="B22" s="3" t="inlineStr">
        <is>
          <t>인라인 pendingMails 보완 (정식 모듈)</t>
        </is>
      </c>
    </row>
  </sheetData>
  <mergeCells count="1">
    <mergeCell ref="A1:D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28" customWidth="1" min="4" max="4"/>
    <col width="8" customWidth="1" min="5" max="5"/>
    <col width="18" customWidth="1" min="6" max="6"/>
    <col width="32" customWidth="1" min="7" max="7"/>
  </cols>
  <sheetData>
    <row r="1">
      <c r="A1" s="5" t="inlineStr">
        <is>
          <t>도감 (5종 × 4단계 = 20 마일스톤 — v1.33 신규 모듈 game/codex.js)</t>
        </is>
      </c>
    </row>
    <row r="3">
      <c r="A3" s="6" t="inlineStr">
        <is>
          <t>카테고리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수집 방법</t>
        </is>
      </c>
      <c r="E3" s="6" t="inlineStr">
        <is>
          <t>요구</t>
        </is>
      </c>
      <c r="F3" s="6" t="inlineStr">
        <is>
          <t>마일스톤</t>
        </is>
      </c>
      <c r="G3" s="6" t="inlineStr">
        <is>
          <t>보상 (영구)</t>
        </is>
      </c>
    </row>
    <row r="4">
      <c r="A4" s="7" t="inlineStr">
        <is>
          <t>monster</t>
        </is>
      </c>
      <c r="B4" s="7" t="inlineStr">
        <is>
          <t>몬스터 도감</t>
        </is>
      </c>
      <c r="C4" s="7" t="inlineStr">
        <is>
          <t>🐲</t>
        </is>
      </c>
      <c r="D4" s="7" t="inlineStr">
        <is>
          <t>처치/테이밍 자동</t>
        </is>
      </c>
      <c r="E4" s="7" t="n">
        <v>10</v>
      </c>
      <c r="F4" s="7" t="inlineStr">
        <is>
          <t>초보 사냥꾼</t>
        </is>
      </c>
      <c r="G4" s="7" t="inlineStr">
        <is>
          <t>ATK +2</t>
        </is>
      </c>
    </row>
    <row r="5">
      <c r="A5" s="8" t="inlineStr">
        <is>
          <t>monster</t>
        </is>
      </c>
      <c r="B5" s="8" t="inlineStr">
        <is>
          <t>-</t>
        </is>
      </c>
      <c r="C5" s="8" t="inlineStr">
        <is>
          <t>-</t>
        </is>
      </c>
      <c r="D5" s="8" t="inlineStr">
        <is>
          <t>-</t>
        </is>
      </c>
      <c r="E5" s="8" t="n">
        <v>30</v>
      </c>
      <c r="F5" s="8" t="inlineStr">
        <is>
          <t>숙련 사냥꾼</t>
        </is>
      </c>
      <c r="G5" s="8" t="inlineStr">
        <is>
          <t>ATK +5 / DEF +3</t>
        </is>
      </c>
    </row>
    <row r="6">
      <c r="A6" s="7" t="inlineStr">
        <is>
          <t>monster</t>
        </is>
      </c>
      <c r="B6" s="7" t="inlineStr">
        <is>
          <t>-</t>
        </is>
      </c>
      <c r="C6" s="7" t="inlineStr">
        <is>
          <t>-</t>
        </is>
      </c>
      <c r="D6" s="7" t="inlineStr">
        <is>
          <t>-</t>
        </is>
      </c>
      <c r="E6" s="7" t="n">
        <v>60</v>
      </c>
      <c r="F6" s="7" t="inlineStr">
        <is>
          <t>베테랑 헌터</t>
        </is>
      </c>
      <c r="G6" s="7" t="inlineStr">
        <is>
          <t>ATK +10 / DEF +5 / HP +50</t>
        </is>
      </c>
    </row>
    <row r="7">
      <c r="A7" s="8" t="inlineStr">
        <is>
          <t>monster</t>
        </is>
      </c>
      <c r="B7" s="8" t="inlineStr">
        <is>
          <t>-</t>
        </is>
      </c>
      <c r="C7" s="8" t="inlineStr">
        <is>
          <t>-</t>
        </is>
      </c>
      <c r="D7" s="8" t="inlineStr">
        <is>
          <t>-</t>
        </is>
      </c>
      <c r="E7" s="8" t="n">
        <v>100</v>
      </c>
      <c r="F7" s="8" t="inlineStr">
        <is>
          <t>전설의 헌터</t>
        </is>
      </c>
      <c r="G7" s="8" t="inlineStr">
        <is>
          <t>ATK +20 / DEF +10 / HP +150 / 크리 +5%</t>
        </is>
      </c>
    </row>
    <row r="8">
      <c r="A8" s="7" t="inlineStr">
        <is>
          <t>zone</t>
        </is>
      </c>
      <c r="B8" s="7" t="inlineStr">
        <is>
          <t>지역 도감</t>
        </is>
      </c>
      <c r="C8" s="7" t="inlineStr">
        <is>
          <t>🗺️</t>
        </is>
      </c>
      <c r="D8" s="7" t="inlineStr">
        <is>
          <t>방문 자동 (51개 존)</t>
        </is>
      </c>
      <c r="E8" s="7" t="n">
        <v>10</v>
      </c>
      <c r="F8" s="7" t="inlineStr">
        <is>
          <t>여행자</t>
        </is>
      </c>
      <c r="G8" s="7" t="inlineStr">
        <is>
          <t>SPD +1</t>
        </is>
      </c>
    </row>
    <row r="9">
      <c r="A9" s="8" t="inlineStr">
        <is>
          <t>zone</t>
        </is>
      </c>
      <c r="B9" s="8" t="inlineStr">
        <is>
          <t>-</t>
        </is>
      </c>
      <c r="C9" s="8" t="inlineStr">
        <is>
          <t>-</t>
        </is>
      </c>
      <c r="D9" s="8" t="inlineStr">
        <is>
          <t>-</t>
        </is>
      </c>
      <c r="E9" s="8" t="n">
        <v>25</v>
      </c>
      <c r="F9" s="8" t="inlineStr">
        <is>
          <t>탐험가</t>
        </is>
      </c>
      <c r="G9" s="8" t="inlineStr">
        <is>
          <t>SPD +2 / EXP +5%</t>
        </is>
      </c>
    </row>
    <row r="10">
      <c r="A10" s="7" t="inlineStr">
        <is>
          <t>zone</t>
        </is>
      </c>
      <c r="B10" s="7" t="inlineStr">
        <is>
          <t>-</t>
        </is>
      </c>
      <c r="C10" s="7" t="inlineStr">
        <is>
          <t>-</t>
        </is>
      </c>
      <c r="D10" s="7" t="inlineStr">
        <is>
          <t>-</t>
        </is>
      </c>
      <c r="E10" s="7" t="n">
        <v>40</v>
      </c>
      <c r="F10" s="7" t="inlineStr">
        <is>
          <t>세계 여행자</t>
        </is>
      </c>
      <c r="G10" s="7" t="inlineStr">
        <is>
          <t>SPD +3 / EXP +10%</t>
        </is>
      </c>
    </row>
    <row r="11">
      <c r="A11" s="8" t="inlineStr">
        <is>
          <t>zone</t>
        </is>
      </c>
      <c r="B11" s="8" t="inlineStr">
        <is>
          <t>-</t>
        </is>
      </c>
      <c r="C11" s="8" t="inlineStr">
        <is>
          <t>-</t>
        </is>
      </c>
      <c r="D11" s="8" t="inlineStr">
        <is>
          <t>-</t>
        </is>
      </c>
      <c r="E11" s="8" t="n">
        <v>51</v>
      </c>
      <c r="F11" s="8" t="inlineStr">
        <is>
          <t>지도 정복자</t>
        </is>
      </c>
      <c r="G11" s="8" t="inlineStr">
        <is>
          <t>SPD +5 / EXP +15% / 드롭 +10%</t>
        </is>
      </c>
    </row>
    <row r="12">
      <c r="A12" s="7" t="inlineStr">
        <is>
          <t>equip</t>
        </is>
      </c>
      <c r="B12" s="7" t="inlineStr">
        <is>
          <t>장비 도감</t>
        </is>
      </c>
      <c r="C12" s="7" t="inlineStr">
        <is>
          <t>⚔️</t>
        </is>
      </c>
      <c r="D12" s="7" t="inlineStr">
        <is>
          <t>획득 종류 자동</t>
        </is>
      </c>
      <c r="E12" s="7" t="n">
        <v>10</v>
      </c>
      <c r="F12" s="7" t="inlineStr">
        <is>
          <t>초보 수집가</t>
        </is>
      </c>
      <c r="G12" s="7" t="inlineStr">
        <is>
          <t>DEF +3</t>
        </is>
      </c>
    </row>
    <row r="13">
      <c r="A13" s="8" t="inlineStr">
        <is>
          <t>equip</t>
        </is>
      </c>
      <c r="B13" s="8" t="inlineStr">
        <is>
          <t>-</t>
        </is>
      </c>
      <c r="C13" s="8" t="inlineStr">
        <is>
          <t>-</t>
        </is>
      </c>
      <c r="D13" s="8" t="inlineStr">
        <is>
          <t>-</t>
        </is>
      </c>
      <c r="E13" s="8" t="n">
        <v>20</v>
      </c>
      <c r="F13" s="8" t="inlineStr">
        <is>
          <t>장비 수집가</t>
        </is>
      </c>
      <c r="G13" s="8" t="inlineStr">
        <is>
          <t>DEF +8 / HP +50</t>
        </is>
      </c>
    </row>
    <row r="14">
      <c r="A14" s="7" t="inlineStr">
        <is>
          <t>equip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n">
        <v>30</v>
      </c>
      <c r="F14" s="7" t="inlineStr">
        <is>
          <t>장비 마니아</t>
        </is>
      </c>
      <c r="G14" s="7" t="inlineStr">
        <is>
          <t>DEF +15 / HP +150 / ATK +5</t>
        </is>
      </c>
    </row>
    <row r="15">
      <c r="A15" s="8" t="inlineStr">
        <is>
          <t>equip</t>
        </is>
      </c>
      <c r="B15" s="8" t="inlineStr">
        <is>
          <t>-</t>
        </is>
      </c>
      <c r="C15" s="8" t="inlineStr">
        <is>
          <t>-</t>
        </is>
      </c>
      <c r="D15" s="8" t="inlineStr">
        <is>
          <t>-</t>
        </is>
      </c>
      <c r="E15" s="8" t="n">
        <v>40</v>
      </c>
      <c r="F15" s="8" t="inlineStr">
        <is>
          <t>아머리 마스터</t>
        </is>
      </c>
      <c r="G15" s="8" t="inlineStr">
        <is>
          <t>DEF +25 / HP +300 / ATK +12 / 크리 +5%</t>
        </is>
      </c>
    </row>
    <row r="16">
      <c r="A16" s="7" t="inlineStr">
        <is>
          <t>fish</t>
        </is>
      </c>
      <c r="B16" s="7" t="inlineStr">
        <is>
          <t>어종 도감</t>
        </is>
      </c>
      <c r="C16" s="7" t="inlineStr">
        <is>
          <t>🐟</t>
        </is>
      </c>
      <c r="D16" s="7" t="inlineStr">
        <is>
          <t>낚시 자동 (11종, v1.24 연동)</t>
        </is>
      </c>
      <c r="E16" s="7" t="n">
        <v>3</v>
      </c>
      <c r="F16" s="7" t="inlineStr">
        <is>
          <t>초보 낚시꾼</t>
        </is>
      </c>
      <c r="G16" s="7" t="inlineStr">
        <is>
          <t>GOLD +3%</t>
        </is>
      </c>
    </row>
    <row r="17">
      <c r="A17" s="8" t="inlineStr">
        <is>
          <t>fish</t>
        </is>
      </c>
      <c r="B17" s="8" t="inlineStr">
        <is>
          <t>-</t>
        </is>
      </c>
      <c r="C17" s="8" t="inlineStr">
        <is>
          <t>-</t>
        </is>
      </c>
      <c r="D17" s="8" t="inlineStr">
        <is>
          <t>-</t>
        </is>
      </c>
      <c r="E17" s="8" t="n">
        <v>6</v>
      </c>
      <c r="F17" s="8" t="inlineStr">
        <is>
          <t>낚시 애호가</t>
        </is>
      </c>
      <c r="G17" s="8" t="inlineStr">
        <is>
          <t>GOLD +5% / 드롭 +5%</t>
        </is>
      </c>
    </row>
    <row r="18">
      <c r="A18" s="7" t="inlineStr">
        <is>
          <t>fish</t>
        </is>
      </c>
      <c r="B18" s="7" t="inlineStr">
        <is>
          <t>-</t>
        </is>
      </c>
      <c r="C18" s="7" t="inlineStr">
        <is>
          <t>-</t>
        </is>
      </c>
      <c r="D18" s="7" t="inlineStr">
        <is>
          <t>-</t>
        </is>
      </c>
      <c r="E18" s="7" t="n">
        <v>9</v>
      </c>
      <c r="F18" s="7" t="inlineStr">
        <is>
          <t>낚시 달인</t>
        </is>
      </c>
      <c r="G18" s="7" t="inlineStr">
        <is>
          <t>GOLD +10% / 드롭 +10%</t>
        </is>
      </c>
    </row>
    <row r="19">
      <c r="A19" s="8" t="inlineStr">
        <is>
          <t>fish</t>
        </is>
      </c>
      <c r="B19" s="8" t="inlineStr">
        <is>
          <t>-</t>
        </is>
      </c>
      <c r="C19" s="8" t="inlineStr">
        <is>
          <t>-</t>
        </is>
      </c>
      <c r="D19" s="8" t="inlineStr">
        <is>
          <t>-</t>
        </is>
      </c>
      <c r="E19" s="8" t="n">
        <v>11</v>
      </c>
      <c r="F19" s="8" t="inlineStr">
        <is>
          <t>바다의 친구</t>
        </is>
      </c>
      <c r="G19" s="8" t="inlineStr">
        <is>
          <t>GOLD +15% / 드롭 +15% / EXP +10%</t>
        </is>
      </c>
    </row>
    <row r="20">
      <c r="A20" s="7" t="inlineStr">
        <is>
          <t>pet</t>
        </is>
      </c>
      <c r="B20" s="7" t="inlineStr">
        <is>
          <t>펫 도감</t>
        </is>
      </c>
      <c r="C20" s="7" t="inlineStr">
        <is>
          <t>🐾</t>
        </is>
      </c>
      <c r="D20" s="7" t="inlineStr">
        <is>
          <t>보유 종류 자동 (진화형 별도)</t>
        </is>
      </c>
      <c r="E20" s="7" t="n">
        <v>3</v>
      </c>
      <c r="F20" s="7" t="inlineStr">
        <is>
          <t>동물 친구</t>
        </is>
      </c>
      <c r="G20" s="7" t="inlineStr">
        <is>
          <t>HP +50</t>
        </is>
      </c>
    </row>
    <row r="21">
      <c r="A21" s="8" t="inlineStr">
        <is>
          <t>pet</t>
        </is>
      </c>
      <c r="B21" s="8" t="inlineStr">
        <is>
          <t>-</t>
        </is>
      </c>
      <c r="C21" s="8" t="inlineStr">
        <is>
          <t>-</t>
        </is>
      </c>
      <c r="D21" s="8" t="inlineStr">
        <is>
          <t>-</t>
        </is>
      </c>
      <c r="E21" s="8" t="n">
        <v>5</v>
      </c>
      <c r="F21" s="8" t="inlineStr">
        <is>
          <t>조련사</t>
        </is>
      </c>
      <c r="G21" s="8" t="inlineStr">
        <is>
          <t>HP +100 / EXP +5%</t>
        </is>
      </c>
    </row>
    <row r="22">
      <c r="A22" s="7" t="inlineStr">
        <is>
          <t>pet</t>
        </is>
      </c>
      <c r="B22" s="7" t="inlineStr">
        <is>
          <t>-</t>
        </is>
      </c>
      <c r="C22" s="7" t="inlineStr">
        <is>
          <t>-</t>
        </is>
      </c>
      <c r="D22" s="7" t="inlineStr">
        <is>
          <t>-</t>
        </is>
      </c>
      <c r="E22" s="7" t="n">
        <v>7</v>
      </c>
      <c r="F22" s="7" t="inlineStr">
        <is>
          <t>펫 마스터</t>
        </is>
      </c>
      <c r="G22" s="7" t="inlineStr">
        <is>
          <t>HP +200 / EXP +10% / ATK +5</t>
        </is>
      </c>
    </row>
    <row r="23">
      <c r="A23" s="8" t="inlineStr">
        <is>
          <t>pet</t>
        </is>
      </c>
      <c r="B23" s="8" t="inlineStr">
        <is>
          <t>-</t>
        </is>
      </c>
      <c r="C23" s="8" t="inlineStr">
        <is>
          <t>-</t>
        </is>
      </c>
      <c r="D23" s="8" t="inlineStr">
        <is>
          <t>-</t>
        </is>
      </c>
      <c r="E23" s="8" t="n">
        <v>9</v>
      </c>
      <c r="F23" s="8" t="inlineStr">
        <is>
          <t>신화의 동반자</t>
        </is>
      </c>
      <c r="G23" s="8" t="inlineStr">
        <is>
          <t>HP +400 / EXP +15% / ATK +12 / 크리 +3%</t>
        </is>
      </c>
    </row>
    <row r="26">
      <c r="A26" s="9" t="inlineStr">
        <is>
          <t>도감 시스템</t>
        </is>
      </c>
    </row>
    <row r="27">
      <c r="A27" s="3" t="inlineStr">
        <is>
          <t>자동 기록</t>
        </is>
      </c>
      <c r="B27" s="3" t="inlineStr">
        <is>
          <t>지역(explore_count) / 어종(낚시 성공) / 기타는 클라이언트 보고</t>
        </is>
      </c>
    </row>
    <row r="28">
      <c r="A28" s="3" t="inlineStr">
        <is>
          <t>중복 방지</t>
        </is>
      </c>
      <c r="B28" s="3" t="inlineStr">
        <is>
          <t>같은 ID는 1회만 카운트</t>
        </is>
      </c>
    </row>
    <row r="29">
      <c r="A29" s="3" t="inlineStr">
        <is>
          <t>영구 보너스</t>
        </is>
      </c>
      <c r="B29" s="3" t="inlineStr">
        <is>
          <t>codexBonuses 객체에 누적 저장 (전직/환생 보너스와 별도)</t>
        </is>
      </c>
    </row>
    <row r="30">
      <c r="A30" s="3" t="inlineStr">
        <is>
          <t>마일스톤 달성</t>
        </is>
      </c>
      <c r="B30" s="3" t="inlineStr">
        <is>
          <t>전 서버 알림 + codex_milestone 이벤트 송출</t>
        </is>
      </c>
    </row>
    <row r="31">
      <c r="A31" s="3" t="inlineStr">
        <is>
          <t>모듈</t>
        </is>
      </c>
      <c r="B31" s="3" t="inlineStr">
        <is>
          <t>game/codex.js (신규 파일)</t>
        </is>
      </c>
    </row>
    <row r="32">
      <c r="A32" s="3" t="inlineStr">
        <is>
          <t>소켓</t>
        </is>
      </c>
      <c r="B32" s="3" t="inlineStr">
        <is>
          <t>codex_status / codex_report</t>
        </is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0" customWidth="1" min="4" max="4"/>
    <col width="18" customWidth="1" min="5" max="5"/>
  </cols>
  <sheetData>
    <row r="1">
      <c r="A1" s="5" t="inlineStr">
        <is>
          <t>일일 상점 풀 (15종 — v1.32 신규 모듈 game/dailyshop.js)</t>
        </is>
      </c>
    </row>
    <row r="3">
      <c r="A3" s="6" t="inlineStr">
        <is>
          <t>ID</t>
        </is>
      </c>
      <c r="B3" s="6" t="inlineStr">
        <is>
          <t>이름</t>
        </is>
      </c>
      <c r="C3" s="6" t="inlineStr">
        <is>
          <t>분류</t>
        </is>
      </c>
      <c r="D3" s="6" t="inlineStr">
        <is>
          <t>기본가</t>
        </is>
      </c>
      <c r="E3" s="6" t="inlineStr">
        <is>
          <t>비고</t>
        </is>
      </c>
    </row>
    <row r="4">
      <c r="A4" s="7" t="inlineStr">
        <is>
          <t>pot_hp_l</t>
        </is>
      </c>
      <c r="B4" s="7" t="inlineStr">
        <is>
          <t>상급 HP 물약</t>
        </is>
      </c>
      <c r="C4" s="7" t="inlineStr">
        <is>
          <t>consumable</t>
        </is>
      </c>
      <c r="D4" s="7" t="inlineStr">
        <is>
          <t>300G</t>
        </is>
      </c>
      <c r="E4" s="7" t="inlineStr">
        <is>
          <t>매일 6슬롯 풀</t>
        </is>
      </c>
    </row>
    <row r="5">
      <c r="A5" s="8" t="inlineStr">
        <is>
          <t>pot_atk</t>
        </is>
      </c>
      <c r="B5" s="8" t="inlineStr">
        <is>
          <t>공격 물약</t>
        </is>
      </c>
      <c r="C5" s="8" t="inlineStr">
        <is>
          <t>consumable</t>
        </is>
      </c>
      <c r="D5" s="8" t="inlineStr">
        <is>
          <t>500G</t>
        </is>
      </c>
      <c r="E5" s="8" t="inlineStr">
        <is>
          <t>-</t>
        </is>
      </c>
    </row>
    <row r="6">
      <c r="A6" s="7" t="inlineStr">
        <is>
          <t>mat_magic</t>
        </is>
      </c>
      <c r="B6" s="7" t="inlineStr">
        <is>
          <t>마법재료</t>
        </is>
      </c>
      <c r="C6" s="7" t="inlineStr">
        <is>
          <t>mat</t>
        </is>
      </c>
      <c r="D6" s="7" t="inlineStr">
        <is>
          <t>200G</t>
        </is>
      </c>
      <c r="E6" s="7" t="inlineStr">
        <is>
          <t>-</t>
        </is>
      </c>
    </row>
    <row r="7">
      <c r="A7" s="8" t="inlineStr">
        <is>
          <t>mat_soul</t>
        </is>
      </c>
      <c r="B7" s="8" t="inlineStr">
        <is>
          <t>영혼석</t>
        </is>
      </c>
      <c r="C7" s="8" t="inlineStr">
        <is>
          <t>mat</t>
        </is>
      </c>
      <c r="D7" s="8" t="inlineStr">
        <is>
          <t>600G</t>
        </is>
      </c>
      <c r="E7" s="8" t="inlineStr">
        <is>
          <t>-</t>
        </is>
      </c>
    </row>
    <row r="8">
      <c r="A8" s="7" t="inlineStr">
        <is>
          <t>mat_dragon</t>
        </is>
      </c>
      <c r="B8" s="7" t="inlineStr">
        <is>
          <t>용재료</t>
        </is>
      </c>
      <c r="C8" s="7" t="inlineStr">
        <is>
          <t>mat</t>
        </is>
      </c>
      <c r="D8" s="7" t="inlineStr">
        <is>
          <t>2500G</t>
        </is>
      </c>
      <c r="E8" s="7" t="inlineStr">
        <is>
          <t>-</t>
        </is>
      </c>
    </row>
    <row r="9">
      <c r="A9" s="8" t="inlineStr">
        <is>
          <t>protect_scroll</t>
        </is>
      </c>
      <c r="B9" s="8" t="inlineStr">
        <is>
          <t>보호 주문서</t>
        </is>
      </c>
      <c r="C9" s="8" t="inlineStr">
        <is>
          <t>consumable</t>
        </is>
      </c>
      <c r="D9" s="8" t="inlineStr">
        <is>
          <t>80💎</t>
        </is>
      </c>
      <c r="E9" s="8" t="inlineStr">
        <is>
          <t>-</t>
        </is>
      </c>
    </row>
    <row r="10">
      <c r="A10" s="7" t="inlineStr">
        <is>
          <t>bless_scroll</t>
        </is>
      </c>
      <c r="B10" s="7" t="inlineStr">
        <is>
          <t>축복 주문서</t>
        </is>
      </c>
      <c r="C10" s="7" t="inlineStr">
        <is>
          <t>consumable</t>
        </is>
      </c>
      <c r="D10" s="7" t="inlineStr">
        <is>
          <t>40💎</t>
        </is>
      </c>
      <c r="E10" s="7" t="inlineStr">
        <is>
          <t>-</t>
        </is>
      </c>
    </row>
    <row r="11">
      <c r="A11" s="8" t="inlineStr">
        <is>
          <t>rare_box</t>
        </is>
      </c>
      <c r="B11" s="8" t="inlineStr">
        <is>
          <t>희귀 상자</t>
        </is>
      </c>
      <c r="C11" s="8" t="inlineStr">
        <is>
          <t>box</t>
        </is>
      </c>
      <c r="D11" s="8" t="inlineStr">
        <is>
          <t>60💎</t>
        </is>
      </c>
      <c r="E11" s="8" t="inlineStr">
        <is>
          <t>-</t>
        </is>
      </c>
    </row>
    <row r="12">
      <c r="A12" s="7" t="inlineStr">
        <is>
          <t>mega_exp</t>
        </is>
      </c>
      <c r="B12" s="7" t="inlineStr">
        <is>
          <t>메가 EXP 부스터</t>
        </is>
      </c>
      <c r="C12" s="7" t="inlineStr">
        <is>
          <t>booster</t>
        </is>
      </c>
      <c r="D12" s="7" t="inlineStr">
        <is>
          <t>100💎</t>
        </is>
      </c>
      <c r="E12" s="7" t="inlineStr">
        <is>
          <t>-</t>
        </is>
      </c>
    </row>
    <row r="13">
      <c r="A13" s="8" t="inlineStr">
        <is>
          <t>mega_gold</t>
        </is>
      </c>
      <c r="B13" s="8" t="inlineStr">
        <is>
          <t>메가 골드 부스터</t>
        </is>
      </c>
      <c r="C13" s="8" t="inlineStr">
        <is>
          <t>booster</t>
        </is>
      </c>
      <c r="D13" s="8" t="inlineStr">
        <is>
          <t>100💎</t>
        </is>
      </c>
      <c r="E13" s="8" t="inlineStr">
        <is>
          <t>-</t>
        </is>
      </c>
    </row>
    <row r="14">
      <c r="A14" s="7" t="inlineStr">
        <is>
          <t>food_king</t>
        </is>
      </c>
      <c r="B14" s="7" t="inlineStr">
        <is>
          <t>왕의 연회</t>
        </is>
      </c>
      <c r="C14" s="7" t="inlineStr">
        <is>
          <t>food</t>
        </is>
      </c>
      <c r="D14" s="7" t="inlineStr">
        <is>
          <t>1200G</t>
        </is>
      </c>
      <c r="E14" s="7" t="inlineStr">
        <is>
          <t>-</t>
        </is>
      </c>
    </row>
    <row r="15">
      <c r="A15" s="8" t="inlineStr">
        <is>
          <t>food_all</t>
        </is>
      </c>
      <c r="B15" s="8" t="inlineStr">
        <is>
          <t>용의 만찬</t>
        </is>
      </c>
      <c r="C15" s="8" t="inlineStr">
        <is>
          <t>food</t>
        </is>
      </c>
      <c r="D15" s="8" t="inlineStr">
        <is>
          <t>600G</t>
        </is>
      </c>
      <c r="E15" s="8" t="inlineStr">
        <is>
          <t>-</t>
        </is>
      </c>
    </row>
    <row r="16">
      <c r="A16" s="7" t="inlineStr">
        <is>
          <t>goods_phoenix_feather</t>
        </is>
      </c>
      <c r="B16" s="7" t="inlineStr">
        <is>
          <t>불사조 깃털</t>
        </is>
      </c>
      <c r="C16" s="7" t="inlineStr">
        <is>
          <t>trade</t>
        </is>
      </c>
      <c r="D16" s="7" t="inlineStr">
        <is>
          <t>600G</t>
        </is>
      </c>
      <c r="E16" s="7" t="inlineStr">
        <is>
          <t>v1.13 사치품</t>
        </is>
      </c>
    </row>
    <row r="17">
      <c r="A17" s="8" t="inlineStr">
        <is>
          <t>goods_void_essence</t>
        </is>
      </c>
      <c r="B17" s="8" t="inlineStr">
        <is>
          <t>공허의 정수</t>
        </is>
      </c>
      <c r="C17" s="8" t="inlineStr">
        <is>
          <t>trade</t>
        </is>
      </c>
      <c r="D17" s="8" t="inlineStr">
        <is>
          <t>750G</t>
        </is>
      </c>
      <c r="E17" s="8" t="inlineStr">
        <is>
          <t>v1.13 사치품</t>
        </is>
      </c>
    </row>
    <row r="18">
      <c r="A18" s="7" t="inlineStr">
        <is>
          <t>goods_celestial_silk</t>
        </is>
      </c>
      <c r="B18" s="7" t="inlineStr">
        <is>
          <t>천공의 비단</t>
        </is>
      </c>
      <c r="C18" s="7" t="inlineStr">
        <is>
          <t>trade</t>
        </is>
      </c>
      <c r="D18" s="7" t="inlineStr">
        <is>
          <t>900G</t>
        </is>
      </c>
      <c r="E18" s="7" t="inlineStr">
        <is>
          <t>v1.13 사치품</t>
        </is>
      </c>
    </row>
    <row r="21">
      <c r="A21" s="9" t="inlineStr">
        <is>
          <t>일일 상점 시스템</t>
        </is>
      </c>
    </row>
    <row r="22">
      <c r="A22" s="3" t="inlineStr">
        <is>
          <t>슬롯 수</t>
        </is>
      </c>
      <c r="B22" s="3" t="inlineStr">
        <is>
          <t>6개 (매일 무작위 6종 선출)</t>
        </is>
      </c>
    </row>
    <row r="23">
      <c r="A23" s="3" t="inlineStr">
        <is>
          <t>결정적 랜덤</t>
        </is>
      </c>
      <c r="B23" s="3" t="inlineStr">
        <is>
          <t>시드 = 날짜(YYYY-MM-DD), 모든 플레이어 동일 상품</t>
        </is>
      </c>
    </row>
    <row r="24">
      <c r="A24" s="3" t="inlineStr">
        <is>
          <t>할인율</t>
        </is>
      </c>
      <c r="B24" s="3" t="inlineStr">
        <is>
          <t>10~50% (슬롯별 무작위)</t>
        </is>
      </c>
    </row>
    <row r="25">
      <c r="A25" s="3" t="inlineStr">
        <is>
          <t>구매 제한</t>
        </is>
      </c>
      <c r="B25" s="3" t="inlineStr">
        <is>
          <t>슬롯당 1회 / 일</t>
        </is>
      </c>
    </row>
    <row r="26">
      <c r="A26" s="3" t="inlineStr">
        <is>
          <t>수동 갱신</t>
        </is>
      </c>
      <c r="B26" s="3" t="inlineStr">
        <is>
          <t>30💎로 개인 시드 생성 → 새 6종 + 구매 기록 초기화</t>
        </is>
      </c>
    </row>
    <row r="27">
      <c r="A27" s="3" t="inlineStr">
        <is>
          <t>자동 갱신</t>
        </is>
      </c>
      <c r="B27" s="3" t="inlineStr">
        <is>
          <t>자정 (다음 날 첫 status 요청 시 자동)</t>
        </is>
      </c>
    </row>
    <row r="28">
      <c r="A28" s="3" t="inlineStr">
        <is>
          <t>모듈</t>
        </is>
      </c>
      <c r="B28" s="3" t="inlineStr">
        <is>
          <t>game/dailyshop.js (신규 파일)</t>
        </is>
      </c>
    </row>
    <row r="29">
      <c r="A29" s="3" t="inlineStr">
        <is>
          <t>통합</t>
        </is>
      </c>
      <c r="B29" s="3" t="inlineStr">
        <is>
          <t>daily_shop_status / daily_shop_buy / daily_shop_reroll</t>
        </is>
      </c>
    </row>
  </sheetData>
  <mergeCells count="1"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</cols>
  <sheetData>
    <row r="1">
      <c r="A1" s="5" t="inlineStr">
        <is>
          <t>경매장 (v1.25 신규 모듈 game/auction.js)</t>
        </is>
      </c>
    </row>
    <row r="3">
      <c r="A3" s="6" t="inlineStr">
        <is>
          <t>ID</t>
        </is>
      </c>
      <c r="B3" s="6" t="inlineStr">
        <is>
          <t>이름</t>
        </is>
      </c>
      <c r="C3" s="6" t="inlineStr">
        <is>
          <t>기간</t>
        </is>
      </c>
      <c r="D3" s="6" t="inlineStr">
        <is>
          <t>용도</t>
        </is>
      </c>
    </row>
    <row r="4">
      <c r="A4" s="7" t="inlineStr">
        <is>
          <t>short</t>
        </is>
      </c>
      <c r="B4" s="7" t="inlineStr">
        <is>
          <t>단기</t>
        </is>
      </c>
      <c r="C4" s="7" t="inlineStr">
        <is>
          <t>1시간</t>
        </is>
      </c>
      <c r="D4" s="7" t="inlineStr">
        <is>
          <t>빠른 거래용</t>
        </is>
      </c>
    </row>
    <row r="5">
      <c r="A5" s="8" t="inlineStr">
        <is>
          <t>medium</t>
        </is>
      </c>
      <c r="B5" s="8" t="inlineStr">
        <is>
          <t>중기</t>
        </is>
      </c>
      <c r="C5" s="8" t="inlineStr">
        <is>
          <t>6시간</t>
        </is>
      </c>
      <c r="D5" s="8" t="inlineStr">
        <is>
          <t>기본 (권장)</t>
        </is>
      </c>
    </row>
    <row r="6">
      <c r="A6" s="7" t="inlineStr">
        <is>
          <t>long</t>
        </is>
      </c>
      <c r="B6" s="7" t="inlineStr">
        <is>
          <t>장기</t>
        </is>
      </c>
      <c r="C6" s="7" t="inlineStr">
        <is>
          <t>24시간</t>
        </is>
      </c>
      <c r="D6" s="7" t="inlineStr">
        <is>
          <t>고가 아이템</t>
        </is>
      </c>
    </row>
    <row r="9">
      <c r="A9" s="9" t="inlineStr">
        <is>
          <t>수수료 정책</t>
        </is>
      </c>
    </row>
    <row r="10">
      <c r="A10" s="10" t="inlineStr">
        <is>
          <t>항목</t>
        </is>
      </c>
      <c r="B10" s="10" t="inlineStr">
        <is>
          <t>요율</t>
        </is>
      </c>
      <c r="C10" s="10" t="inlineStr">
        <is>
          <t>부담</t>
        </is>
      </c>
      <c r="D10" s="10" t="inlineStr">
        <is>
          <t>비고</t>
        </is>
      </c>
    </row>
    <row r="11">
      <c r="A11" s="3" t="inlineStr">
        <is>
          <t>등록 수수료</t>
        </is>
      </c>
      <c r="B11" s="3" t="inlineStr">
        <is>
          <t>시작가의 2%</t>
        </is>
      </c>
      <c r="C11" s="3" t="inlineStr">
        <is>
          <t>판매자</t>
        </is>
      </c>
      <c r="D11" s="3" t="inlineStr">
        <is>
          <t>등록 시 즉시 차감, 환불 X</t>
        </is>
      </c>
    </row>
    <row r="12">
      <c r="A12" s="3" t="inlineStr">
        <is>
          <t>낙찰 수수료</t>
        </is>
      </c>
      <c r="B12" s="3" t="inlineStr">
        <is>
          <t>낙찰가의 5%</t>
        </is>
      </c>
      <c r="C12" s="3" t="inlineStr">
        <is>
          <t>판매자</t>
        </is>
      </c>
      <c r="D12" s="3" t="inlineStr">
        <is>
          <t>낙찰 시 정산 차감</t>
        </is>
      </c>
    </row>
    <row r="13">
      <c r="A13" s="3" t="inlineStr">
        <is>
          <t>최소 인상폭</t>
        </is>
      </c>
      <c r="B13" s="3" t="inlineStr">
        <is>
          <t>현재가의 5%</t>
        </is>
      </c>
      <c r="C13" s="3" t="inlineStr">
        <is>
          <t>입찰자</t>
        </is>
      </c>
      <c r="D13" s="3" t="inlineStr">
        <is>
          <t>입찰 단위</t>
        </is>
      </c>
    </row>
    <row r="16">
      <c r="A16" s="9" t="inlineStr">
        <is>
          <t>시스템 룰</t>
        </is>
      </c>
    </row>
    <row r="17">
      <c r="A17" s="3" t="inlineStr">
        <is>
          <t>에스크로</t>
        </is>
      </c>
      <c r="B17" s="3" t="inlineStr">
        <is>
          <t>입찰 시 골드 즉시 차감 (이전 입찰자에게 환불)</t>
        </is>
      </c>
    </row>
    <row r="18">
      <c r="A18" s="3" t="inlineStr">
        <is>
          <t>스나이핑 방지</t>
        </is>
      </c>
      <c r="B18" s="3" t="inlineStr">
        <is>
          <t>종료 5분 이내 입찰 → 5분 자동 연장</t>
        </is>
      </c>
    </row>
    <row r="19">
      <c r="A19" s="3" t="inlineStr">
        <is>
          <t>활성 한도</t>
        </is>
      </c>
      <c r="B19" s="3" t="inlineStr">
        <is>
          <t>플레이어당 최대 10개 동시 등록</t>
        </is>
      </c>
    </row>
    <row r="20">
      <c r="A20" s="3" t="inlineStr">
        <is>
          <t>자기 입찰 금지</t>
        </is>
      </c>
      <c r="B20" s="3" t="inlineStr">
        <is>
          <t>자신이 등록한 경매에 입찰 불가</t>
        </is>
      </c>
    </row>
    <row r="21">
      <c r="A21" s="3" t="inlineStr">
        <is>
          <t>유찰 처리</t>
        </is>
      </c>
      <c r="B21" s="3" t="inlineStr">
        <is>
          <t>입찰자 없으면 아이템 반환 (수수료는 환불 안 됨)</t>
        </is>
      </c>
    </row>
    <row r="22">
      <c r="A22" s="3" t="inlineStr">
        <is>
          <t>모듈</t>
        </is>
      </c>
      <c r="B22" s="3" t="inlineStr">
        <is>
          <t>game/auction.js (신규 파일)</t>
        </is>
      </c>
    </row>
    <row r="23">
      <c r="A23" s="3" t="inlineStr">
        <is>
          <t>헬퍼 함수</t>
        </is>
      </c>
      <c r="B23" s="3" t="inlineStr">
        <is>
          <t>listAuction / placeBid / settleAuction / tickAuctions</t>
        </is>
      </c>
    </row>
  </sheetData>
  <mergeCells count="1">
    <mergeCell ref="A1:D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32" customWidth="1" min="8" max="8"/>
  </cols>
  <sheetData>
    <row r="1">
      <c r="A1" s="5" t="inlineStr">
        <is>
          <t>어종 (11종 — v1.24 신규 모듈 game/fishing.js)</t>
        </is>
      </c>
    </row>
    <row r="3">
      <c r="A3" s="6" t="inlineStr">
        <is>
          <t>ID</t>
        </is>
      </c>
      <c r="B3" s="6" t="inlineStr">
        <is>
          <t>이름</t>
        </is>
      </c>
      <c r="C3" s="6" t="inlineStr">
        <is>
          <t>등급</t>
        </is>
      </c>
      <c r="D3" s="6" t="inlineStr">
        <is>
          <t>색상</t>
        </is>
      </c>
      <c r="E3" s="6" t="inlineStr">
        <is>
          <t>가치(G)</t>
        </is>
      </c>
      <c r="F3" s="6" t="inlineStr">
        <is>
          <t>가중치</t>
        </is>
      </c>
      <c r="G3" s="6" t="inlineStr">
        <is>
          <t>EXP</t>
        </is>
      </c>
      <c r="H3" s="6" t="inlineStr">
        <is>
          <t>조건/특수효과</t>
        </is>
      </c>
    </row>
    <row r="4">
      <c r="A4" s="7" t="inlineStr">
        <is>
          <t>fish_minnow</t>
        </is>
      </c>
      <c r="B4" s="7" t="inlineStr">
        <is>
          <t>송사리</t>
        </is>
      </c>
      <c r="C4" s="7" t="inlineStr">
        <is>
          <t>일반</t>
        </is>
      </c>
      <c r="D4" s="7" t="inlineStr">
        <is>
          <t>회색</t>
        </is>
      </c>
      <c r="E4" s="7" t="n">
        <v>10</v>
      </c>
      <c r="F4" s="7" t="n">
        <v>50</v>
      </c>
      <c r="G4" s="7" t="n">
        <v>5</v>
      </c>
      <c r="H4" s="7" t="inlineStr">
        <is>
          <t>-</t>
        </is>
      </c>
    </row>
    <row r="5">
      <c r="A5" s="8" t="inlineStr">
        <is>
          <t>fish_carp</t>
        </is>
      </c>
      <c r="B5" s="8" t="inlineStr">
        <is>
          <t>잉어</t>
        </is>
      </c>
      <c r="C5" s="8" t="inlineStr">
        <is>
          <t>일반</t>
        </is>
      </c>
      <c r="D5" s="8" t="inlineStr">
        <is>
          <t>회색</t>
        </is>
      </c>
      <c r="E5" s="8" t="n">
        <v>25</v>
      </c>
      <c r="F5" s="8" t="n">
        <v>40</v>
      </c>
      <c r="G5" s="8" t="n">
        <v>8</v>
      </c>
      <c r="H5" s="8" t="inlineStr">
        <is>
          <t>-</t>
        </is>
      </c>
    </row>
    <row r="6">
      <c r="A6" s="7" t="inlineStr">
        <is>
          <t>fish_trout</t>
        </is>
      </c>
      <c r="B6" s="7" t="inlineStr">
        <is>
          <t>송어</t>
        </is>
      </c>
      <c r="C6" s="7" t="inlineStr">
        <is>
          <t>일반</t>
        </is>
      </c>
      <c r="D6" s="7" t="inlineStr">
        <is>
          <t>회색</t>
        </is>
      </c>
      <c r="E6" s="7" t="n">
        <v>35</v>
      </c>
      <c r="F6" s="7" t="n">
        <v>35</v>
      </c>
      <c r="G6" s="7" t="n">
        <v>10</v>
      </c>
      <c r="H6" s="7" t="inlineStr">
        <is>
          <t>-</t>
        </is>
      </c>
    </row>
    <row r="7">
      <c r="A7" s="8" t="inlineStr">
        <is>
          <t>fish_eel</t>
        </is>
      </c>
      <c r="B7" s="8" t="inlineStr">
        <is>
          <t>장어</t>
        </is>
      </c>
      <c r="C7" s="8" t="inlineStr">
        <is>
          <t>고급</t>
        </is>
      </c>
      <c r="D7" s="8" t="inlineStr">
        <is>
          <t>녹색</t>
        </is>
      </c>
      <c r="E7" s="8" t="n">
        <v>80</v>
      </c>
      <c r="F7" s="8" t="n">
        <v>25</v>
      </c>
      <c r="G7" s="8" t="n">
        <v>18</v>
      </c>
      <c r="H7" s="8" t="inlineStr">
        <is>
          <t>-</t>
        </is>
      </c>
    </row>
    <row r="8">
      <c r="A8" s="7" t="inlineStr">
        <is>
          <t>fish_salmon</t>
        </is>
      </c>
      <c r="B8" s="7" t="inlineStr">
        <is>
          <t>연어</t>
        </is>
      </c>
      <c r="C8" s="7" t="inlineStr">
        <is>
          <t>고급</t>
        </is>
      </c>
      <c r="D8" s="7" t="inlineStr">
        <is>
          <t>녹색</t>
        </is>
      </c>
      <c r="E8" s="7" t="n">
        <v>120</v>
      </c>
      <c r="F8" s="7" t="n">
        <v>20</v>
      </c>
      <c r="G8" s="7" t="n">
        <v>25</v>
      </c>
      <c r="H8" s="7" t="inlineStr">
        <is>
          <t>-</t>
        </is>
      </c>
    </row>
    <row r="9">
      <c r="A9" s="8" t="inlineStr">
        <is>
          <t>fish_pike</t>
        </is>
      </c>
      <c r="B9" s="8" t="inlineStr">
        <is>
          <t>창꼬치</t>
        </is>
      </c>
      <c r="C9" s="8" t="inlineStr">
        <is>
          <t>희귀</t>
        </is>
      </c>
      <c r="D9" s="8" t="inlineStr">
        <is>
          <t>파랑</t>
        </is>
      </c>
      <c r="E9" s="8" t="n">
        <v>250</v>
      </c>
      <c r="F9" s="8" t="n">
        <v>12</v>
      </c>
      <c r="G9" s="8" t="n">
        <v>45</v>
      </c>
      <c r="H9" s="8" t="inlineStr">
        <is>
          <t>-</t>
        </is>
      </c>
    </row>
    <row r="10">
      <c r="A10" s="7" t="inlineStr">
        <is>
          <t>fish_sturgeon</t>
        </is>
      </c>
      <c r="B10" s="7" t="inlineStr">
        <is>
          <t>철갑상어</t>
        </is>
      </c>
      <c r="C10" s="7" t="inlineStr">
        <is>
          <t>희귀</t>
        </is>
      </c>
      <c r="D10" s="7" t="inlineStr">
        <is>
          <t>파랑</t>
        </is>
      </c>
      <c r="E10" s="7" t="n">
        <v>400</v>
      </c>
      <c r="F10" s="7" t="n">
        <v>8</v>
      </c>
      <c r="G10" s="7" t="n">
        <v>70</v>
      </c>
      <c r="H10" s="7" t="inlineStr">
        <is>
          <t>-</t>
        </is>
      </c>
    </row>
    <row r="11">
      <c r="A11" s="8" t="inlineStr">
        <is>
          <t>fish_swordfish</t>
        </is>
      </c>
      <c r="B11" s="8" t="inlineStr">
        <is>
          <t>황새치</t>
        </is>
      </c>
      <c r="C11" s="8" t="inlineStr">
        <is>
          <t>영웅</t>
        </is>
      </c>
      <c r="D11" s="8" t="inlineStr">
        <is>
          <t>보라</t>
        </is>
      </c>
      <c r="E11" s="8" t="n">
        <v>800</v>
      </c>
      <c r="F11" s="8" t="n">
        <v>5</v>
      </c>
      <c r="G11" s="8" t="n">
        <v>120</v>
      </c>
      <c r="H11" s="8" t="inlineStr">
        <is>
          <t>미스릴 낚싯대 이상</t>
        </is>
      </c>
    </row>
    <row r="12">
      <c r="A12" s="7" t="inlineStr">
        <is>
          <t>fish_marlin</t>
        </is>
      </c>
      <c r="B12" s="7" t="inlineStr">
        <is>
          <t>청새치</t>
        </is>
      </c>
      <c r="C12" s="7" t="inlineStr">
        <is>
          <t>영웅</t>
        </is>
      </c>
      <c r="D12" s="7" t="inlineStr">
        <is>
          <t>보라</t>
        </is>
      </c>
      <c r="E12" s="7" t="n">
        <v>1200</v>
      </c>
      <c r="F12" s="7" t="n">
        <v>3</v>
      </c>
      <c r="G12" s="7" t="n">
        <v>180</v>
      </c>
      <c r="H12" s="7" t="inlineStr">
        <is>
          <t>미스릴 낚싯대 이상</t>
        </is>
      </c>
    </row>
    <row r="13">
      <c r="A13" s="8" t="inlineStr">
        <is>
          <t>fish_legendary_koi</t>
        </is>
      </c>
      <c r="B13" s="8" t="inlineStr">
        <is>
          <t>전설의 비단잉어</t>
        </is>
      </c>
      <c r="C13" s="8" t="inlineStr">
        <is>
          <t>전설</t>
        </is>
      </c>
      <c r="D13" s="8" t="inlineStr">
        <is>
          <t>주황</t>
        </is>
      </c>
      <c r="E13" s="8" t="n">
        <v>5000</v>
      </c>
      <c r="F13" s="8" t="n">
        <v>1</v>
      </c>
      <c r="G13" s="8" t="n">
        <v>500</v>
      </c>
      <c r="H13" s="8" t="inlineStr">
        <is>
          <t>드래곤 낚싯대 / 평생 행운 +5%</t>
        </is>
      </c>
    </row>
    <row r="14">
      <c r="A14" s="7" t="inlineStr">
        <is>
          <t>fish_mythic_kraken</t>
        </is>
      </c>
      <c r="B14" s="7" t="inlineStr">
        <is>
          <t>신화의 크라켄</t>
        </is>
      </c>
      <c r="C14" s="7" t="inlineStr">
        <is>
          <t>신화</t>
        </is>
      </c>
      <c r="D14" s="7" t="inlineStr">
        <is>
          <t>자홍</t>
        </is>
      </c>
      <c r="E14" s="7" t="n">
        <v>20000</v>
      </c>
      <c r="F14" s="7" t="n">
        <v>0.2</v>
      </c>
      <c r="G14" s="7" t="n">
        <v>2000</v>
      </c>
      <c r="H14" s="7" t="inlineStr">
        <is>
          <t>밤 / 낚시터 / 드래곤 낚싯대 / 바다의 군주 칭호</t>
        </is>
      </c>
    </row>
    <row r="17">
      <c r="A17" s="9" t="inlineStr">
        <is>
          <t>낚싯대 (5등급)</t>
        </is>
      </c>
    </row>
    <row r="18">
      <c r="A18" s="10" t="inlineStr">
        <is>
          <t>ID</t>
        </is>
      </c>
      <c r="B18" s="10" t="inlineStr">
        <is>
          <t>이름</t>
        </is>
      </c>
      <c r="C18" s="10" t="inlineStr">
        <is>
          <t>티어</t>
        </is>
      </c>
      <c r="D18" s="10" t="inlineStr">
        <is>
          <t>품질배수</t>
        </is>
      </c>
      <c r="E18" s="10" t="inlineStr">
        <is>
          <t>희귀 보너스</t>
        </is>
      </c>
      <c r="F18" s="10" t="inlineStr">
        <is>
          <t>가격</t>
        </is>
      </c>
      <c r="G18" s="10" t="inlineStr">
        <is>
          <t>설명</t>
        </is>
      </c>
    </row>
    <row r="19">
      <c r="A19" s="3" t="inlineStr">
        <is>
          <t>rod_wooden</t>
        </is>
      </c>
      <c r="B19" s="3" t="inlineStr">
        <is>
          <t>나무 낚싯대</t>
        </is>
      </c>
      <c r="C19" s="3" t="n">
        <v>1</v>
      </c>
      <c r="D19" s="3" t="inlineStr">
        <is>
          <t>×1.0</t>
        </is>
      </c>
      <c r="E19" s="3" t="inlineStr">
        <is>
          <t>+0%</t>
        </is>
      </c>
      <c r="F19" s="3" t="inlineStr">
        <is>
          <t>200G</t>
        </is>
      </c>
      <c r="G19" s="3" t="inlineStr">
        <is>
          <t>기본 낚싯대</t>
        </is>
      </c>
    </row>
    <row r="20">
      <c r="A20" s="3" t="inlineStr">
        <is>
          <t>rod_iron</t>
        </is>
      </c>
      <c r="B20" s="3" t="inlineStr">
        <is>
          <t>철제 낚싯대</t>
        </is>
      </c>
      <c r="C20" s="3" t="n">
        <v>2</v>
      </c>
      <c r="D20" s="3" t="inlineStr">
        <is>
          <t>×1.2</t>
        </is>
      </c>
      <c r="E20" s="3" t="inlineStr">
        <is>
          <t>+5%</t>
        </is>
      </c>
      <c r="F20" s="3" t="inlineStr">
        <is>
          <t>1500G</t>
        </is>
      </c>
      <c r="G20" s="3" t="inlineStr">
        <is>
          <t>희귀 어종 +5%</t>
        </is>
      </c>
    </row>
    <row r="21">
      <c r="A21" s="3" t="inlineStr">
        <is>
          <t>rod_silver</t>
        </is>
      </c>
      <c r="B21" s="3" t="inlineStr">
        <is>
          <t>은제 낚싯대</t>
        </is>
      </c>
      <c r="C21" s="3" t="n">
        <v>3</v>
      </c>
      <c r="D21" s="3" t="inlineStr">
        <is>
          <t>×1.5</t>
        </is>
      </c>
      <c r="E21" s="3" t="inlineStr">
        <is>
          <t>+12%</t>
        </is>
      </c>
      <c r="F21" s="3" t="inlineStr">
        <is>
          <t>8000G</t>
        </is>
      </c>
      <c r="G21" s="3" t="inlineStr">
        <is>
          <t>희귀 어종 +12%</t>
        </is>
      </c>
    </row>
    <row r="22">
      <c r="A22" s="3" t="inlineStr">
        <is>
          <t>rod_mythril</t>
        </is>
      </c>
      <c r="B22" s="3" t="inlineStr">
        <is>
          <t>미스릴 낚싯대</t>
        </is>
      </c>
      <c r="C22" s="3" t="n">
        <v>4</v>
      </c>
      <c r="D22" s="3" t="inlineStr">
        <is>
          <t>×2.0</t>
        </is>
      </c>
      <c r="E22" s="3" t="inlineStr">
        <is>
          <t>+20%</t>
        </is>
      </c>
      <c r="F22" s="3" t="inlineStr">
        <is>
          <t>200💎</t>
        </is>
      </c>
      <c r="G22" s="3" t="inlineStr">
        <is>
          <t>영웅 어종 가능</t>
        </is>
      </c>
    </row>
    <row r="23">
      <c r="A23" s="3" t="inlineStr">
        <is>
          <t>rod_dragon</t>
        </is>
      </c>
      <c r="B23" s="3" t="inlineStr">
        <is>
          <t>드래곤 낚싯대</t>
        </is>
      </c>
      <c r="C23" s="3" t="n">
        <v>5</v>
      </c>
      <c r="D23" s="3" t="inlineStr">
        <is>
          <t>×3.0</t>
        </is>
      </c>
      <c r="E23" s="3" t="inlineStr">
        <is>
          <t>+35%</t>
        </is>
      </c>
      <c r="F23" s="3" t="inlineStr">
        <is>
          <t>800💎</t>
        </is>
      </c>
      <c r="G23" s="3" t="inlineStr">
        <is>
          <t>전설/신화 어종 가능</t>
        </is>
      </c>
    </row>
    <row r="26">
      <c r="A26" s="9" t="inlineStr">
        <is>
          <t>미끼 (4종)</t>
        </is>
      </c>
    </row>
    <row r="27">
      <c r="A27" s="10" t="inlineStr">
        <is>
          <t>ID</t>
        </is>
      </c>
      <c r="B27" s="10" t="inlineStr">
        <is>
          <t>이름</t>
        </is>
      </c>
      <c r="C27" s="10" t="inlineStr">
        <is>
          <t>효과</t>
        </is>
      </c>
      <c r="D27" s="10" t="inlineStr">
        <is>
          <t>가격</t>
        </is>
      </c>
    </row>
    <row r="28">
      <c r="A28" s="3" t="inlineStr">
        <is>
          <t>bait_worm</t>
        </is>
      </c>
      <c r="B28" s="3" t="inlineStr">
        <is>
          <t>지렁이</t>
        </is>
      </c>
      <c r="C28" s="3" t="inlineStr">
        <is>
          <t>일반 ×1.5</t>
        </is>
      </c>
      <c r="D28" s="3" t="inlineStr">
        <is>
          <t>5G</t>
        </is>
      </c>
    </row>
    <row r="29">
      <c r="A29" s="3" t="inlineStr">
        <is>
          <t>bait_shrimp</t>
        </is>
      </c>
      <c r="B29" s="3" t="inlineStr">
        <is>
          <t>새우</t>
        </is>
      </c>
      <c r="C29" s="3" t="inlineStr">
        <is>
          <t>고급 ×1.5</t>
        </is>
      </c>
      <c r="D29" s="3" t="inlineStr">
        <is>
          <t>30G</t>
        </is>
      </c>
    </row>
    <row r="30">
      <c r="A30" s="3" t="inlineStr">
        <is>
          <t>bait_squid</t>
        </is>
      </c>
      <c r="B30" s="3" t="inlineStr">
        <is>
          <t>오징어</t>
        </is>
      </c>
      <c r="C30" s="3" t="inlineStr">
        <is>
          <t>희귀 ×1.5 / 영웅 ×1.2</t>
        </is>
      </c>
      <c r="D30" s="3" t="inlineStr">
        <is>
          <t>150G</t>
        </is>
      </c>
    </row>
    <row r="31">
      <c r="A31" s="3" t="inlineStr">
        <is>
          <t>bait_glow</t>
        </is>
      </c>
      <c r="B31" s="3" t="inlineStr">
        <is>
          <t>발광 미끼</t>
        </is>
      </c>
      <c r="C31" s="3" t="inlineStr">
        <is>
          <t>전설 ×2.0 / 신화 ×1.5 (밤 전용)</t>
        </is>
      </c>
      <c r="D31" s="3" t="inlineStr">
        <is>
          <t>1000G</t>
        </is>
      </c>
    </row>
    <row r="34">
      <c r="A34" s="9" t="inlineStr">
        <is>
          <t>낚시 시스템</t>
        </is>
      </c>
    </row>
    <row r="35">
      <c r="A35" s="3" t="inlineStr">
        <is>
          <t>지역</t>
        </is>
      </c>
      <c r="B35" s="3" t="inlineStr">
        <is>
          <t>낚시 만 (fishing) / 강변 평야 (riverbank) / 산호초 해안</t>
        </is>
      </c>
    </row>
    <row r="36">
      <c r="A36" s="3" t="inlineStr">
        <is>
          <t>시간 효과</t>
        </is>
      </c>
      <c r="B36" s="3" t="inlineStr">
        <is>
          <t>밤에는 신화 크라켄 출현 가능 (낚시터 한정)</t>
        </is>
      </c>
    </row>
    <row r="37">
      <c r="A37" s="3" t="inlineStr">
        <is>
          <t>업적 연계</t>
        </is>
      </c>
      <c r="B37" s="3" t="inlineStr">
        <is>
          <t>ach_fish50 — 물고기 50마리 잡기</t>
        </is>
      </c>
    </row>
    <row r="38">
      <c r="A38" s="3" t="inlineStr">
        <is>
          <t>모듈</t>
        </is>
      </c>
      <c r="B38" s="3" t="inlineStr">
        <is>
          <t>game/fishing.js (신규 파일)</t>
        </is>
      </c>
    </row>
  </sheetData>
  <mergeCells count="1">
    <mergeCell ref="A1:H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8" customWidth="1" min="11" max="11"/>
  </cols>
  <sheetData>
    <row r="1">
      <c r="A1" s="5" t="inlineStr">
        <is>
          <t>보스 러시 (20웨이브 — v1.23 신규 모듈 game/boss_rush.js)</t>
        </is>
      </c>
    </row>
    <row r="3">
      <c r="A3" s="6" t="inlineStr">
        <is>
          <t>웨이브</t>
        </is>
      </c>
      <c r="B3" s="6" t="inlineStr">
        <is>
          <t>이름</t>
        </is>
      </c>
      <c r="C3" s="6" t="inlineStr">
        <is>
          <t>HP</t>
        </is>
      </c>
      <c r="D3" s="6" t="inlineStr">
        <is>
          <t>ATK</t>
        </is>
      </c>
      <c r="E3" s="6" t="inlineStr">
        <is>
          <t>DEF</t>
        </is>
      </c>
      <c r="F3" s="6" t="inlineStr">
        <is>
          <t>시간 제한</t>
        </is>
      </c>
      <c r="G3" s="6" t="inlineStr">
        <is>
          <t>골드</t>
        </is>
      </c>
      <c r="H3" s="6" t="inlineStr">
        <is>
          <t>EXP</t>
        </is>
      </c>
      <c r="I3" s="6" t="inlineStr">
        <is>
          <t>다이아</t>
        </is>
      </c>
      <c r="J3" s="6" t="inlineStr">
        <is>
          <t>추가 보상</t>
        </is>
      </c>
      <c r="K3" s="6" t="inlineStr">
        <is>
          <t>등급</t>
        </is>
      </c>
    </row>
    <row r="4">
      <c r="A4" s="7" t="n">
        <v>1</v>
      </c>
      <c r="B4" s="7" t="inlineStr">
        <is>
          <t>1웨이브 보스</t>
        </is>
      </c>
      <c r="C4" s="7" t="inlineStr">
        <is>
          <t>1,000</t>
        </is>
      </c>
      <c r="D4" s="7" t="n">
        <v>30</v>
      </c>
      <c r="E4" s="7" t="n">
        <v>10</v>
      </c>
      <c r="F4" s="7" t="inlineStr">
        <is>
          <t>65초</t>
        </is>
      </c>
      <c r="G4" s="7" t="inlineStr">
        <is>
          <t>200G</t>
        </is>
      </c>
      <c r="H4" s="7" t="inlineStr">
        <is>
          <t>300 EXP</t>
        </is>
      </c>
      <c r="I4" s="7" t="inlineStr">
        <is>
          <t>0💎</t>
        </is>
      </c>
      <c r="J4" s="7" t="inlineStr">
        <is>
          <t>-</t>
        </is>
      </c>
      <c r="K4" s="7" t="inlineStr">
        <is>
          <t>일반</t>
        </is>
      </c>
    </row>
    <row r="5">
      <c r="A5" s="8" t="n">
        <v>2</v>
      </c>
      <c r="B5" s="8" t="inlineStr">
        <is>
          <t>2웨이브 보스</t>
        </is>
      </c>
      <c r="C5" s="8" t="inlineStr">
        <is>
          <t>1,350</t>
        </is>
      </c>
      <c r="D5" s="8" t="n">
        <v>36</v>
      </c>
      <c r="E5" s="8" t="n">
        <v>11</v>
      </c>
      <c r="F5" s="8" t="inlineStr">
        <is>
          <t>70초</t>
        </is>
      </c>
      <c r="G5" s="8" t="inlineStr">
        <is>
          <t>400G</t>
        </is>
      </c>
      <c r="H5" s="8" t="inlineStr">
        <is>
          <t>600 EXP</t>
        </is>
      </c>
      <c r="I5" s="8" t="inlineStr">
        <is>
          <t>0💎</t>
        </is>
      </c>
      <c r="J5" s="8" t="inlineStr">
        <is>
          <t>-</t>
        </is>
      </c>
      <c r="K5" s="8" t="inlineStr">
        <is>
          <t>일반</t>
        </is>
      </c>
    </row>
    <row r="6">
      <c r="A6" s="7" t="n">
        <v>3</v>
      </c>
      <c r="B6" s="7" t="inlineStr">
        <is>
          <t>3웨이브 보스</t>
        </is>
      </c>
      <c r="C6" s="7" t="inlineStr">
        <is>
          <t>1,822</t>
        </is>
      </c>
      <c r="D6" s="7" t="n">
        <v>43</v>
      </c>
      <c r="E6" s="7" t="n">
        <v>13</v>
      </c>
      <c r="F6" s="7" t="inlineStr">
        <is>
          <t>75초</t>
        </is>
      </c>
      <c r="G6" s="7" t="inlineStr">
        <is>
          <t>600G</t>
        </is>
      </c>
      <c r="H6" s="7" t="inlineStr">
        <is>
          <t>900 EXP</t>
        </is>
      </c>
      <c r="I6" s="7" t="inlineStr">
        <is>
          <t>0💎</t>
        </is>
      </c>
      <c r="J6" s="7" t="inlineStr">
        <is>
          <t>-</t>
        </is>
      </c>
      <c r="K6" s="7" t="inlineStr">
        <is>
          <t>일반</t>
        </is>
      </c>
    </row>
    <row r="7">
      <c r="A7" s="8" t="n">
        <v>4</v>
      </c>
      <c r="B7" s="8" t="inlineStr">
        <is>
          <t>4웨이브 보스</t>
        </is>
      </c>
      <c r="C7" s="8" t="inlineStr">
        <is>
          <t>2,460</t>
        </is>
      </c>
      <c r="D7" s="8" t="n">
        <v>51</v>
      </c>
      <c r="E7" s="8" t="n">
        <v>16</v>
      </c>
      <c r="F7" s="8" t="inlineStr">
        <is>
          <t>80초</t>
        </is>
      </c>
      <c r="G7" s="8" t="inlineStr">
        <is>
          <t>800G</t>
        </is>
      </c>
      <c r="H7" s="8" t="inlineStr">
        <is>
          <t>1200 EXP</t>
        </is>
      </c>
      <c r="I7" s="8" t="inlineStr">
        <is>
          <t>0💎</t>
        </is>
      </c>
      <c r="J7" s="8" t="inlineStr">
        <is>
          <t>-</t>
        </is>
      </c>
      <c r="K7" s="8" t="inlineStr">
        <is>
          <t>일반</t>
        </is>
      </c>
    </row>
    <row r="8">
      <c r="A8" s="7" t="n">
        <v>5</v>
      </c>
      <c r="B8" s="7" t="inlineStr">
        <is>
          <t>5웨이브 정예 보스</t>
        </is>
      </c>
      <c r="C8" s="7" t="inlineStr">
        <is>
          <t>3,321</t>
        </is>
      </c>
      <c r="D8" s="7" t="n">
        <v>62</v>
      </c>
      <c r="E8" s="7" t="n">
        <v>19</v>
      </c>
      <c r="F8" s="7" t="inlineStr">
        <is>
          <t>85초</t>
        </is>
      </c>
      <c r="G8" s="7" t="inlineStr">
        <is>
          <t>1000G</t>
        </is>
      </c>
      <c r="H8" s="7" t="inlineStr">
        <is>
          <t>1500 EXP</t>
        </is>
      </c>
      <c r="I8" s="7" t="inlineStr">
        <is>
          <t>30💎</t>
        </is>
      </c>
      <c r="J8" s="7" t="inlineStr">
        <is>
          <t>영혼석 ×3</t>
        </is>
      </c>
      <c r="K8" s="7" t="inlineStr">
        <is>
          <t>정예</t>
        </is>
      </c>
    </row>
    <row r="9">
      <c r="A9" s="8" t="n">
        <v>6</v>
      </c>
      <c r="B9" s="8" t="inlineStr">
        <is>
          <t>6웨이브 보스</t>
        </is>
      </c>
      <c r="C9" s="8" t="inlineStr">
        <is>
          <t>4,484</t>
        </is>
      </c>
      <c r="D9" s="8" t="n">
        <v>74</v>
      </c>
      <c r="E9" s="8" t="n">
        <v>22</v>
      </c>
      <c r="F9" s="8" t="inlineStr">
        <is>
          <t>90초</t>
        </is>
      </c>
      <c r="G9" s="8" t="inlineStr">
        <is>
          <t>1200G</t>
        </is>
      </c>
      <c r="H9" s="8" t="inlineStr">
        <is>
          <t>1800 EXP</t>
        </is>
      </c>
      <c r="I9" s="8" t="inlineStr">
        <is>
          <t>0💎</t>
        </is>
      </c>
      <c r="J9" s="8" t="inlineStr">
        <is>
          <t>-</t>
        </is>
      </c>
      <c r="K9" s="8" t="inlineStr">
        <is>
          <t>일반</t>
        </is>
      </c>
    </row>
    <row r="10">
      <c r="A10" s="7" t="n">
        <v>7</v>
      </c>
      <c r="B10" s="7" t="inlineStr">
        <is>
          <t>7웨이브 보스</t>
        </is>
      </c>
      <c r="C10" s="7" t="inlineStr">
        <is>
          <t>6,053</t>
        </is>
      </c>
      <c r="D10" s="7" t="n">
        <v>89</v>
      </c>
      <c r="E10" s="7" t="n">
        <v>26</v>
      </c>
      <c r="F10" s="7" t="inlineStr">
        <is>
          <t>95초</t>
        </is>
      </c>
      <c r="G10" s="7" t="inlineStr">
        <is>
          <t>1400G</t>
        </is>
      </c>
      <c r="H10" s="7" t="inlineStr">
        <is>
          <t>2100 EXP</t>
        </is>
      </c>
      <c r="I10" s="7" t="inlineStr">
        <is>
          <t>0💎</t>
        </is>
      </c>
      <c r="J10" s="7" t="inlineStr">
        <is>
          <t>-</t>
        </is>
      </c>
      <c r="K10" s="7" t="inlineStr">
        <is>
          <t>일반</t>
        </is>
      </c>
    </row>
    <row r="11">
      <c r="A11" s="8" t="n">
        <v>8</v>
      </c>
      <c r="B11" s="8" t="inlineStr">
        <is>
          <t>8웨이브 보스</t>
        </is>
      </c>
      <c r="C11" s="8" t="inlineStr">
        <is>
          <t>8,172</t>
        </is>
      </c>
      <c r="D11" s="8" t="n">
        <v>107</v>
      </c>
      <c r="E11" s="8" t="n">
        <v>31</v>
      </c>
      <c r="F11" s="8" t="inlineStr">
        <is>
          <t>100초</t>
        </is>
      </c>
      <c r="G11" s="8" t="inlineStr">
        <is>
          <t>1600G</t>
        </is>
      </c>
      <c r="H11" s="8" t="inlineStr">
        <is>
          <t>2400 EXP</t>
        </is>
      </c>
      <c r="I11" s="8" t="inlineStr">
        <is>
          <t>0💎</t>
        </is>
      </c>
      <c r="J11" s="8" t="inlineStr">
        <is>
          <t>-</t>
        </is>
      </c>
      <c r="K11" s="8" t="inlineStr">
        <is>
          <t>일반</t>
        </is>
      </c>
    </row>
    <row r="12">
      <c r="A12" s="7" t="n">
        <v>9</v>
      </c>
      <c r="B12" s="7" t="inlineStr">
        <is>
          <t>9웨이브 보스</t>
        </is>
      </c>
      <c r="C12" s="7" t="inlineStr">
        <is>
          <t>11,032</t>
        </is>
      </c>
      <c r="D12" s="7" t="n">
        <v>128</v>
      </c>
      <c r="E12" s="7" t="n">
        <v>37</v>
      </c>
      <c r="F12" s="7" t="inlineStr">
        <is>
          <t>105초</t>
        </is>
      </c>
      <c r="G12" s="7" t="inlineStr">
        <is>
          <t>1800G</t>
        </is>
      </c>
      <c r="H12" s="7" t="inlineStr">
        <is>
          <t>2700 EXP</t>
        </is>
      </c>
      <c r="I12" s="7" t="inlineStr">
        <is>
          <t>0💎</t>
        </is>
      </c>
      <c r="J12" s="7" t="inlineStr">
        <is>
          <t>-</t>
        </is>
      </c>
      <c r="K12" s="7" t="inlineStr">
        <is>
          <t>일반</t>
        </is>
      </c>
    </row>
    <row r="13">
      <c r="A13" s="8" t="n">
        <v>10</v>
      </c>
      <c r="B13" s="8" t="inlineStr">
        <is>
          <t>10웨이브 정예 보스</t>
        </is>
      </c>
      <c r="C13" s="8" t="inlineStr">
        <is>
          <t>14,893</t>
        </is>
      </c>
      <c r="D13" s="8" t="n">
        <v>154</v>
      </c>
      <c r="E13" s="8" t="n">
        <v>44</v>
      </c>
      <c r="F13" s="8" t="inlineStr">
        <is>
          <t>110초</t>
        </is>
      </c>
      <c r="G13" s="8" t="inlineStr">
        <is>
          <t>2000G</t>
        </is>
      </c>
      <c r="H13" s="8" t="inlineStr">
        <is>
          <t>3000 EXP</t>
        </is>
      </c>
      <c r="I13" s="8" t="inlineStr">
        <is>
          <t>30💎</t>
        </is>
      </c>
      <c r="J13" s="8" t="inlineStr">
        <is>
          <t>영혼석 ×3</t>
        </is>
      </c>
      <c r="K13" s="8" t="inlineStr">
        <is>
          <t>정예</t>
        </is>
      </c>
    </row>
    <row r="14">
      <c r="A14" s="7" t="n">
        <v>11</v>
      </c>
      <c r="B14" s="7" t="inlineStr">
        <is>
          <t>11웨이브 보스</t>
        </is>
      </c>
      <c r="C14" s="7" t="inlineStr">
        <is>
          <t>20,106</t>
        </is>
      </c>
      <c r="D14" s="7" t="n">
        <v>185</v>
      </c>
      <c r="E14" s="7" t="n">
        <v>52</v>
      </c>
      <c r="F14" s="7" t="inlineStr">
        <is>
          <t>115초</t>
        </is>
      </c>
      <c r="G14" s="7" t="inlineStr">
        <is>
          <t>2200G</t>
        </is>
      </c>
      <c r="H14" s="7" t="inlineStr">
        <is>
          <t>3300 EXP</t>
        </is>
      </c>
      <c r="I14" s="7" t="inlineStr">
        <is>
          <t>0💎</t>
        </is>
      </c>
      <c r="J14" s="7" t="inlineStr">
        <is>
          <t>-</t>
        </is>
      </c>
      <c r="K14" s="7" t="inlineStr">
        <is>
          <t>일반</t>
        </is>
      </c>
    </row>
    <row r="15">
      <c r="A15" s="8" t="n">
        <v>12</v>
      </c>
      <c r="B15" s="8" t="inlineStr">
        <is>
          <t>12웨이브 보스</t>
        </is>
      </c>
      <c r="C15" s="8" t="inlineStr">
        <is>
          <t>27,143</t>
        </is>
      </c>
      <c r="D15" s="8" t="n">
        <v>222</v>
      </c>
      <c r="E15" s="8" t="n">
        <v>61</v>
      </c>
      <c r="F15" s="8" t="inlineStr">
        <is>
          <t>120초</t>
        </is>
      </c>
      <c r="G15" s="8" t="inlineStr">
        <is>
          <t>2400G</t>
        </is>
      </c>
      <c r="H15" s="8" t="inlineStr">
        <is>
          <t>3600 EXP</t>
        </is>
      </c>
      <c r="I15" s="8" t="inlineStr">
        <is>
          <t>0💎</t>
        </is>
      </c>
      <c r="J15" s="8" t="inlineStr">
        <is>
          <t>-</t>
        </is>
      </c>
      <c r="K15" s="8" t="inlineStr">
        <is>
          <t>일반</t>
        </is>
      </c>
    </row>
    <row r="16">
      <c r="A16" s="7" t="n">
        <v>13</v>
      </c>
      <c r="B16" s="7" t="inlineStr">
        <is>
          <t>13웨이브 보스</t>
        </is>
      </c>
      <c r="C16" s="7" t="inlineStr">
        <is>
          <t>36,644</t>
        </is>
      </c>
      <c r="D16" s="7" t="n">
        <v>267</v>
      </c>
      <c r="E16" s="7" t="n">
        <v>72</v>
      </c>
      <c r="F16" s="7" t="inlineStr">
        <is>
          <t>125초</t>
        </is>
      </c>
      <c r="G16" s="7" t="inlineStr">
        <is>
          <t>2600G</t>
        </is>
      </c>
      <c r="H16" s="7" t="inlineStr">
        <is>
          <t>3900 EXP</t>
        </is>
      </c>
      <c r="I16" s="7" t="inlineStr">
        <is>
          <t>0💎</t>
        </is>
      </c>
      <c r="J16" s="7" t="inlineStr">
        <is>
          <t>-</t>
        </is>
      </c>
      <c r="K16" s="7" t="inlineStr">
        <is>
          <t>일반</t>
        </is>
      </c>
    </row>
    <row r="17">
      <c r="A17" s="8" t="n">
        <v>14</v>
      </c>
      <c r="B17" s="8" t="inlineStr">
        <is>
          <t>14웨이브 보스</t>
        </is>
      </c>
      <c r="C17" s="8" t="inlineStr">
        <is>
          <t>49,469</t>
        </is>
      </c>
      <c r="D17" s="8" t="n">
        <v>320</v>
      </c>
      <c r="E17" s="8" t="n">
        <v>85</v>
      </c>
      <c r="F17" s="8" t="inlineStr">
        <is>
          <t>130초</t>
        </is>
      </c>
      <c r="G17" s="8" t="inlineStr">
        <is>
          <t>2800G</t>
        </is>
      </c>
      <c r="H17" s="8" t="inlineStr">
        <is>
          <t>4200 EXP</t>
        </is>
      </c>
      <c r="I17" s="8" t="inlineStr">
        <is>
          <t>0💎</t>
        </is>
      </c>
      <c r="J17" s="8" t="inlineStr">
        <is>
          <t>-</t>
        </is>
      </c>
      <c r="K17" s="8" t="inlineStr">
        <is>
          <t>일반</t>
        </is>
      </c>
    </row>
    <row r="18">
      <c r="A18" s="7" t="n">
        <v>15</v>
      </c>
      <c r="B18" s="7" t="inlineStr">
        <is>
          <t>15웨이브 정예 보스</t>
        </is>
      </c>
      <c r="C18" s="7" t="inlineStr">
        <is>
          <t>66,784</t>
        </is>
      </c>
      <c r="D18" s="7" t="n">
        <v>385</v>
      </c>
      <c r="E18" s="7" t="n">
        <v>101</v>
      </c>
      <c r="F18" s="7" t="inlineStr">
        <is>
          <t>135초</t>
        </is>
      </c>
      <c r="G18" s="7" t="inlineStr">
        <is>
          <t>3000G</t>
        </is>
      </c>
      <c r="H18" s="7" t="inlineStr">
        <is>
          <t>4500 EXP</t>
        </is>
      </c>
      <c r="I18" s="7" t="inlineStr">
        <is>
          <t>30💎</t>
        </is>
      </c>
      <c r="J18" s="7" t="inlineStr">
        <is>
          <t>영혼석 ×3</t>
        </is>
      </c>
      <c r="K18" s="7" t="inlineStr">
        <is>
          <t>정예</t>
        </is>
      </c>
    </row>
    <row r="19">
      <c r="A19" s="8" t="n">
        <v>16</v>
      </c>
      <c r="B19" s="8" t="inlineStr">
        <is>
          <t>16웨이브 보스</t>
        </is>
      </c>
      <c r="C19" s="8" t="inlineStr">
        <is>
          <t>90,158</t>
        </is>
      </c>
      <c r="D19" s="8" t="n">
        <v>462</v>
      </c>
      <c r="E19" s="8" t="n">
        <v>119</v>
      </c>
      <c r="F19" s="8" t="inlineStr">
        <is>
          <t>140초</t>
        </is>
      </c>
      <c r="G19" s="8" t="inlineStr">
        <is>
          <t>3200G</t>
        </is>
      </c>
      <c r="H19" s="8" t="inlineStr">
        <is>
          <t>4800 EXP</t>
        </is>
      </c>
      <c r="I19" s="8" t="inlineStr">
        <is>
          <t>0💎</t>
        </is>
      </c>
      <c r="J19" s="8" t="inlineStr">
        <is>
          <t>-</t>
        </is>
      </c>
      <c r="K19" s="8" t="inlineStr">
        <is>
          <t>일반</t>
        </is>
      </c>
    </row>
    <row r="20">
      <c r="A20" s="7" t="n">
        <v>17</v>
      </c>
      <c r="B20" s="7" t="inlineStr">
        <is>
          <t>17웨이브 보스</t>
        </is>
      </c>
      <c r="C20" s="7" t="inlineStr">
        <is>
          <t>121,713</t>
        </is>
      </c>
      <c r="D20" s="7" t="n">
        <v>554</v>
      </c>
      <c r="E20" s="7" t="n">
        <v>141</v>
      </c>
      <c r="F20" s="7" t="inlineStr">
        <is>
          <t>145초</t>
        </is>
      </c>
      <c r="G20" s="7" t="inlineStr">
        <is>
          <t>3400G</t>
        </is>
      </c>
      <c r="H20" s="7" t="inlineStr">
        <is>
          <t>5100 EXP</t>
        </is>
      </c>
      <c r="I20" s="7" t="inlineStr">
        <is>
          <t>0💎</t>
        </is>
      </c>
      <c r="J20" s="7" t="inlineStr">
        <is>
          <t>-</t>
        </is>
      </c>
      <c r="K20" s="7" t="inlineStr">
        <is>
          <t>일반</t>
        </is>
      </c>
    </row>
    <row r="21">
      <c r="A21" s="8" t="n">
        <v>18</v>
      </c>
      <c r="B21" s="8" t="inlineStr">
        <is>
          <t>18웨이브 보스</t>
        </is>
      </c>
      <c r="C21" s="8" t="inlineStr">
        <is>
          <t>164,313</t>
        </is>
      </c>
      <c r="D21" s="8" t="n">
        <v>665</v>
      </c>
      <c r="E21" s="8" t="n">
        <v>166</v>
      </c>
      <c r="F21" s="8" t="inlineStr">
        <is>
          <t>150초</t>
        </is>
      </c>
      <c r="G21" s="8" t="inlineStr">
        <is>
          <t>3600G</t>
        </is>
      </c>
      <c r="H21" s="8" t="inlineStr">
        <is>
          <t>5400 EXP</t>
        </is>
      </c>
      <c r="I21" s="8" t="inlineStr">
        <is>
          <t>0💎</t>
        </is>
      </c>
      <c r="J21" s="8" t="inlineStr">
        <is>
          <t>-</t>
        </is>
      </c>
      <c r="K21" s="8" t="inlineStr">
        <is>
          <t>일반</t>
        </is>
      </c>
    </row>
    <row r="22">
      <c r="A22" s="7" t="n">
        <v>19</v>
      </c>
      <c r="B22" s="7" t="inlineStr">
        <is>
          <t>19웨이브 보스</t>
        </is>
      </c>
      <c r="C22" s="7" t="inlineStr">
        <is>
          <t>221,823</t>
        </is>
      </c>
      <c r="D22" s="7" t="n">
        <v>798</v>
      </c>
      <c r="E22" s="7" t="n">
        <v>196</v>
      </c>
      <c r="F22" s="7" t="inlineStr">
        <is>
          <t>155초</t>
        </is>
      </c>
      <c r="G22" s="7" t="inlineStr">
        <is>
          <t>3800G</t>
        </is>
      </c>
      <c r="H22" s="7" t="inlineStr">
        <is>
          <t>5700 EXP</t>
        </is>
      </c>
      <c r="I22" s="7" t="inlineStr">
        <is>
          <t>0💎</t>
        </is>
      </c>
      <c r="J22" s="7" t="inlineStr">
        <is>
          <t>-</t>
        </is>
      </c>
      <c r="K22" s="7" t="inlineStr">
        <is>
          <t>일반</t>
        </is>
      </c>
    </row>
    <row r="23">
      <c r="A23" s="8" t="n">
        <v>20</v>
      </c>
      <c r="B23" s="8" t="inlineStr">
        <is>
          <t>심연의 군주</t>
        </is>
      </c>
      <c r="C23" s="8" t="inlineStr">
        <is>
          <t>299,461</t>
        </is>
      </c>
      <c r="D23" s="8" t="n">
        <v>958</v>
      </c>
      <c r="E23" s="8" t="n">
        <v>232</v>
      </c>
      <c r="F23" s="8" t="inlineStr">
        <is>
          <t>160초</t>
        </is>
      </c>
      <c r="G23" s="8" t="inlineStr">
        <is>
          <t>4000G</t>
        </is>
      </c>
      <c r="H23" s="8" t="inlineStr">
        <is>
          <t>6000 EXP</t>
        </is>
      </c>
      <c r="I23" s="8" t="inlineStr">
        <is>
          <t>200💎</t>
        </is>
      </c>
      <c r="J23" s="8" t="inlineStr">
        <is>
          <t>용재료 ×5</t>
        </is>
      </c>
      <c r="K23" s="8" t="inlineStr">
        <is>
          <t>최종</t>
        </is>
      </c>
    </row>
    <row r="26">
      <c r="A26" s="9" t="inlineStr">
        <is>
          <t>보스 러시 시스템</t>
        </is>
      </c>
    </row>
    <row r="27">
      <c r="A27" s="3" t="inlineStr">
        <is>
          <t>스케일링</t>
        </is>
      </c>
      <c r="B27" s="3" t="inlineStr">
        <is>
          <t>HP ×1.35^(웨이브-1) / ATK ×1.20 / DEF ×1.18</t>
        </is>
      </c>
    </row>
    <row r="28">
      <c r="A28" s="3" t="inlineStr">
        <is>
          <t>총 HP (20웨이브)</t>
        </is>
      </c>
      <c r="B28" s="3" t="inlineStr">
        <is>
          <t>약 35만 (심연의 군주)</t>
        </is>
      </c>
    </row>
    <row r="29">
      <c r="A29" s="3" t="inlineStr">
        <is>
          <t>시간 제한</t>
        </is>
      </c>
      <c r="B29" s="3" t="inlineStr">
        <is>
          <t>웨이브 1: 65초 → 웨이브 20: 165초</t>
        </is>
      </c>
    </row>
    <row r="30">
      <c r="A30" s="3" t="inlineStr">
        <is>
          <t>보스 웨이브</t>
        </is>
      </c>
      <c r="B30" s="3" t="inlineStr">
        <is>
          <t>5/10/15/20 (다이아 + 영혼석 보너스)</t>
        </is>
      </c>
    </row>
    <row r="31">
      <c r="A31" s="3" t="inlineStr">
        <is>
          <t>최종 보상</t>
        </is>
      </c>
      <c r="B31" s="3" t="inlineStr">
        <is>
          <t>심연의 군주: 4000G + 6000EXP + 200💎 + 용재료×5</t>
        </is>
      </c>
    </row>
    <row r="32">
      <c r="A32" s="3" t="inlineStr">
        <is>
          <t>입장</t>
        </is>
      </c>
      <c r="B32" s="3" t="inlineStr">
        <is>
          <t>매일 무료 3회 / 골드 1000G / 다이아 30💎</t>
        </is>
      </c>
    </row>
    <row r="33">
      <c r="A33" s="3" t="inlineStr">
        <is>
          <t>랭킹 1위 보상</t>
        </is>
      </c>
      <c r="B33" s="3" t="inlineStr">
        <is>
          <t>500💎 + 보스 러시 챔피언 칭호</t>
        </is>
      </c>
    </row>
    <row r="34">
      <c r="A34" s="3" t="inlineStr">
        <is>
          <t>모듈</t>
        </is>
      </c>
      <c r="B34" s="3" t="inlineStr">
        <is>
          <t>game/boss_rush.js (신규 파일)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18" customWidth="1" min="7" max="7"/>
  </cols>
  <sheetData>
    <row r="1">
      <c r="A1" s="5" t="inlineStr">
        <is>
          <t>행운의 룰렛 (10종 — v1.22 신규 모듈 game/lottery.js)</t>
        </is>
      </c>
    </row>
    <row r="3">
      <c r="A3" s="6" t="inlineStr">
        <is>
          <t>ID</t>
        </is>
      </c>
      <c r="B3" s="6" t="inlineStr">
        <is>
          <t>보상명</t>
        </is>
      </c>
      <c r="C3" s="6" t="inlineStr">
        <is>
          <t>등급</t>
        </is>
      </c>
      <c r="D3" s="6" t="inlineStr">
        <is>
          <t>색상</t>
        </is>
      </c>
      <c r="E3" s="6" t="inlineStr">
        <is>
          <t>가중치</t>
        </is>
      </c>
      <c r="F3" s="6" t="inlineStr">
        <is>
          <t>확률</t>
        </is>
      </c>
      <c r="G3" s="6" t="inlineStr">
        <is>
          <t>상세</t>
        </is>
      </c>
    </row>
    <row r="4">
      <c r="A4" s="7" t="inlineStr">
        <is>
          <t>common_gold</t>
        </is>
      </c>
      <c r="B4" s="7" t="inlineStr">
        <is>
          <t>100 골드</t>
        </is>
      </c>
      <c r="C4" s="7" t="inlineStr">
        <is>
          <t>일반</t>
        </is>
      </c>
      <c r="D4" s="7" t="inlineStr">
        <is>
          <t>회색</t>
        </is>
      </c>
      <c r="E4" s="7" t="n">
        <v>350</v>
      </c>
      <c r="F4" s="7" t="inlineStr">
        <is>
          <t>35.0%</t>
        </is>
      </c>
      <c r="G4" s="7" t="inlineStr">
        <is>
          <t>100 G</t>
        </is>
      </c>
    </row>
    <row r="5">
      <c r="A5" s="8" t="inlineStr">
        <is>
          <t>common_mat</t>
        </is>
      </c>
      <c r="B5" s="8" t="inlineStr">
        <is>
          <t>마법재료 ×3</t>
        </is>
      </c>
      <c r="C5" s="8" t="inlineStr">
        <is>
          <t>일반</t>
        </is>
      </c>
      <c r="D5" s="8" t="inlineStr">
        <is>
          <t>회색</t>
        </is>
      </c>
      <c r="E5" s="8" t="n">
        <v>250</v>
      </c>
      <c r="F5" s="8" t="inlineStr">
        <is>
          <t>25.0%</t>
        </is>
      </c>
      <c r="G5" s="8" t="inlineStr">
        <is>
          <t>마법재료 ×3</t>
        </is>
      </c>
    </row>
    <row r="6">
      <c r="A6" s="7" t="inlineStr">
        <is>
          <t>uncommon_gold</t>
        </is>
      </c>
      <c r="B6" s="7" t="inlineStr">
        <is>
          <t>500 골드</t>
        </is>
      </c>
      <c r="C6" s="7" t="inlineStr">
        <is>
          <t>고급</t>
        </is>
      </c>
      <c r="D6" s="7" t="inlineStr">
        <is>
          <t>녹색</t>
        </is>
      </c>
      <c r="E6" s="7" t="n">
        <v>150</v>
      </c>
      <c r="F6" s="7" t="inlineStr">
        <is>
          <t>15.0%</t>
        </is>
      </c>
      <c r="G6" s="7" t="inlineStr">
        <is>
          <t>500 G</t>
        </is>
      </c>
    </row>
    <row r="7">
      <c r="A7" s="8" t="inlineStr">
        <is>
          <t>uncommon_food</t>
        </is>
      </c>
      <c r="B7" s="8" t="inlineStr">
        <is>
          <t>용의 만찬 ×1</t>
        </is>
      </c>
      <c r="C7" s="8" t="inlineStr">
        <is>
          <t>고급</t>
        </is>
      </c>
      <c r="D7" s="8" t="inlineStr">
        <is>
          <t>녹색</t>
        </is>
      </c>
      <c r="E7" s="8" t="n">
        <v>80</v>
      </c>
      <c r="F7" s="8" t="inlineStr">
        <is>
          <t>8.0%</t>
        </is>
      </c>
      <c r="G7" s="8" t="inlineStr">
        <is>
          <t>용의 만찬 ×1</t>
        </is>
      </c>
    </row>
    <row r="8">
      <c r="A8" s="7" t="inlineStr">
        <is>
          <t>rare_diamond</t>
        </is>
      </c>
      <c r="B8" s="7" t="inlineStr">
        <is>
          <t>20 다이아</t>
        </is>
      </c>
      <c r="C8" s="7" t="inlineStr">
        <is>
          <t>희귀</t>
        </is>
      </c>
      <c r="D8" s="7" t="inlineStr">
        <is>
          <t>파랑</t>
        </is>
      </c>
      <c r="E8" s="7" t="n">
        <v>60</v>
      </c>
      <c r="F8" s="7" t="inlineStr">
        <is>
          <t>6.0%</t>
        </is>
      </c>
      <c r="G8" s="7" t="inlineStr">
        <is>
          <t>20 💎</t>
        </is>
      </c>
    </row>
    <row r="9">
      <c r="A9" s="8" t="inlineStr">
        <is>
          <t>rare_soul</t>
        </is>
      </c>
      <c r="B9" s="8" t="inlineStr">
        <is>
          <t>영혼석 ×5</t>
        </is>
      </c>
      <c r="C9" s="8" t="inlineStr">
        <is>
          <t>희귀</t>
        </is>
      </c>
      <c r="D9" s="8" t="inlineStr">
        <is>
          <t>파랑</t>
        </is>
      </c>
      <c r="E9" s="8" t="n">
        <v>50</v>
      </c>
      <c r="F9" s="8" t="inlineStr">
        <is>
          <t>5.0%</t>
        </is>
      </c>
      <c r="G9" s="8" t="inlineStr">
        <is>
          <t>영혼석 ×5</t>
        </is>
      </c>
    </row>
    <row r="10">
      <c r="A10" s="7" t="inlineStr">
        <is>
          <t>epic_dragon</t>
        </is>
      </c>
      <c r="B10" s="7" t="inlineStr">
        <is>
          <t>용재료 ×3</t>
        </is>
      </c>
      <c r="C10" s="7" t="inlineStr">
        <is>
          <t>영웅</t>
        </is>
      </c>
      <c r="D10" s="7" t="inlineStr">
        <is>
          <t>보라</t>
        </is>
      </c>
      <c r="E10" s="7" t="n">
        <v>30</v>
      </c>
      <c r="F10" s="7" t="inlineStr">
        <is>
          <t>3.0%</t>
        </is>
      </c>
      <c r="G10" s="7" t="inlineStr">
        <is>
          <t>용재료 ×3</t>
        </is>
      </c>
    </row>
    <row r="11">
      <c r="A11" s="8" t="inlineStr">
        <is>
          <t>epic_box</t>
        </is>
      </c>
      <c r="B11" s="8" t="inlineStr">
        <is>
          <t>희귀 상자 ×1</t>
        </is>
      </c>
      <c r="C11" s="8" t="inlineStr">
        <is>
          <t>영웅</t>
        </is>
      </c>
      <c r="D11" s="8" t="inlineStr">
        <is>
          <t>보라</t>
        </is>
      </c>
      <c r="E11" s="8" t="n">
        <v>20</v>
      </c>
      <c r="F11" s="8" t="inlineStr">
        <is>
          <t>2.0%</t>
        </is>
      </c>
      <c r="G11" s="8" t="inlineStr">
        <is>
          <t>희귀 상자 ×1</t>
        </is>
      </c>
    </row>
    <row r="12">
      <c r="A12" s="7" t="inlineStr">
        <is>
          <t>legend_diamond</t>
        </is>
      </c>
      <c r="B12" s="7" t="inlineStr">
        <is>
          <t>200 다이아</t>
        </is>
      </c>
      <c r="C12" s="7" t="inlineStr">
        <is>
          <t>전설</t>
        </is>
      </c>
      <c r="D12" s="7" t="inlineStr">
        <is>
          <t>주황</t>
        </is>
      </c>
      <c r="E12" s="7" t="n">
        <v>8</v>
      </c>
      <c r="F12" s="7" t="inlineStr">
        <is>
          <t>0.8%</t>
        </is>
      </c>
      <c r="G12" s="7" t="inlineStr">
        <is>
          <t>200 💎</t>
        </is>
      </c>
    </row>
    <row r="13">
      <c r="A13" s="8" t="inlineStr">
        <is>
          <t>legend_equip</t>
        </is>
      </c>
      <c r="B13" s="8" t="inlineStr">
        <is>
          <t>영웅 장비 상자</t>
        </is>
      </c>
      <c r="C13" s="8" t="inlineStr">
        <is>
          <t>전설</t>
        </is>
      </c>
      <c r="D13" s="8" t="inlineStr">
        <is>
          <t>주황</t>
        </is>
      </c>
      <c r="E13" s="8" t="n">
        <v>2</v>
      </c>
      <c r="F13" s="8" t="inlineStr">
        <is>
          <t>0.2%</t>
        </is>
      </c>
      <c r="G13" s="8" t="inlineStr">
        <is>
          <t>영웅 장비 상자</t>
        </is>
      </c>
    </row>
    <row r="16">
      <c r="A16" s="9" t="inlineStr">
        <is>
          <t>룰렛 시스템</t>
        </is>
      </c>
    </row>
    <row r="17">
      <c r="A17" s="3" t="inlineStr">
        <is>
          <t>무료 스핀</t>
        </is>
      </c>
      <c r="B17" s="3" t="inlineStr">
        <is>
          <t>매일 1회 (자정 초기화)</t>
        </is>
      </c>
    </row>
    <row r="18">
      <c r="A18" s="3" t="inlineStr">
        <is>
          <t>유료 스핀</t>
        </is>
      </c>
      <c r="B18" s="3" t="inlineStr">
        <is>
          <t>50 다이아 / 회</t>
        </is>
      </c>
    </row>
    <row r="19">
      <c r="A19" s="3" t="inlineStr">
        <is>
          <t>10연속 스핀</t>
        </is>
      </c>
      <c r="B19" s="3" t="inlineStr">
        <is>
          <t>450 다이아 (회당 45💎, 10% 할인)</t>
        </is>
      </c>
    </row>
    <row r="20">
      <c r="A20" s="3" t="inlineStr">
        <is>
          <t>총 가중치</t>
        </is>
      </c>
      <c r="B20" s="3" t="inlineStr">
        <is>
          <t>1,000 (확률 합계 100%)</t>
        </is>
      </c>
    </row>
    <row r="21">
      <c r="A21" s="3" t="inlineStr">
        <is>
          <t>최고 보상</t>
        </is>
      </c>
      <c r="B21" s="3" t="inlineStr">
        <is>
          <t>영웅 장비 상자 (0.2%)</t>
        </is>
      </c>
    </row>
    <row r="22">
      <c r="A22" s="3" t="inlineStr">
        <is>
          <t>모듈</t>
        </is>
      </c>
      <c r="B22" s="3" t="inlineStr">
        <is>
          <t>game/lottery.js (신규 파일)</t>
        </is>
      </c>
    </row>
    <row r="23">
      <c r="A23" s="3" t="inlineStr">
        <is>
          <t>업적 연계</t>
        </is>
      </c>
      <c r="B23" s="3" t="inlineStr">
        <is>
          <t>행운의 룰렛 30회 → ach_lucky 업적 (기존)</t>
        </is>
      </c>
    </row>
  </sheetData>
  <mergeCells count="1"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28" customWidth="1" min="5" max="5"/>
    <col width="30" customWidth="1" min="6" max="6"/>
    <col width="24" customWidth="1" min="7" max="7"/>
  </cols>
  <sheetData>
    <row r="1">
      <c r="A1" s="5" t="inlineStr">
        <is>
          <t>축제 이벤트 (5종 — v1.21 신규 모듈 game/event.js)</t>
        </is>
      </c>
    </row>
    <row r="3">
      <c r="A3" s="6" t="inlineStr">
        <is>
          <t>ID</t>
        </is>
      </c>
      <c r="B3" s="6" t="inlineStr">
        <is>
          <t>축제명</t>
        </is>
      </c>
      <c r="C3" s="6" t="inlineStr">
        <is>
          <t>기간</t>
        </is>
      </c>
      <c r="D3" s="6" t="inlineStr">
        <is>
          <t>색상</t>
        </is>
      </c>
      <c r="E3" s="6" t="inlineStr">
        <is>
          <t>글로벌 버프</t>
        </is>
      </c>
      <c r="F3" s="6" t="inlineStr">
        <is>
          <t>한정 보상</t>
        </is>
      </c>
      <c r="G3" s="6" t="inlineStr">
        <is>
          <t>NPC 인사</t>
        </is>
      </c>
    </row>
    <row r="4">
      <c r="A4" s="7" t="inlineStr">
        <is>
          <t>new_year</t>
        </is>
      </c>
      <c r="B4" s="7" t="inlineStr">
        <is>
          <t>신년 축제</t>
        </is>
      </c>
      <c r="C4" s="7" t="inlineStr">
        <is>
          <t>1/1 ~ 1/7</t>
        </is>
      </c>
      <c r="D4" s="7" t="inlineStr">
        <is>
          <t>금색</t>
        </is>
      </c>
      <c r="E4" s="7" t="inlineStr">
        <is>
          <t>골드 +50% / EXP +30%</t>
        </is>
      </c>
      <c r="F4" s="7" t="inlineStr">
        <is>
          <t>새해 칭호 / 황금마 / 천상 스킨</t>
        </is>
      </c>
      <c r="G4" s="7" t="inlineStr">
        <is>
          <t>새해 복 많이 받으세요!</t>
        </is>
      </c>
    </row>
    <row r="5">
      <c r="A5" s="8" t="inlineStr">
        <is>
          <t>spring_blossom</t>
        </is>
      </c>
      <c r="B5" s="8" t="inlineStr">
        <is>
          <t>봄꽃 축제</t>
        </is>
      </c>
      <c r="C5" s="8" t="inlineStr">
        <is>
          <t>4/1 ~ 4/14</t>
        </is>
      </c>
      <c r="D5" s="8" t="inlineStr">
        <is>
          <t>연분홍</t>
        </is>
      </c>
      <c r="E5" s="8" t="inlineStr">
        <is>
          <t>HP재생 +30% / 드롭률 +20%</t>
        </is>
      </c>
      <c r="F5" s="8" t="inlineStr">
        <is>
          <t>벚꽃 칭호 / 체리 요정 펫 / 벚꽃차</t>
        </is>
      </c>
      <c r="G5" s="8" t="inlineStr">
        <is>
          <t>꽃잎이 흩날리는 계절...</t>
        </is>
      </c>
    </row>
    <row r="6">
      <c r="A6" s="7" t="inlineStr">
        <is>
          <t>midsummer</t>
        </is>
      </c>
      <c r="B6" s="7" t="inlineStr">
        <is>
          <t>한여름 밤의 축제</t>
        </is>
      </c>
      <c r="C6" s="7" t="inlineStr">
        <is>
          <t>7/15 ~ 8/15</t>
        </is>
      </c>
      <c r="D6" s="7" t="inlineStr">
        <is>
          <t>주황</t>
        </is>
      </c>
      <c r="E6" s="7" t="inlineStr">
        <is>
          <t>화염 DMG +30% / PvP 보상 +50%</t>
        </is>
      </c>
      <c r="F6" s="7" t="inlineStr">
        <is>
          <t>여름왕 칭호 / 화염 스킨 / 타이탄 엘릭서</t>
        </is>
      </c>
      <c r="G6" s="7" t="inlineStr">
        <is>
          <t>뜨거운 밤이군요!</t>
        </is>
      </c>
    </row>
    <row r="7">
      <c r="A7" s="8" t="inlineStr">
        <is>
          <t>halloween</t>
        </is>
      </c>
      <c r="B7" s="8" t="inlineStr">
        <is>
          <t>할로윈 축제</t>
        </is>
      </c>
      <c r="C7" s="8" t="inlineStr">
        <is>
          <t>10/25 ~ 11/1</t>
        </is>
      </c>
      <c r="D7" s="8" t="inlineStr">
        <is>
          <t>오렌지</t>
        </is>
      </c>
      <c r="E7" s="8" t="inlineStr">
        <is>
          <t>크리티컬 +10% / 언데드 DMG +50%</t>
        </is>
      </c>
      <c r="F7" s="8" t="inlineStr">
        <is>
          <t>호박 칭호 / 유령 펫 / 공허 스킨</t>
        </is>
      </c>
      <c r="G7" s="8" t="inlineStr">
        <is>
          <t>Trick or Treat!</t>
        </is>
      </c>
    </row>
    <row r="8">
      <c r="A8" s="7" t="inlineStr">
        <is>
          <t>winter_festival</t>
        </is>
      </c>
      <c r="B8" s="7" t="inlineStr">
        <is>
          <t>겨울 축제</t>
        </is>
      </c>
      <c r="C8" s="7" t="inlineStr">
        <is>
          <t>12/20 ~ 12/31</t>
        </is>
      </c>
      <c r="D8" s="7" t="inlineStr">
        <is>
          <t>하늘색</t>
        </is>
      </c>
      <c r="E8" s="7" t="inlineStr">
        <is>
          <t>골드 +30% / EXP +30% / 드롭 +30%</t>
        </is>
      </c>
      <c r="F8" s="7" t="inlineStr">
        <is>
          <t>겨울 전설 칭호 / 순록 / 오로라 스킨</t>
        </is>
      </c>
      <c r="G8" s="7" t="inlineStr">
        <is>
          <t>메리 크리스마스!</t>
        </is>
      </c>
    </row>
    <row r="11">
      <c r="A11" s="9" t="inlineStr">
        <is>
          <t>축제 이벤트 시스템</t>
        </is>
      </c>
    </row>
    <row r="12">
      <c r="A12" s="3" t="inlineStr">
        <is>
          <t>활성화</t>
        </is>
      </c>
      <c r="B12" s="3" t="inlineStr">
        <is>
          <t>실제 달력 기준 자동 (서버 시간)</t>
        </is>
      </c>
    </row>
    <row r="13">
      <c r="A13" s="3" t="inlineStr">
        <is>
          <t>글로벌 버프</t>
        </is>
      </c>
      <c r="B13" s="3" t="inlineStr">
        <is>
          <t>모든 플레이어에게 자동 적용</t>
        </is>
      </c>
    </row>
    <row r="14">
      <c r="A14" s="3" t="inlineStr">
        <is>
          <t>한정 보상</t>
        </is>
      </c>
      <c r="B14" s="3" t="inlineStr">
        <is>
          <t>이벤트 기간 중에만 획득 가능 (영구 소지)</t>
        </is>
      </c>
    </row>
    <row r="15">
      <c r="A15" s="3" t="inlineStr">
        <is>
          <t>NPC 대사</t>
        </is>
      </c>
      <c r="B15" s="3" t="inlineStr">
        <is>
          <t>이벤트 기간 중 모든 NPC에 인사 추가</t>
        </is>
      </c>
    </row>
    <row r="16">
      <c r="A16" s="3" t="inlineStr">
        <is>
          <t>모듈</t>
        </is>
      </c>
      <c r="B16" s="3" t="inlineStr">
        <is>
          <t>game/event.js (신규 파일)</t>
        </is>
      </c>
    </row>
    <row r="17">
      <c r="A17" s="3" t="inlineStr">
        <is>
          <t>헬퍼 함수</t>
        </is>
      </c>
      <c r="B17" s="3" t="inlineStr">
        <is>
          <t>getActiveEvent() / getEventBuff() / isExclusiveRewardActive()</t>
        </is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32" customWidth="1" min="4" max="4"/>
  </cols>
  <sheetData>
    <row r="1">
      <c r="A1" s="5" t="inlineStr">
        <is>
          <t>시즌 패스 (15티어 — v1.20 신규 모듈)</t>
        </is>
      </c>
    </row>
    <row r="3">
      <c r="A3" s="6" t="inlineStr">
        <is>
          <t>티어</t>
        </is>
      </c>
      <c r="B3" s="6" t="inlineStr">
        <is>
          <t>필요 XP</t>
        </is>
      </c>
      <c r="C3" s="6" t="inlineStr">
        <is>
          <t>무료 트랙</t>
        </is>
      </c>
      <c r="D3" s="6" t="inlineStr">
        <is>
          <t>프리미엄 트랙</t>
        </is>
      </c>
    </row>
    <row r="4">
      <c r="A4" s="7" t="n">
        <v>1</v>
      </c>
      <c r="B4" s="7" t="n">
        <v>100</v>
      </c>
      <c r="C4" s="7" t="inlineStr">
        <is>
          <t>500G</t>
        </is>
      </c>
      <c r="D4" s="7" t="inlineStr">
        <is>
          <t>50💎</t>
        </is>
      </c>
    </row>
    <row r="5">
      <c r="A5" s="8" t="n">
        <v>2</v>
      </c>
      <c r="B5" s="8" t="n">
        <v>250</v>
      </c>
      <c r="C5" s="8" t="inlineStr">
        <is>
          <t>마법재료 ×5</t>
        </is>
      </c>
      <c r="D5" s="8" t="inlineStr">
        <is>
          <t>용재료 ×2</t>
        </is>
      </c>
    </row>
    <row r="6">
      <c r="A6" s="7" t="n">
        <v>3</v>
      </c>
      <c r="B6" s="7" t="n">
        <v>500</v>
      </c>
      <c r="C6" s="7" t="inlineStr">
        <is>
          <t>1000G</t>
        </is>
      </c>
      <c r="D6" s="7" t="inlineStr">
        <is>
          <t>시즌 글로우 스킨</t>
        </is>
      </c>
    </row>
    <row r="7">
      <c r="A7" s="8" t="n">
        <v>4</v>
      </c>
      <c r="B7" s="8" t="n">
        <v>800</v>
      </c>
      <c r="C7" s="8" t="inlineStr">
        <is>
          <t>EXP 부스터 ×1</t>
        </is>
      </c>
      <c r="D7" s="8" t="inlineStr">
        <is>
          <t>메가 EXP ×1</t>
        </is>
      </c>
    </row>
    <row r="8">
      <c r="A8" s="7" t="n">
        <v>5</v>
      </c>
      <c r="B8" s="7" t="n">
        <v>1200</v>
      </c>
      <c r="C8" s="7" t="inlineStr">
        <is>
          <t>2000G + 30💎</t>
        </is>
      </c>
      <c r="D8" s="7" t="inlineStr">
        <is>
          <t>희귀 상자 ×1</t>
        </is>
      </c>
    </row>
    <row r="9">
      <c r="A9" s="8" t="n">
        <v>6</v>
      </c>
      <c r="B9" s="8" t="n">
        <v>1700</v>
      </c>
      <c r="C9" s="8" t="inlineStr">
        <is>
          <t>영혼석 ×5</t>
        </is>
      </c>
      <c r="D9" s="8" t="inlineStr">
        <is>
          <t>영혼석 ×15</t>
        </is>
      </c>
    </row>
    <row r="10">
      <c r="A10" s="7" t="n">
        <v>7</v>
      </c>
      <c r="B10" s="7" t="n">
        <v>2300</v>
      </c>
      <c r="C10" s="7" t="inlineStr">
        <is>
          <t>황금 수프 ×3</t>
        </is>
      </c>
      <c r="D10" s="7" t="inlineStr">
        <is>
          <t>왕의 연회 ×3</t>
        </is>
      </c>
    </row>
    <row r="11">
      <c r="A11" s="8" t="n">
        <v>8</v>
      </c>
      <c r="B11" s="8" t="n">
        <v>3000</v>
      </c>
      <c r="C11" s="8" t="inlineStr">
        <is>
          <t>3000G</t>
        </is>
      </c>
      <c r="D11" s="8" t="inlineStr">
        <is>
          <t>100💎</t>
        </is>
      </c>
    </row>
    <row r="12">
      <c r="A12" s="7" t="n">
        <v>9</v>
      </c>
      <c r="B12" s="7" t="n">
        <v>3800</v>
      </c>
      <c r="C12" s="7" t="inlineStr">
        <is>
          <t>용재료 ×1</t>
        </is>
      </c>
      <c r="D12" s="7" t="inlineStr">
        <is>
          <t>용재료 ×5</t>
        </is>
      </c>
    </row>
    <row r="13">
      <c r="A13" s="8" t="n">
        <v>10</v>
      </c>
      <c r="B13" s="8" t="n">
        <v>4700</v>
      </c>
      <c r="C13" s="8" t="inlineStr">
        <is>
          <t>5000G + 50💎</t>
        </is>
      </c>
      <c r="D13" s="8" t="inlineStr">
        <is>
          <t>영웅의 갑옷</t>
        </is>
      </c>
    </row>
    <row r="14">
      <c r="A14" s="7" t="n">
        <v>11</v>
      </c>
      <c r="B14" s="7" t="n">
        <v>5700</v>
      </c>
      <c r="C14" s="7" t="inlineStr">
        <is>
          <t>보호 주문서 ×1</t>
        </is>
      </c>
      <c r="D14" s="7" t="inlineStr">
        <is>
          <t>보호 주문서 ×3</t>
        </is>
      </c>
    </row>
    <row r="15">
      <c r="A15" s="8" t="n">
        <v>12</v>
      </c>
      <c r="B15" s="8" t="n">
        <v>6800</v>
      </c>
      <c r="C15" s="8" t="inlineStr">
        <is>
          <t>마법재료 ×10</t>
        </is>
      </c>
      <c r="D15" s="8" t="inlineStr">
        <is>
          <t>타이탄 엘릭서 ×2</t>
        </is>
      </c>
    </row>
    <row r="16">
      <c r="A16" s="7" t="n">
        <v>13</v>
      </c>
      <c r="B16" s="7" t="n">
        <v>8000</v>
      </c>
      <c r="C16" s="7" t="inlineStr">
        <is>
          <t>8000G</t>
        </is>
      </c>
      <c r="D16" s="7" t="inlineStr">
        <is>
          <t>영웅의 검</t>
        </is>
      </c>
    </row>
    <row r="17">
      <c r="A17" s="8" t="n">
        <v>14</v>
      </c>
      <c r="B17" s="8" t="n">
        <v>9300</v>
      </c>
      <c r="C17" s="8" t="inlineStr">
        <is>
          <t>80💎</t>
        </is>
      </c>
      <c r="D17" s="8" t="inlineStr">
        <is>
          <t>200💎</t>
        </is>
      </c>
    </row>
    <row r="18">
      <c r="A18" s="7" t="n">
        <v>15</v>
      </c>
      <c r="B18" s="7" t="n">
        <v>10700</v>
      </c>
      <c r="C18" s="7" t="inlineStr">
        <is>
          <t>15000G + 100💎</t>
        </is>
      </c>
      <c r="D18" s="7" t="inlineStr">
        <is>
          <t>태초의 반지 + 시즌 전설 칭호</t>
        </is>
      </c>
    </row>
    <row r="21">
      <c r="A21" s="9" t="inlineStr">
        <is>
          <t>시즌 패스 시스템</t>
        </is>
      </c>
    </row>
    <row r="22">
      <c r="A22" s="3" t="inlineStr">
        <is>
          <t>시즌 기간</t>
        </is>
      </c>
      <c r="B22" s="3" t="inlineStr">
        <is>
          <t>30일 사이클</t>
        </is>
      </c>
    </row>
    <row r="23">
      <c r="A23" s="3" t="inlineStr">
        <is>
          <t>프리미엄 가격</t>
        </is>
      </c>
      <c r="B23" s="3" t="inlineStr">
        <is>
          <t>1500 다이아 (시즌당)</t>
        </is>
      </c>
    </row>
    <row r="24">
      <c r="A24" s="3" t="inlineStr">
        <is>
          <t>XP 획득</t>
        </is>
      </c>
      <c r="B24" s="3" t="inlineStr">
        <is>
          <t>일일퀘 +200 / 주간퀘 +800 / 보스 +50 / PvP승 +30 / 월드보스 +500 / 던전 +150 / 제작 +20</t>
        </is>
      </c>
    </row>
    <row r="25">
      <c r="A25" s="3" t="inlineStr">
        <is>
          <t>총 필요 XP</t>
        </is>
      </c>
      <c r="B25" s="3" t="inlineStr">
        <is>
          <t>10,700 (15티어 만렙)</t>
        </is>
      </c>
    </row>
    <row r="26">
      <c r="A26" s="3" t="inlineStr">
        <is>
          <t>보상 트랙</t>
        </is>
      </c>
      <c r="B26" s="3" t="inlineStr">
        <is>
          <t>무료 (모두 획득) + 프리미엄 (구매자 전용)</t>
        </is>
      </c>
    </row>
    <row r="27">
      <c r="A27" s="3" t="inlineStr">
        <is>
          <t>모듈</t>
        </is>
      </c>
      <c r="B27" s="3" t="inlineStr">
        <is>
          <t>game/season.js (신규 파일, 데이터 + 헬퍼 함수)</t>
        </is>
      </c>
    </row>
  </sheetData>
  <mergeCells count="1">
    <mergeCell ref="A1:D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0" customWidth="1" min="4" max="4"/>
    <col width="18" customWidth="1" min="5" max="5"/>
  </cols>
  <sheetData>
    <row r="1">
      <c r="A1" s="5" t="inlineStr">
        <is>
          <t>무료 다이아 획득 (13종 — v1.19 마일스톤 5종 신규)</t>
        </is>
      </c>
    </row>
    <row r="3">
      <c r="A3" s="6" t="inlineStr">
        <is>
          <t>ID</t>
        </is>
      </c>
      <c r="B3" s="6" t="inlineStr">
        <is>
          <t>조건</t>
        </is>
      </c>
      <c r="C3" s="6" t="inlineStr">
        <is>
          <t>반복</t>
        </is>
      </c>
      <c r="D3" s="6" t="inlineStr">
        <is>
          <t>보상</t>
        </is>
      </c>
      <c r="E3" s="6" t="inlineStr">
        <is>
          <t>비고</t>
        </is>
      </c>
    </row>
    <row r="4">
      <c r="A4" s="7" t="inlineStr">
        <is>
          <t>daily_login</t>
        </is>
      </c>
      <c r="B4" s="7" t="inlineStr">
        <is>
          <t>매일 접속</t>
        </is>
      </c>
      <c r="C4" s="7" t="inlineStr">
        <is>
          <t>매일</t>
        </is>
      </c>
      <c r="D4" s="7" t="inlineStr">
        <is>
          <t>10💎</t>
        </is>
      </c>
      <c r="E4" s="7" t="inlineStr">
        <is>
          <t>반복</t>
        </is>
      </c>
    </row>
    <row r="5">
      <c r="A5" s="8" t="inlineStr">
        <is>
          <t>first_boss_kill</t>
        </is>
      </c>
      <c r="B5" s="8" t="inlineStr">
        <is>
          <t>첫 보스 처치</t>
        </is>
      </c>
      <c r="C5" s="8" t="inlineStr">
        <is>
          <t>일회성</t>
        </is>
      </c>
      <c r="D5" s="8" t="inlineStr">
        <is>
          <t>50💎</t>
        </is>
      </c>
      <c r="E5" s="8" t="inlineStr">
        <is>
          <t>-</t>
        </is>
      </c>
    </row>
    <row r="6">
      <c r="A6" s="7" t="inlineStr">
        <is>
          <t>level_10</t>
        </is>
      </c>
      <c r="B6" s="7" t="inlineStr">
        <is>
          <t>Lv.10 달성</t>
        </is>
      </c>
      <c r="C6" s="7" t="inlineStr">
        <is>
          <t>일회성</t>
        </is>
      </c>
      <c r="D6" s="7" t="inlineStr">
        <is>
          <t>30💎</t>
        </is>
      </c>
      <c r="E6" s="7" t="inlineStr">
        <is>
          <t>-</t>
        </is>
      </c>
    </row>
    <row r="7">
      <c r="A7" s="8" t="inlineStr">
        <is>
          <t>level_20</t>
        </is>
      </c>
      <c r="B7" s="8" t="inlineStr">
        <is>
          <t>Lv.20 달성 (전직)</t>
        </is>
      </c>
      <c r="C7" s="8" t="inlineStr">
        <is>
          <t>일회성</t>
        </is>
      </c>
      <c r="D7" s="8" t="inlineStr">
        <is>
          <t>50💎</t>
        </is>
      </c>
      <c r="E7" s="8" t="inlineStr">
        <is>
          <t>-</t>
        </is>
      </c>
    </row>
    <row r="8">
      <c r="A8" s="7" t="inlineStr">
        <is>
          <t>level_30</t>
        </is>
      </c>
      <c r="B8" s="7" t="inlineStr">
        <is>
          <t>Lv.30 달성</t>
        </is>
      </c>
      <c r="C8" s="7" t="inlineStr">
        <is>
          <t>일회성</t>
        </is>
      </c>
      <c r="D8" s="7" t="inlineStr">
        <is>
          <t>100💎</t>
        </is>
      </c>
      <c r="E8" s="7" t="inlineStr">
        <is>
          <t>-</t>
        </is>
      </c>
    </row>
    <row r="9">
      <c r="A9" s="8" t="inlineStr">
        <is>
          <t>pvp_10_wins</t>
        </is>
      </c>
      <c r="B9" s="8" t="inlineStr">
        <is>
          <t>PvP 10승</t>
        </is>
      </c>
      <c r="C9" s="8" t="inlineStr">
        <is>
          <t>일회성</t>
        </is>
      </c>
      <c r="D9" s="8" t="inlineStr">
        <is>
          <t>30💎</t>
        </is>
      </c>
      <c r="E9" s="8" t="inlineStr">
        <is>
          <t>-</t>
        </is>
      </c>
    </row>
    <row r="10">
      <c r="A10" s="7" t="inlineStr">
        <is>
          <t>pvp_100_wins</t>
        </is>
      </c>
      <c r="B10" s="7" t="inlineStr">
        <is>
          <t>PvP 100승</t>
        </is>
      </c>
      <c r="C10" s="7" t="inlineStr">
        <is>
          <t>일회성</t>
        </is>
      </c>
      <c r="D10" s="7" t="inlineStr">
        <is>
          <t>100💎</t>
        </is>
      </c>
      <c r="E10" s="7" t="inlineStr">
        <is>
          <t>-</t>
        </is>
      </c>
    </row>
    <row r="11">
      <c r="A11" s="8" t="inlineStr">
        <is>
          <t>weekly_quest</t>
        </is>
      </c>
      <c r="B11" s="8" t="inlineStr">
        <is>
          <t>주간 퀘스트 완료</t>
        </is>
      </c>
      <c r="C11" s="8" t="inlineStr">
        <is>
          <t>매주</t>
        </is>
      </c>
      <c r="D11" s="8" t="inlineStr">
        <is>
          <t>50💎</t>
        </is>
      </c>
      <c r="E11" s="8" t="inlineStr">
        <is>
          <t>반복</t>
        </is>
      </c>
    </row>
    <row r="12">
      <c r="A12" s="7" t="inlineStr">
        <is>
          <t>level_40</t>
        </is>
      </c>
      <c r="B12" s="7" t="inlineStr">
        <is>
          <t>Lv.40 달성 (각성기 해금)</t>
        </is>
      </c>
      <c r="C12" s="7" t="inlineStr">
        <is>
          <t>일회성</t>
        </is>
      </c>
      <c r="D12" s="7" t="inlineStr">
        <is>
          <t>150💎</t>
        </is>
      </c>
      <c r="E12" s="7" t="inlineStr">
        <is>
          <t>v1.19 신규</t>
        </is>
      </c>
    </row>
    <row r="13">
      <c r="A13" s="8" t="inlineStr">
        <is>
          <t>level_50</t>
        </is>
      </c>
      <c r="B13" s="8" t="inlineStr">
        <is>
          <t>Lv.50 달성 (환생 가능)</t>
        </is>
      </c>
      <c r="C13" s="8" t="inlineStr">
        <is>
          <t>일회성</t>
        </is>
      </c>
      <c r="D13" s="8" t="inlineStr">
        <is>
          <t>250💎</t>
        </is>
      </c>
      <c r="E13" s="8" t="inlineStr">
        <is>
          <t>v1.19 신규</t>
        </is>
      </c>
    </row>
    <row r="14">
      <c r="A14" s="7" t="inlineStr">
        <is>
          <t>first_prestige</t>
        </is>
      </c>
      <c r="B14" s="7" t="inlineStr">
        <is>
          <t>첫 환생</t>
        </is>
      </c>
      <c r="C14" s="7" t="inlineStr">
        <is>
          <t>일회성</t>
        </is>
      </c>
      <c r="D14" s="7" t="inlineStr">
        <is>
          <t>500💎</t>
        </is>
      </c>
      <c r="E14" s="7" t="inlineStr">
        <is>
          <t>v1.19 신규</t>
        </is>
      </c>
    </row>
    <row r="15">
      <c r="A15" s="8" t="inlineStr">
        <is>
          <t>worldboss_first</t>
        </is>
      </c>
      <c r="B15" s="8" t="inlineStr">
        <is>
          <t>첫 월드 보스 처치</t>
        </is>
      </c>
      <c r="C15" s="8" t="inlineStr">
        <is>
          <t>일회성</t>
        </is>
      </c>
      <c r="D15" s="8" t="inlineStr">
        <is>
          <t>100💎</t>
        </is>
      </c>
      <c r="E15" s="8" t="inlineStr">
        <is>
          <t>v1.19 신규</t>
        </is>
      </c>
    </row>
    <row r="16">
      <c r="A16" s="7" t="inlineStr">
        <is>
          <t>achievement_50</t>
        </is>
      </c>
      <c r="B16" s="7" t="inlineStr">
        <is>
          <t>업적 50개 달성</t>
        </is>
      </c>
      <c r="C16" s="7" t="inlineStr">
        <is>
          <t>일회성</t>
        </is>
      </c>
      <c r="D16" s="7" t="inlineStr">
        <is>
          <t>200💎</t>
        </is>
      </c>
      <c r="E16" s="7" t="inlineStr">
        <is>
          <t>v1.19 신규</t>
        </is>
      </c>
    </row>
    <row r="19">
      <c r="A19" s="9" t="inlineStr">
        <is>
          <t>수치 요약</t>
        </is>
      </c>
    </row>
    <row r="20">
      <c r="A20" s="3" t="inlineStr">
        <is>
          <t>일회성 합계 (v1.19 포함)</t>
        </is>
      </c>
      <c r="B20" s="3" t="inlineStr">
        <is>
          <t>30+50+100+30+100+150+250+500+100+200 + 첫 보스 50 = 1,560💎</t>
        </is>
      </c>
    </row>
    <row r="21">
      <c r="A21" s="3" t="inlineStr">
        <is>
          <t>반복</t>
        </is>
      </c>
      <c r="B21" s="3" t="inlineStr">
        <is>
          <t>매일 10💎 + 매주 50💎 → 월 약 500💎</t>
        </is>
      </c>
    </row>
    <row r="22">
      <c r="A22" s="3" t="inlineStr">
        <is>
          <t>수익화 균형</t>
        </is>
      </c>
      <c r="B22" s="3" t="inlineStr">
        <is>
          <t>초반 무료 1500💎 → 28일 출석 + 패치 콘텐츠로 추가 확보 가능</t>
        </is>
      </c>
    </row>
  </sheetData>
  <mergeCells count="1">
    <mergeCell ref="A1:E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22" customWidth="1" min="5" max="5"/>
  </cols>
  <sheetData>
    <row r="1">
      <c r="A1" s="5" t="inlineStr">
        <is>
          <t>혈맹 (10단계 — v1.17 Lv.6-10 신규)</t>
        </is>
      </c>
    </row>
    <row r="3">
      <c r="A3" s="6" t="inlineStr">
        <is>
          <t>혈맹 Lv.</t>
        </is>
      </c>
      <c r="B3" s="6" t="inlineStr">
        <is>
          <t>최대 인원</t>
        </is>
      </c>
      <c r="C3" s="6" t="inlineStr">
        <is>
          <t>스킬명</t>
        </is>
      </c>
      <c r="D3" s="6" t="inlineStr">
        <is>
          <t>효과</t>
        </is>
      </c>
      <c r="E3" s="6" t="inlineStr">
        <is>
          <t>비고</t>
        </is>
      </c>
    </row>
    <row r="4">
      <c r="A4" s="7" t="n">
        <v>1</v>
      </c>
      <c r="B4" s="7" t="inlineStr">
        <is>
          <t>10명</t>
        </is>
      </c>
      <c r="C4" s="7" t="inlineStr">
        <is>
          <t>혈맹의 힘</t>
        </is>
      </c>
      <c r="D4" s="7" t="inlineStr">
        <is>
          <t>ATK +5%</t>
        </is>
      </c>
      <c r="E4" s="7" t="inlineStr">
        <is>
          <t>기본 결성</t>
        </is>
      </c>
    </row>
    <row r="5">
      <c r="A5" s="8" t="n">
        <v>2</v>
      </c>
      <c r="B5" s="8" t="inlineStr">
        <is>
          <t>20명</t>
        </is>
      </c>
      <c r="C5" s="8" t="inlineStr">
        <is>
          <t>혈맹의 방패</t>
        </is>
      </c>
      <c r="D5" s="8" t="inlineStr">
        <is>
          <t>DEF +5%</t>
        </is>
      </c>
      <c r="E5" s="8" t="inlineStr">
        <is>
          <t>-</t>
        </is>
      </c>
    </row>
    <row r="6">
      <c r="A6" s="7" t="n">
        <v>3</v>
      </c>
      <c r="B6" s="7" t="inlineStr">
        <is>
          <t>30명</t>
        </is>
      </c>
      <c r="C6" s="7" t="inlineStr">
        <is>
          <t>혈맹의 지혜</t>
        </is>
      </c>
      <c r="D6" s="7" t="inlineStr">
        <is>
          <t>EXP +10%</t>
        </is>
      </c>
      <c r="E6" s="7" t="inlineStr">
        <is>
          <t>-</t>
        </is>
      </c>
    </row>
    <row r="7">
      <c r="A7" s="8" t="n">
        <v>4</v>
      </c>
      <c r="B7" s="8" t="inlineStr">
        <is>
          <t>40명</t>
        </is>
      </c>
      <c r="C7" s="8" t="inlineStr">
        <is>
          <t>혈맹의 축복</t>
        </is>
      </c>
      <c r="D7" s="8" t="inlineStr">
        <is>
          <t>HP +10%</t>
        </is>
      </c>
      <c r="E7" s="8" t="inlineStr">
        <is>
          <t>-</t>
        </is>
      </c>
    </row>
    <row r="8">
      <c r="A8" s="7" t="n">
        <v>5</v>
      </c>
      <c r="B8" s="7" t="inlineStr">
        <is>
          <t>50명</t>
        </is>
      </c>
      <c r="C8" s="7" t="inlineStr">
        <is>
          <t>혈맹의 영광</t>
        </is>
      </c>
      <c r="D8" s="7" t="inlineStr">
        <is>
          <t>골드 +10%</t>
        </is>
      </c>
      <c r="E8" s="7" t="inlineStr">
        <is>
          <t>혈맹의 별 칭호 획득</t>
        </is>
      </c>
    </row>
    <row r="9">
      <c r="A9" s="8" t="n">
        <v>6</v>
      </c>
      <c r="B9" s="8" t="inlineStr">
        <is>
          <t>60명</t>
        </is>
      </c>
      <c r="C9" s="8" t="inlineStr">
        <is>
          <t>혈맹의 분노</t>
        </is>
      </c>
      <c r="D9" s="8" t="inlineStr">
        <is>
          <t>크리티컬 +5%</t>
        </is>
      </c>
      <c r="E9" s="8" t="inlineStr">
        <is>
          <t>v1.17 신규</t>
        </is>
      </c>
    </row>
    <row r="10">
      <c r="A10" s="7" t="n">
        <v>7</v>
      </c>
      <c r="B10" s="7" t="inlineStr">
        <is>
          <t>70명</t>
        </is>
      </c>
      <c r="C10" s="7" t="inlineStr">
        <is>
          <t>혈맹의 신속</t>
        </is>
      </c>
      <c r="D10" s="7" t="inlineStr">
        <is>
          <t>이동속도 +10%</t>
        </is>
      </c>
      <c r="E10" s="7" t="inlineStr">
        <is>
          <t>v1.17 신규</t>
        </is>
      </c>
    </row>
    <row r="11">
      <c r="A11" s="8" t="n">
        <v>8</v>
      </c>
      <c r="B11" s="8" t="inlineStr">
        <is>
          <t>80명</t>
        </is>
      </c>
      <c r="C11" s="8" t="inlineStr">
        <is>
          <t>혈맹의 회복</t>
        </is>
      </c>
      <c r="D11" s="8" t="inlineStr">
        <is>
          <t>HP 재생 +50%</t>
        </is>
      </c>
      <c r="E11" s="8" t="inlineStr">
        <is>
          <t>v1.17 신규</t>
        </is>
      </c>
    </row>
    <row r="12">
      <c r="A12" s="7" t="n">
        <v>9</v>
      </c>
      <c r="B12" s="7" t="inlineStr">
        <is>
          <t>90명</t>
        </is>
      </c>
      <c r="C12" s="7" t="inlineStr">
        <is>
          <t>혈맹의 운명</t>
        </is>
      </c>
      <c r="D12" s="7" t="inlineStr">
        <is>
          <t>회피 +5%</t>
        </is>
      </c>
      <c r="E12" s="7" t="inlineStr">
        <is>
          <t>v1.17 신규</t>
        </is>
      </c>
    </row>
    <row r="13">
      <c r="A13" s="8" t="n">
        <v>10</v>
      </c>
      <c r="B13" s="8" t="inlineStr">
        <is>
          <t>100명</t>
        </is>
      </c>
      <c r="C13" s="8" t="inlineStr">
        <is>
          <t>혈맹의 전설</t>
        </is>
      </c>
      <c r="D13" s="8" t="inlineStr">
        <is>
          <t>전 스탯 +5%</t>
        </is>
      </c>
      <c r="E13" s="8" t="inlineStr">
        <is>
          <t>v1.17 신규 — 최종 단계</t>
        </is>
      </c>
    </row>
    <row r="16">
      <c r="A16" s="9" t="inlineStr">
        <is>
          <t>혈맹 시스템 요소</t>
        </is>
      </c>
    </row>
    <row r="17">
      <c r="A17" s="3" t="inlineStr">
        <is>
          <t>역할</t>
        </is>
      </c>
      <c r="B17" s="3" t="inlineStr">
        <is>
          <t>혈맹주(leader) / 간부(officers) / 일반 멤버</t>
        </is>
      </c>
    </row>
    <row r="18">
      <c r="A18" s="3" t="inlineStr">
        <is>
          <t>혈맹 창고</t>
        </is>
      </c>
      <c r="B18" s="3" t="inlineStr">
        <is>
          <t>공유 인벤토리 (입출고 권한)</t>
        </is>
      </c>
    </row>
    <row r="19">
      <c r="A19" s="3" t="inlineStr">
        <is>
          <t>혈맹 스킬</t>
        </is>
      </c>
      <c r="B19" s="3" t="inlineStr">
        <is>
          <t>혈맹 레벨에 따라 자동 적용 (전 멤버 효과)</t>
        </is>
      </c>
    </row>
    <row r="20">
      <c r="A20" s="3" t="inlineStr">
        <is>
          <t>혈맹 전쟁</t>
        </is>
      </c>
      <c r="B20" s="3" t="inlineStr">
        <is>
          <t>다른 혈맹과 PvP / 영토 점령</t>
        </is>
      </c>
    </row>
    <row r="21">
      <c r="A21" s="3" t="inlineStr">
        <is>
          <t>혈맹 레이드</t>
        </is>
      </c>
      <c r="B21" s="3" t="inlineStr">
        <is>
          <t>혈맹 단위 던전 / 보스 레이드</t>
        </is>
      </c>
    </row>
    <row r="22">
      <c r="A22" s="3" t="inlineStr">
        <is>
          <t>공성전</t>
        </is>
      </c>
      <c r="B22" s="3" t="inlineStr">
        <is>
          <t>하늘의 성채 / 북부 요새 점령</t>
        </is>
      </c>
    </row>
  </sheetData>
  <mergeCells count="1">
    <mergeCell ref="A1:E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8" customWidth="1" min="4" max="4"/>
    <col width="30" customWidth="1" min="5" max="5"/>
  </cols>
  <sheetData>
    <row r="1">
      <c r="A1" s="5" t="inlineStr">
        <is>
          <t>NPC (11종 — v1.16 점쟁이/감정사/수집가 신규)</t>
        </is>
      </c>
    </row>
    <row r="3">
      <c r="A3" s="6" t="inlineStr">
        <is>
          <t>NPC명</t>
        </is>
      </c>
      <c r="B3" s="6" t="inlineStr">
        <is>
          <t>타입</t>
        </is>
      </c>
      <c r="C3" s="6" t="inlineStr">
        <is>
          <t>역할</t>
        </is>
      </c>
      <c r="D3" s="6" t="inlineStr">
        <is>
          <t>기본 대사</t>
        </is>
      </c>
      <c r="E3" s="6" t="inlineStr">
        <is>
          <t>특수 대사 / 비고</t>
        </is>
      </c>
    </row>
    <row r="4">
      <c r="A4" s="7" t="inlineStr">
        <is>
          <t>상점</t>
        </is>
      </c>
      <c r="B4" s="7" t="inlineStr">
        <is>
          <t>shop</t>
        </is>
      </c>
      <c r="C4" s="7" t="inlineStr">
        <is>
          <t>일반 상점 운영</t>
        </is>
      </c>
      <c r="D4" s="7" t="inlineStr">
        <is>
          <t>어서오세요! 좋은 물건 많습니다!</t>
        </is>
      </c>
      <c r="E4" s="7" t="inlineStr">
        <is>
          <t>부자 손님 / 골드 부족 시 다른 대사</t>
        </is>
      </c>
    </row>
    <row r="5">
      <c r="A5" s="8" t="inlineStr">
        <is>
          <t>대장장이</t>
        </is>
      </c>
      <c r="B5" s="8" t="inlineStr">
        <is>
          <t>smith</t>
        </is>
      </c>
      <c r="C5" s="8" t="inlineStr">
        <is>
          <t>장비 강화</t>
        </is>
      </c>
      <c r="D5" s="8" t="inlineStr">
        <is>
          <t>장비를 강화해드리겠습니다.</t>
        </is>
      </c>
      <c r="E5" s="8" t="inlineStr">
        <is>
          <t>레벨 10/30/40 시 다른 대사</t>
        </is>
      </c>
    </row>
    <row r="6">
      <c r="A6" s="7" t="inlineStr">
        <is>
          <t>힐러</t>
        </is>
      </c>
      <c r="B6" s="7" t="inlineStr">
        <is>
          <t>healer</t>
        </is>
      </c>
      <c r="C6" s="7" t="inlineStr">
        <is>
          <t>HP 회복</t>
        </is>
      </c>
      <c r="D6" s="7" t="inlineStr">
        <is>
          <t>치료해드릴까요?</t>
        </is>
      </c>
      <c r="E6" s="7" t="inlineStr">
        <is>
          <t>HP 부상도 / 시간대(밤) 별 대사</t>
        </is>
      </c>
    </row>
    <row r="7">
      <c r="A7" s="8" t="inlineStr">
        <is>
          <t>낚시꾼</t>
        </is>
      </c>
      <c r="B7" s="8" t="inlineStr">
        <is>
          <t>fisher</t>
        </is>
      </c>
      <c r="C7" s="8" t="inlineStr">
        <is>
          <t>낚시 안내</t>
        </is>
      </c>
      <c r="D7" s="8" t="inlineStr">
        <is>
          <t>오늘 낚시 하기 좋은 날이에요!</t>
        </is>
      </c>
      <c r="E7" s="8" t="inlineStr">
        <is>
          <t>날씨/시간대 별 대사 (비/밤)</t>
        </is>
      </c>
    </row>
    <row r="8">
      <c r="A8" s="7" t="inlineStr">
        <is>
          <t>요리사</t>
        </is>
      </c>
      <c r="B8" s="7" t="inlineStr">
        <is>
          <t>cook</t>
        </is>
      </c>
      <c r="C8" s="7" t="inlineStr">
        <is>
          <t>음식 제작</t>
        </is>
      </c>
      <c r="D8" s="7" t="inlineStr">
        <is>
          <t>재료를 가져오시면 요리를 만들어드립니다.</t>
        </is>
      </c>
      <c r="E8" s="7" t="inlineStr">
        <is>
          <t>요리 버프 부여</t>
        </is>
      </c>
    </row>
    <row r="9">
      <c r="A9" s="8" t="inlineStr">
        <is>
          <t>항해사</t>
        </is>
      </c>
      <c r="B9" s="8" t="inlineStr">
        <is>
          <t>travel</t>
        </is>
      </c>
      <c r="C9" s="8" t="inlineStr">
        <is>
          <t>지역 이동</t>
        </is>
      </c>
      <c r="D9" s="8" t="inlineStr">
        <is>
          <t>어디로 떠나시겠습니까?</t>
        </is>
      </c>
      <c r="E9" s="8" t="inlineStr">
        <is>
          <t>날씨/시간대 별 대사</t>
        </is>
      </c>
    </row>
    <row r="10">
      <c r="A10" s="7" t="inlineStr">
        <is>
          <t>펫 상인</t>
        </is>
      </c>
      <c r="B10" s="7" t="inlineStr">
        <is>
          <t>shop</t>
        </is>
      </c>
      <c r="C10" s="7" t="inlineStr">
        <is>
          <t>펫 판매</t>
        </is>
      </c>
      <c r="D10" s="7" t="inlineStr">
        <is>
          <t>귀여운 친구를 찾고 계신가요?</t>
        </is>
      </c>
      <c r="E10" s="7" t="inlineStr">
        <is>
          <t>펫 구매 가능</t>
        </is>
      </c>
    </row>
    <row r="11">
      <c r="A11" s="8" t="inlineStr">
        <is>
          <t>제작소</t>
        </is>
      </c>
      <c r="B11" s="8" t="inlineStr">
        <is>
          <t>cook</t>
        </is>
      </c>
      <c r="C11" s="8" t="inlineStr">
        <is>
          <t>장비 제작</t>
        </is>
      </c>
      <c r="D11" s="8" t="inlineStr">
        <is>
          <t>무엇을 제작하시겠습니까?</t>
        </is>
      </c>
      <c r="E11" s="8" t="inlineStr">
        <is>
          <t>제작 레시피 제공</t>
        </is>
      </c>
    </row>
    <row r="12">
      <c r="A12" s="7" t="inlineStr">
        <is>
          <t>점쟁이</t>
        </is>
      </c>
      <c r="B12" s="7" t="inlineStr">
        <is>
          <t>fortune</t>
        </is>
      </c>
      <c r="C12" s="7" t="inlineStr">
        <is>
          <t>운세 / 행운 버프</t>
        </is>
      </c>
      <c r="D12" s="7" t="inlineStr">
        <is>
          <t>오늘의 운세를 봐드릴까요?</t>
        </is>
      </c>
      <c r="E12" s="7" t="inlineStr">
        <is>
          <t>v1.16 신규 — 밤/카르마별 대사</t>
        </is>
      </c>
    </row>
    <row r="13">
      <c r="A13" s="8" t="inlineStr">
        <is>
          <t>감정사</t>
        </is>
      </c>
      <c r="B13" s="8" t="inlineStr">
        <is>
          <t>appraise</t>
        </is>
      </c>
      <c r="C13" s="8" t="inlineStr">
        <is>
          <t>미감정 장비 감정</t>
        </is>
      </c>
      <c r="D13" s="8" t="inlineStr">
        <is>
          <t>미감정 장비를 가져오셨군요?</t>
        </is>
      </c>
      <c r="E13" s="8" t="inlineStr">
        <is>
          <t>v1.16 신규 — Lv.30+ 특수 대사</t>
        </is>
      </c>
    </row>
    <row r="14">
      <c r="A14" s="7" t="inlineStr">
        <is>
          <t>수집가</t>
        </is>
      </c>
      <c r="B14" s="7" t="inlineStr">
        <is>
          <t>collect</t>
        </is>
      </c>
      <c r="C14" s="7" t="inlineStr">
        <is>
          <t>희귀 아이템 매입</t>
        </is>
      </c>
      <c r="D14" s="7" t="inlineStr">
        <is>
          <t>희귀한 아이템을 찾고 있어요!</t>
        </is>
      </c>
      <c r="E14" s="7" t="inlineStr">
        <is>
          <t>v1.16 신규 — 골드 50000+ 특별 거래</t>
        </is>
      </c>
    </row>
    <row r="17">
      <c r="A17" s="9" t="inlineStr">
        <is>
          <t>NPC 상황별 대사 시스템</t>
        </is>
      </c>
    </row>
    <row r="18">
      <c r="A18" s="3" t="inlineStr">
        <is>
          <t>우선순위</t>
        </is>
      </c>
      <c r="B18" s="3" t="inlineStr">
        <is>
          <t>상황별 특수 대사 → 기본 대사 (랜덤)</t>
        </is>
      </c>
    </row>
    <row r="19">
      <c r="A19" s="3" t="inlineStr">
        <is>
          <t>상황 변수</t>
        </is>
      </c>
      <c r="B19" s="3" t="inlineStr">
        <is>
          <t>HP %, 골드, 레벨, 카르마, 시간대(낮/밤), 날씨, 환생 차수, 진영</t>
        </is>
      </c>
    </row>
    <row r="20">
      <c r="A20" s="3" t="inlineStr">
        <is>
          <t>신규 v1.16</t>
        </is>
      </c>
      <c r="B20" s="3" t="inlineStr">
        <is>
          <t>점쟁이는 카르마 200+ 시 경고 대사 / 수집가는 골드 50000+ 시 특별 거래 제안</t>
        </is>
      </c>
    </row>
  </sheetData>
  <mergeCells count="1"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0" customWidth="1" min="8" max="8"/>
  </cols>
  <sheetData>
    <row r="1">
      <c r="A1" s="5" t="inlineStr">
        <is>
          <t>월드 보스 (5종 — v1.13 폭풍의 거인 / 시간의 수호자 신규)</t>
        </is>
      </c>
    </row>
    <row r="3">
      <c r="A3" s="6" t="inlineStr">
        <is>
          <t>보스명</t>
        </is>
      </c>
      <c r="B3" s="6" t="inlineStr">
        <is>
          <t>HP</t>
        </is>
      </c>
      <c r="C3" s="6" t="inlineStr">
        <is>
          <t>ATK</t>
        </is>
      </c>
      <c r="D3" s="6" t="inlineStr">
        <is>
          <t>DEF</t>
        </is>
      </c>
      <c r="E3" s="6" t="inlineStr">
        <is>
          <t>EXP 보상</t>
        </is>
      </c>
      <c r="F3" s="6" t="inlineStr">
        <is>
          <t>골드 보상</t>
        </is>
      </c>
      <c r="G3" s="6" t="inlineStr">
        <is>
          <t>색상</t>
        </is>
      </c>
      <c r="H3" s="6" t="inlineStr">
        <is>
          <t>비고</t>
        </is>
      </c>
    </row>
    <row r="4">
      <c r="A4" s="7" t="inlineStr">
        <is>
          <t>태고의 드래곤</t>
        </is>
      </c>
      <c r="B4" s="7" t="inlineStr">
        <is>
          <t>50,000</t>
        </is>
      </c>
      <c r="C4" s="7" t="inlineStr">
        <is>
          <t>120</t>
        </is>
      </c>
      <c r="D4" s="7" t="inlineStr">
        <is>
          <t>50</t>
        </is>
      </c>
      <c r="E4" s="7" t="inlineStr">
        <is>
          <t>5,000</t>
        </is>
      </c>
      <c r="F4" s="7" t="inlineStr">
        <is>
          <t>3,000</t>
        </is>
      </c>
      <c r="G4" s="7" t="inlineStr">
        <is>
          <t>빨강</t>
        </is>
      </c>
      <c r="H4" s="7" t="inlineStr">
        <is>
          <t>기존</t>
        </is>
      </c>
    </row>
    <row r="5">
      <c r="A5" s="8" t="inlineStr">
        <is>
          <t>심연의 군주</t>
        </is>
      </c>
      <c r="B5" s="8" t="inlineStr">
        <is>
          <t>80,000</t>
        </is>
      </c>
      <c r="C5" s="8" t="inlineStr">
        <is>
          <t>150</t>
        </is>
      </c>
      <c r="D5" s="8" t="inlineStr">
        <is>
          <t>70</t>
        </is>
      </c>
      <c r="E5" s="8" t="inlineStr">
        <is>
          <t>8,000</t>
        </is>
      </c>
      <c r="F5" s="8" t="inlineStr">
        <is>
          <t>5,000</t>
        </is>
      </c>
      <c r="G5" s="8" t="inlineStr">
        <is>
          <t>보라</t>
        </is>
      </c>
      <c r="H5" s="8" t="inlineStr">
        <is>
          <t>기존</t>
        </is>
      </c>
    </row>
    <row r="6">
      <c r="A6" s="7" t="inlineStr">
        <is>
          <t>불멸의 피닉스</t>
        </is>
      </c>
      <c r="B6" s="7" t="inlineStr">
        <is>
          <t>60,000</t>
        </is>
      </c>
      <c r="C6" s="7" t="inlineStr">
        <is>
          <t>130</t>
        </is>
      </c>
      <c r="D6" s="7" t="inlineStr">
        <is>
          <t>40</t>
        </is>
      </c>
      <c r="E6" s="7" t="inlineStr">
        <is>
          <t>6,000</t>
        </is>
      </c>
      <c r="F6" s="7" t="inlineStr">
        <is>
          <t>4,000</t>
        </is>
      </c>
      <c r="G6" s="7" t="inlineStr">
        <is>
          <t>주황</t>
        </is>
      </c>
      <c r="H6" s="7" t="inlineStr">
        <is>
          <t>기존</t>
        </is>
      </c>
    </row>
    <row r="7">
      <c r="A7" s="8" t="inlineStr">
        <is>
          <t>폭풍의 거인</t>
        </is>
      </c>
      <c r="B7" s="8" t="inlineStr">
        <is>
          <t>100,000</t>
        </is>
      </c>
      <c r="C7" s="8" t="inlineStr">
        <is>
          <t>140</t>
        </is>
      </c>
      <c r="D7" s="8" t="inlineStr">
        <is>
          <t>90</t>
        </is>
      </c>
      <c r="E7" s="8" t="inlineStr">
        <is>
          <t>10,000</t>
        </is>
      </c>
      <c r="F7" s="8" t="inlineStr">
        <is>
          <t>6,000</t>
        </is>
      </c>
      <c r="G7" s="8" t="inlineStr">
        <is>
          <t>시안</t>
        </is>
      </c>
      <c r="H7" s="8" t="inlineStr">
        <is>
          <t>v1.13 신규 — 최대 HP, 강력 방어</t>
        </is>
      </c>
    </row>
    <row r="8">
      <c r="A8" s="7" t="inlineStr">
        <is>
          <t>시간의 수호자</t>
        </is>
      </c>
      <c r="B8" s="7" t="inlineStr">
        <is>
          <t>70,000</t>
        </is>
      </c>
      <c r="C8" s="7" t="inlineStr">
        <is>
          <t>170</t>
        </is>
      </c>
      <c r="D8" s="7" t="inlineStr">
        <is>
          <t>60</t>
        </is>
      </c>
      <c r="E8" s="7" t="inlineStr">
        <is>
          <t>9,000</t>
        </is>
      </c>
      <c r="F8" s="7" t="inlineStr">
        <is>
          <t>7,000</t>
        </is>
      </c>
      <c r="G8" s="7" t="inlineStr">
        <is>
          <t>금색</t>
        </is>
      </c>
      <c r="H8" s="7" t="inlineStr">
        <is>
          <t>v1.13 신규 — 최강 ATK, 최고 골드 보상</t>
        </is>
      </c>
    </row>
    <row r="11">
      <c r="A11" s="9" t="inlineStr">
        <is>
          <t>월드 보스 시스템</t>
        </is>
      </c>
    </row>
    <row r="12">
      <c r="A12" s="3" t="inlineStr">
        <is>
          <t>스폰 주기</t>
        </is>
      </c>
      <c r="B12" s="3" t="inlineStr">
        <is>
          <t>주기적으로 랜덤 보스 1마리 출현 (다음 보스는 처치 후)</t>
        </is>
      </c>
    </row>
    <row r="13">
      <c r="A13" s="3" t="inlineStr">
        <is>
          <t>MVP 보상</t>
        </is>
      </c>
      <c r="B13" s="3" t="inlineStr">
        <is>
          <t>데미지 1위 플레이어에게 추가 보상 + MVP 카운트</t>
        </is>
      </c>
    </row>
    <row r="14">
      <c r="A14" s="3" t="inlineStr">
        <is>
          <t>전 서버 알림</t>
        </is>
      </c>
      <c r="B14" s="3" t="inlineStr">
        <is>
          <t>출현 시 전 서버에 알림 메시지 송출</t>
        </is>
      </c>
    </row>
    <row r="15">
      <c r="A15" s="3" t="inlineStr">
        <is>
          <t>칭호 연계</t>
        </is>
      </c>
      <c r="B15" s="3" t="inlineStr">
        <is>
          <t>월드 보스 10회 처치 시 천공의 군주 칭호 (v1.9)</t>
        </is>
      </c>
    </row>
  </sheetData>
  <mergeCells count="1">
    <mergeCell ref="A1:H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8" customWidth="1" min="4" max="4"/>
    <col width="32" customWidth="1" min="5" max="5"/>
    <col width="10" customWidth="1" min="6" max="6"/>
    <col width="10" customWidth="1" min="7" max="7"/>
  </cols>
  <sheetData>
    <row r="1">
      <c r="A1" s="5" t="inlineStr">
        <is>
          <t>연금술 — 엘릭서 (5종 — v1.12 신규)</t>
        </is>
      </c>
    </row>
    <row r="3">
      <c r="A3" s="6" t="inlineStr">
        <is>
          <t>ID</t>
        </is>
      </c>
      <c r="B3" s="6" t="inlineStr">
        <is>
          <t>엘릭서명</t>
        </is>
      </c>
      <c r="C3" s="6" t="inlineStr">
        <is>
          <t>효과</t>
        </is>
      </c>
      <c r="D3" s="6" t="inlineStr">
        <is>
          <t>지속</t>
        </is>
      </c>
      <c r="E3" s="6" t="inlineStr">
        <is>
          <t>재료</t>
        </is>
      </c>
      <c r="F3" s="6" t="inlineStr">
        <is>
          <t>비용</t>
        </is>
      </c>
      <c r="G3" s="6" t="inlineStr">
        <is>
          <t>성공률</t>
        </is>
      </c>
    </row>
    <row r="4">
      <c r="A4" s="7" t="inlineStr">
        <is>
          <t>elixir_titan</t>
        </is>
      </c>
      <c r="B4" s="7" t="inlineStr">
        <is>
          <t>타이탄의 엘릭서</t>
        </is>
      </c>
      <c r="C4" s="7" t="inlineStr">
        <is>
          <t>ATK ×1.5</t>
        </is>
      </c>
      <c r="D4" s="7" t="inlineStr">
        <is>
          <t>30분</t>
        </is>
      </c>
      <c r="E4" s="7" t="inlineStr">
        <is>
          <t>용재료×3, 마법재료×10, 물약원료×5</t>
        </is>
      </c>
      <c r="F4" s="7" t="inlineStr">
        <is>
          <t>5000G</t>
        </is>
      </c>
      <c r="G4" s="7" t="inlineStr">
        <is>
          <t>40%</t>
        </is>
      </c>
    </row>
    <row r="5">
      <c r="A5" s="8" t="inlineStr">
        <is>
          <t>elixir_iron</t>
        </is>
      </c>
      <c r="B5" s="8" t="inlineStr">
        <is>
          <t>강철 엘릭서</t>
        </is>
      </c>
      <c r="C5" s="8" t="inlineStr">
        <is>
          <t>DEF ×1.5</t>
        </is>
      </c>
      <c r="D5" s="8" t="inlineStr">
        <is>
          <t>30분</t>
        </is>
      </c>
      <c r="E5" s="8" t="inlineStr">
        <is>
          <t>철광석×30, 마법재료×10, 물약원료×5</t>
        </is>
      </c>
      <c r="F5" s="8" t="inlineStr">
        <is>
          <t>4000G</t>
        </is>
      </c>
      <c r="G5" s="8" t="inlineStr">
        <is>
          <t>50%</t>
        </is>
      </c>
    </row>
    <row r="6">
      <c r="A6" s="7" t="inlineStr">
        <is>
          <t>elixir_swift</t>
        </is>
      </c>
      <c r="B6" s="7" t="inlineStr">
        <is>
          <t>질풍 엘릭서</t>
        </is>
      </c>
      <c r="C6" s="7" t="inlineStr">
        <is>
          <t>SPD ×1.4</t>
        </is>
      </c>
      <c r="D6" s="7" t="inlineStr">
        <is>
          <t>20분</t>
        </is>
      </c>
      <c r="E6" s="7" t="inlineStr">
        <is>
          <t>약초×20, 마법재료×8, 물약원료×5</t>
        </is>
      </c>
      <c r="F6" s="7" t="inlineStr">
        <is>
          <t>3500G</t>
        </is>
      </c>
      <c r="G6" s="7" t="inlineStr">
        <is>
          <t>50%</t>
        </is>
      </c>
    </row>
    <row r="7">
      <c r="A7" s="8" t="inlineStr">
        <is>
          <t>elixir_wisdom</t>
        </is>
      </c>
      <c r="B7" s="8" t="inlineStr">
        <is>
          <t>지혜 엘릭서</t>
        </is>
      </c>
      <c r="C7" s="8" t="inlineStr">
        <is>
          <t>EXP ×2.5</t>
        </is>
      </c>
      <c r="D7" s="8" t="inlineStr">
        <is>
          <t>15분</t>
        </is>
      </c>
      <c r="E7" s="8" t="inlineStr">
        <is>
          <t>마법수정×5, 영혼재료×5, 물약원료×8</t>
        </is>
      </c>
      <c r="F7" s="8" t="inlineStr">
        <is>
          <t>6000G</t>
        </is>
      </c>
      <c r="G7" s="8" t="inlineStr">
        <is>
          <t>40%</t>
        </is>
      </c>
    </row>
    <row r="8">
      <c r="A8" s="7" t="inlineStr">
        <is>
          <t>elixir_fortune</t>
        </is>
      </c>
      <c r="B8" s="7" t="inlineStr">
        <is>
          <t>행운 엘릭서</t>
        </is>
      </c>
      <c r="C8" s="7" t="inlineStr">
        <is>
          <t>GOLD ×2.0</t>
        </is>
      </c>
      <c r="D8" s="7" t="inlineStr">
        <is>
          <t>15분</t>
        </is>
      </c>
      <c r="E8" s="7" t="inlineStr">
        <is>
          <t>보석×10, 마법재료×5, 물약원료×5</t>
        </is>
      </c>
      <c r="F8" s="7" t="inlineStr">
        <is>
          <t>5500G</t>
        </is>
      </c>
      <c r="G8" s="7" t="inlineStr">
        <is>
          <t>40%</t>
        </is>
      </c>
    </row>
    <row r="11">
      <c r="A11" s="9" t="inlineStr">
        <is>
          <t>엘릭서 vs 음식 차이</t>
        </is>
      </c>
    </row>
    <row r="12">
      <c r="A12" s="3" t="inlineStr">
        <is>
          <t>지속시간</t>
        </is>
      </c>
      <c r="B12" s="3" t="inlineStr">
        <is>
          <t>음식: 1~5분</t>
        </is>
      </c>
      <c r="C12" s="3" t="inlineStr">
        <is>
          <t>엘릭서: 15~30분</t>
        </is>
      </c>
    </row>
    <row r="13">
      <c r="A13" s="3" t="inlineStr">
        <is>
          <t>효과 강도</t>
        </is>
      </c>
      <c r="B13" s="3" t="inlineStr">
        <is>
          <t>음식: 작음 (+5~20)</t>
        </is>
      </c>
      <c r="C13" s="3" t="inlineStr">
        <is>
          <t>엘릭서: 큼 (×1.4~2.5)</t>
        </is>
      </c>
    </row>
    <row r="14">
      <c r="A14" s="3" t="inlineStr">
        <is>
          <t>재료 난이도</t>
        </is>
      </c>
      <c r="B14" s="3" t="inlineStr">
        <is>
          <t>음식: 일반 식재료</t>
        </is>
      </c>
      <c r="C14" s="3" t="inlineStr">
        <is>
          <t>엘릭서: 보스 재료 + 영혼/마법재료</t>
        </is>
      </c>
    </row>
    <row r="15">
      <c r="A15" s="3" t="inlineStr">
        <is>
          <t>용도</t>
        </is>
      </c>
      <c r="B15" s="3" t="inlineStr">
        <is>
          <t>음식: 일반 사냥</t>
        </is>
      </c>
      <c r="C15" s="3" t="inlineStr">
        <is>
          <t>엘릭서: 보스/레이드/이벤트</t>
        </is>
      </c>
    </row>
  </sheetData>
  <mergeCells count="1">
    <mergeCell ref="A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8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5" customWidth="1" min="4" max="4"/>
  </cols>
  <sheetData>
    <row r="1">
      <c r="A1" s="5" t="inlineStr">
        <is>
          <t>패치 노트 히스토리</t>
        </is>
      </c>
    </row>
    <row r="3">
      <c r="A3" s="6" t="inlineStr">
        <is>
          <t>버전</t>
        </is>
      </c>
      <c r="B3" s="6" t="inlineStr">
        <is>
          <t>일자</t>
        </is>
      </c>
      <c r="C3" s="6" t="inlineStr">
        <is>
          <t>분류</t>
        </is>
      </c>
      <c r="D3" s="6" t="inlineStr">
        <is>
          <t>내용</t>
        </is>
      </c>
    </row>
    <row r="4">
      <c r="A4" s="7" t="inlineStr">
        <is>
          <t>v2.18</t>
        </is>
      </c>
      <c r="B4" s="7" t="inlineStr">
        <is>
          <t>2026-04-09</t>
        </is>
      </c>
      <c r="C4" s="7" t="inlineStr">
        <is>
          <t>신기능</t>
        </is>
      </c>
      <c r="D4" s="7" t="inlineStr">
        <is>
          <t>정원 — game/garden.js (8 꽃, 12 슬롯, 5 단계 성장)</t>
        </is>
      </c>
    </row>
    <row r="5">
      <c r="A5" s="8" t="inlineStr">
        <is>
          <t>v2.17</t>
        </is>
      </c>
      <c r="B5" s="8" t="inlineStr">
        <is>
          <t>2026-04-09</t>
        </is>
      </c>
      <c r="C5" s="8" t="inlineStr">
        <is>
          <t>신기능</t>
        </is>
      </c>
      <c r="D5" s="8" t="inlineStr">
        <is>
          <t>차원 균열 — game/rift.js (5 웨이브, F~SSS 등급, 보스 가호)</t>
        </is>
      </c>
    </row>
    <row r="6">
      <c r="A6" s="7" t="inlineStr">
        <is>
          <t>v2.16</t>
        </is>
      </c>
      <c r="B6" s="7" t="inlineStr">
        <is>
          <t>2026-04-09</t>
        </is>
      </c>
      <c r="C6" s="7" t="inlineStr">
        <is>
          <t>신기능</t>
        </is>
      </c>
      <c r="D6" s="7" t="inlineStr">
        <is>
          <t>가문 문장 — game/heraldry.js (10 동물 × 8 색 × 8 모토)</t>
        </is>
      </c>
    </row>
    <row r="7">
      <c r="A7" s="8" t="inlineStr">
        <is>
          <t>v2.15</t>
        </is>
      </c>
      <c r="B7" s="8" t="inlineStr">
        <is>
          <t>2026-04-09</t>
        </is>
      </c>
      <c r="C7" s="8" t="inlineStr">
        <is>
          <t>신기능</t>
        </is>
      </c>
      <c r="D7" s="8" t="inlineStr">
        <is>
          <t>가면 — game/mask.js (11 가면, 페르소나, 4 등급)</t>
        </is>
      </c>
    </row>
    <row r="8">
      <c r="A8" s="7" t="inlineStr">
        <is>
          <t>v2.14</t>
        </is>
      </c>
      <c r="B8" s="7" t="inlineStr">
        <is>
          <t>2026-04-09</t>
        </is>
      </c>
      <c r="C8" s="7" t="inlineStr">
        <is>
          <t>신기능</t>
        </is>
      </c>
      <c r="D8" s="7" t="inlineStr">
        <is>
          <t>소원의 우물 — game/wishing_well.js (8 결과, 가중확률, jackpot 10×)</t>
        </is>
      </c>
    </row>
    <row r="9">
      <c r="A9" s="8" t="inlineStr">
        <is>
          <t>v2.13</t>
        </is>
      </c>
      <c r="B9" s="8" t="inlineStr">
        <is>
          <t>2026-04-09</t>
        </is>
      </c>
      <c r="C9" s="8" t="inlineStr">
        <is>
          <t>신기능</t>
        </is>
      </c>
      <c r="D9" s="8" t="inlineStr">
        <is>
          <t>부적 — game/talisman.js (8 종류, 슬롯 3, 사용 횟수)</t>
        </is>
      </c>
    </row>
    <row r="10">
      <c r="A10" s="7" t="inlineStr">
        <is>
          <t>v2.12</t>
        </is>
      </c>
      <c r="B10" s="7" t="inlineStr">
        <is>
          <t>2026-04-09</t>
        </is>
      </c>
      <c r="C10" s="7" t="inlineStr">
        <is>
          <t>신기능</t>
        </is>
      </c>
      <c r="D10" s="7" t="inlineStr">
        <is>
          <t>타로 — game/tarot.js (22 메이저 아르카나, 일일 3장, 운명선)</t>
        </is>
      </c>
    </row>
    <row r="11">
      <c r="A11" s="8" t="inlineStr">
        <is>
          <t>v2.11</t>
        </is>
      </c>
      <c r="B11" s="8" t="inlineStr">
        <is>
          <t>2026-04-09</t>
        </is>
      </c>
      <c r="C11" s="8" t="inlineStr">
        <is>
          <t>신기능</t>
        </is>
      </c>
      <c r="D11" s="8" t="inlineStr">
        <is>
          <t>음악/연주 — game/music.js (6 악기, 8 곡, 공명 1.5×)</t>
        </is>
      </c>
    </row>
    <row r="12">
      <c r="A12" s="7" t="inlineStr">
        <is>
          <t>v2.10</t>
        </is>
      </c>
      <c r="B12" s="7" t="inlineStr">
        <is>
          <t>2026-04-09</t>
        </is>
      </c>
      <c r="C12" s="7" t="inlineStr">
        <is>
          <t>신기능</t>
        </is>
      </c>
      <c r="D12" s="7" t="inlineStr">
        <is>
          <t>꿈 시스템 — game/dream.js (6 꿈 × 3 선택지, 영구 보너스/골드)</t>
        </is>
      </c>
    </row>
    <row r="13">
      <c r="A13" s="8" t="inlineStr">
        <is>
          <t>v2.09</t>
        </is>
      </c>
      <c r="B13" s="8" t="inlineStr">
        <is>
          <t>2026-04-09</t>
        </is>
      </c>
      <c r="C13" s="8" t="inlineStr">
        <is>
          <t>신기능</t>
        </is>
      </c>
      <c r="D13" s="8" t="inlineStr">
        <is>
          <t>유물 발굴 — game/excavation.js (5 사이트, 6 등급, 박물관 기증)</t>
        </is>
      </c>
    </row>
    <row r="14">
      <c r="A14" s="7" t="inlineStr">
        <is>
          <t>v2.08</t>
        </is>
      </c>
      <c r="B14" s="7" t="inlineStr">
        <is>
          <t>2026-04-09</t>
        </is>
      </c>
      <c r="C14" s="7" t="inlineStr">
        <is>
          <t>신기능</t>
        </is>
      </c>
      <c r="D14" s="7" t="inlineStr">
        <is>
          <t>항해 — game/sailing.js (4 배, 5 섬, 7 조우)</t>
        </is>
      </c>
    </row>
    <row r="15">
      <c r="A15" s="8" t="inlineStr">
        <is>
          <t>v2.07</t>
        </is>
      </c>
      <c r="B15" s="8" t="inlineStr">
        <is>
          <t>2026-04-09</t>
        </is>
      </c>
      <c r="C15" s="8" t="inlineStr">
        <is>
          <t>신기능</t>
        </is>
      </c>
      <c r="D15" s="8" t="inlineStr">
        <is>
          <t>미궁 — game/labyrinth.js (5x5, 일일 결정론적, 보물/몬스터/함정/출구)</t>
        </is>
      </c>
    </row>
    <row r="16">
      <c r="A16" s="7" t="inlineStr">
        <is>
          <t>v2.06</t>
        </is>
      </c>
      <c r="B16" s="7" t="inlineStr">
        <is>
          <t>2026-04-09</t>
        </is>
      </c>
      <c r="C16" s="7" t="inlineStr">
        <is>
          <t>신기능</t>
        </is>
      </c>
      <c r="D16" s="7" t="inlineStr">
        <is>
          <t>이모트 — game/emote.js (15 감정, 4 해금경로, 브로드캐스트)</t>
        </is>
      </c>
    </row>
    <row r="17">
      <c r="A17" s="8" t="inlineStr">
        <is>
          <t>v2.05</t>
        </is>
      </c>
      <c r="B17" s="8" t="inlineStr">
        <is>
          <t>2026-04-09</t>
        </is>
      </c>
      <c r="C17" s="8" t="inlineStr">
        <is>
          <t>신기능</t>
        </is>
      </c>
      <c r="D17" s="8" t="inlineStr">
        <is>
          <t>카지노 — game/casino.js (슬롯/주사위/동전, 통계 추적)</t>
        </is>
      </c>
    </row>
    <row r="18">
      <c r="A18" s="7" t="inlineStr">
        <is>
          <t>v2.04</t>
        </is>
      </c>
      <c r="B18" s="7" t="inlineStr">
        <is>
          <t>2026-04-09</t>
        </is>
      </c>
      <c r="C18" s="7" t="inlineStr">
        <is>
          <t>신기능</t>
        </is>
      </c>
      <c r="D18" s="7" t="inlineStr">
        <is>
          <t>프로필 카드 — game/profile.js (8 테마, 8 뱃지, 한줄소개, 조회수)</t>
        </is>
      </c>
    </row>
    <row r="19">
      <c r="A19" s="8" t="inlineStr">
        <is>
          <t>v2.03</t>
        </is>
      </c>
      <c r="B19" s="8" t="inlineStr">
        <is>
          <t>2026-04-09</t>
        </is>
      </c>
      <c r="C19" s="8" t="inlineStr">
        <is>
          <t>신기능</t>
        </is>
      </c>
      <c r="D19" s="8" t="inlineStr">
        <is>
          <t>친구/우정 — game/friends.js (50 슬롯, 6 친밀도 등급, 일일 선물)</t>
        </is>
      </c>
    </row>
    <row r="20">
      <c r="A20" s="7" t="inlineStr">
        <is>
          <t>v2.02</t>
        </is>
      </c>
      <c r="B20" s="7" t="inlineStr">
        <is>
          <t>2026-04-09</t>
        </is>
      </c>
      <c r="C20" s="7" t="inlineStr">
        <is>
          <t>신기능</t>
        </is>
      </c>
      <c r="D20" s="7" t="inlineStr">
        <is>
          <t>차원문 — game/waypoint.js (8 거점, 잠금해제 + 거리 비례 텔레포트)</t>
        </is>
      </c>
    </row>
    <row r="21">
      <c r="A21" s="8" t="inlineStr">
        <is>
          <t>v2.01</t>
        </is>
      </c>
      <c r="B21" s="8" t="inlineStr">
        <is>
          <t>2026-04-09</t>
        </is>
      </c>
      <c r="C21" s="8" t="inlineStr">
        <is>
          <t>신기능</t>
        </is>
      </c>
      <c r="D21" s="8" t="inlineStr">
        <is>
          <t>변신 시스템 — game/morph.js (7 형상, 에센스 드롭, aggregator 7번째)</t>
        </is>
      </c>
    </row>
    <row r="22">
      <c r="A22" s="7" t="inlineStr">
        <is>
          <t>v2.0</t>
        </is>
      </c>
      <c r="B22" s="7" t="inlineStr">
        <is>
          <t>2026-04-09</t>
        </is>
      </c>
      <c r="C22" s="7" t="inlineStr">
        <is>
          <t>마일스톤</t>
        </is>
      </c>
      <c r="D22" s="7" t="inlineStr">
        <is>
          <t>🎉 보너스 집계기 — bonus_aggregator.js (v1.91~v1.99 6개 소스 통합)</t>
        </is>
      </c>
    </row>
    <row r="23">
      <c r="A23" s="8" t="inlineStr">
        <is>
          <t>v2.0</t>
        </is>
      </c>
      <c r="B23" s="8" t="inlineStr">
        <is>
          <t>2026-04-09</t>
        </is>
      </c>
      <c r="C23" s="8" t="inlineStr">
        <is>
          <t>수정</t>
        </is>
      </c>
      <c r="D23" s="8" t="inlineStr">
        <is>
          <t>meditation.getActiveBonuses 별칭 추가 (aggregator 호환)</t>
        </is>
      </c>
    </row>
    <row r="24">
      <c r="A24" s="7" t="inlineStr">
        <is>
          <t>v1.99</t>
        </is>
      </c>
      <c r="B24" s="7" t="inlineStr">
        <is>
          <t>2026-04-09</t>
        </is>
      </c>
      <c r="C24" s="7" t="inlineStr">
        <is>
          <t>신기능</t>
        </is>
      </c>
      <c r="D24" s="7" t="inlineStr">
        <is>
          <t>위인 전당 — game/legends.js (12 위인, 일일 학습, 영구+24h 버프)</t>
        </is>
      </c>
    </row>
    <row r="25">
      <c r="A25" s="8" t="inlineStr">
        <is>
          <t>v1.98</t>
        </is>
      </c>
      <c r="B25" s="8" t="inlineStr">
        <is>
          <t>2026-04-09</t>
        </is>
      </c>
      <c r="C25" s="8" t="inlineStr">
        <is>
          <t>신기능</t>
        </is>
      </c>
      <c r="D25" s="8" t="inlineStr">
        <is>
          <t>제련 시스템 — game/forge.js (7 레시피, 큐 5슬롯, 다이아 즉시완료)</t>
        </is>
      </c>
    </row>
    <row r="26">
      <c r="A26" s="7" t="inlineStr">
        <is>
          <t>v1.97</t>
        </is>
      </c>
      <c r="B26" s="7" t="inlineStr">
        <is>
          <t>2026-04-09</t>
        </is>
      </c>
      <c r="C26" s="7" t="inlineStr">
        <is>
          <t>신기능</t>
        </is>
      </c>
      <c r="D26" s="7" t="inlineStr">
        <is>
          <t>채집 시스템 — game/gathering.js (8 노드, 4 스킬, 도구 등급)</t>
        </is>
      </c>
    </row>
    <row r="27">
      <c r="A27" s="8" t="inlineStr">
        <is>
          <t>v1.96</t>
        </is>
      </c>
      <c r="B27" s="8" t="inlineStr">
        <is>
          <t>2026-04-09</t>
        </is>
      </c>
      <c r="C27" s="8" t="inlineStr">
        <is>
          <t>신기능</t>
        </is>
      </c>
      <c r="D27" s="8" t="inlineStr">
        <is>
          <t>신탁 시스템 — game/oracle.js (10 예언, 8 수수께끼, 일일 신탁)</t>
        </is>
      </c>
    </row>
    <row r="28">
      <c r="A28" s="7" t="inlineStr">
        <is>
          <t>v1.95</t>
        </is>
      </c>
      <c r="B28" s="7" t="inlineStr">
        <is>
          <t>2026-04-09</t>
        </is>
      </c>
      <c r="C28" s="7" t="inlineStr">
        <is>
          <t>신기능</t>
        </is>
      </c>
      <c r="D28" s="7" t="inlineStr">
        <is>
          <t>보석 세공 시스템 — game/gemcraft.js (5 원석, 5 세공등급, 가중 확률)</t>
        </is>
      </c>
    </row>
    <row r="29">
      <c r="A29" s="8" t="inlineStr">
        <is>
          <t>v1.94</t>
        </is>
      </c>
      <c r="B29" s="8" t="inlineStr">
        <is>
          <t>2026-04-09</t>
        </is>
      </c>
      <c r="C29" s="8" t="inlineStr">
        <is>
          <t>신기능</t>
        </is>
      </c>
      <c r="D29" s="8" t="inlineStr">
        <is>
          <t>기상 시스템 — game/weather.js (8 날씨, 4시간 회전, 글로벌 효과)</t>
        </is>
      </c>
    </row>
    <row r="30">
      <c r="A30" s="7" t="inlineStr">
        <is>
          <t>v1.93</t>
        </is>
      </c>
      <c r="B30" s="7" t="inlineStr">
        <is>
          <t>2026-04-09</t>
        </is>
      </c>
      <c r="C30" s="7" t="inlineStr">
        <is>
          <t>신기능</t>
        </is>
      </c>
      <c r="D30" s="7" t="inlineStr">
        <is>
          <t>별자리 시스템 — game/constellation.js (12 별자리, 일일 관측, 마스터 보너스)</t>
        </is>
      </c>
    </row>
    <row r="31">
      <c r="A31" s="8" t="inlineStr">
        <is>
          <t>v1.92</t>
        </is>
      </c>
      <c r="B31" s="8" t="inlineStr">
        <is>
          <t>2026-04-09</t>
        </is>
      </c>
      <c r="C31" s="8" t="inlineStr">
        <is>
          <t>신기능</t>
        </is>
      </c>
      <c r="D31" s="8" t="inlineStr">
        <is>
          <t>요리 시스템 — game/cooking.js (9 재료, 7 레시피, 일시 버프)</t>
        </is>
      </c>
    </row>
    <row r="32">
      <c r="A32" s="7" t="inlineStr">
        <is>
          <t>v1.91</t>
        </is>
      </c>
      <c r="B32" s="7" t="inlineStr">
        <is>
          <t>2026-04-09</t>
        </is>
      </c>
      <c r="C32" s="7" t="inlineStr">
        <is>
          <t>신기능</t>
        </is>
      </c>
      <c r="D32" s="7" t="inlineStr">
        <is>
          <t>명상 시스템 — game/meditation.js (4 신성장소, 5 패시브 퍽)</t>
        </is>
      </c>
    </row>
    <row r="33">
      <c r="A33" s="8" t="inlineStr">
        <is>
          <t>v1.90</t>
        </is>
      </c>
      <c r="B33" s="8" t="inlineStr">
        <is>
          <t>2026-04-09</t>
        </is>
      </c>
      <c r="C33" s="8" t="inlineStr">
        <is>
          <t>신기능</t>
        </is>
      </c>
      <c r="D33" s="8" t="inlineStr">
        <is>
          <t>일기장 시스템 — game/diary.js (22 이벤트 타입, 개인 타임라인)</t>
        </is>
      </c>
    </row>
    <row r="34">
      <c r="A34" s="7" t="inlineStr">
        <is>
          <t>v1.89</t>
        </is>
      </c>
      <c r="B34" s="7" t="inlineStr">
        <is>
          <t>2026-04-09</t>
        </is>
      </c>
      <c r="C34" s="7" t="inlineStr">
        <is>
          <t>리팩토링</t>
        </is>
      </c>
      <c r="D34" s="7" t="inlineStr">
        <is>
          <t>잡다 20개 핸들러 일괄 분리 → misc_handlers.js (-377줄)</t>
        </is>
      </c>
    </row>
    <row r="35">
      <c r="A35" s="8" t="inlineStr">
        <is>
          <t>v1.89</t>
        </is>
      </c>
      <c r="B35" s="8" t="inlineStr">
        <is>
          <t>2026-04-09</t>
        </is>
      </c>
      <c r="C35" s="8" t="inlineStr">
        <is>
          <t>마일스톤</t>
        </is>
      </c>
      <c r="D35" s="8" t="inlineStr">
        <is>
          <t>🎉 핸들러 분리 완료 — server.js 9869→8195 (-1674줄, -17%)</t>
        </is>
      </c>
    </row>
    <row r="36">
      <c r="A36" s="7" t="inlineStr">
        <is>
          <t>v1.88</t>
        </is>
      </c>
      <c r="B36" s="7" t="inlineStr">
        <is>
          <t>2026-04-09</t>
        </is>
      </c>
      <c r="C36" s="7" t="inlineStr">
        <is>
          <t>리팩토링</t>
        </is>
      </c>
      <c r="D36" s="7" t="inlineStr">
        <is>
          <t>companion/world_event/postoffice/transmog/fortune/insurance 6개 분리 (-175줄)</t>
        </is>
      </c>
    </row>
    <row r="37">
      <c r="A37" s="8" t="inlineStr">
        <is>
          <t>v1.87</t>
        </is>
      </c>
      <c r="B37" s="8" t="inlineStr">
        <is>
          <t>2026-04-09</t>
        </is>
      </c>
      <c r="C37" s="8" t="inlineStr">
        <is>
          <t>리팩토링</t>
        </is>
      </c>
      <c r="D37" s="8" t="inlineStr">
        <is>
          <t>expedition/raid/transmutation/jobs/black_market/leaderboard 6개 분리 (-212줄)</t>
        </is>
      </c>
    </row>
    <row r="38">
      <c r="A38" s="7" t="inlineStr">
        <is>
          <t>v1.86</t>
        </is>
      </c>
      <c r="B38" s="7" t="inlineStr">
        <is>
          <t>2026-04-09</t>
        </is>
      </c>
      <c r="C38" s="7" t="inlineStr">
        <is>
          <t>리팩토링</t>
        </is>
      </c>
      <c r="D38" s="7" t="inlineStr">
        <is>
          <t>runes/breeding/relic/treasure_map/training/pet_battle 6개 분리 (-253줄)</t>
        </is>
      </c>
    </row>
    <row r="39">
      <c r="A39" s="8" t="inlineStr">
        <is>
          <t>v1.85</t>
        </is>
      </c>
      <c r="B39" s="8" t="inlineStr">
        <is>
          <t>2026-04-08</t>
        </is>
      </c>
      <c r="C39" s="8" t="inlineStr">
        <is>
          <t>리팩토링</t>
        </is>
      </c>
      <c r="D39" s="8" t="inlineStr">
        <is>
          <t>farm/skill_tree/mail/codex/daily_shop 핸들러 5개 분리 (-228줄)</t>
        </is>
      </c>
    </row>
    <row r="40">
      <c r="A40" s="7" t="inlineStr">
        <is>
          <t>v1.84</t>
        </is>
      </c>
      <c r="B40" s="7" t="inlineStr">
        <is>
          <t>2026-04-08</t>
        </is>
      </c>
      <c r="C40" s="7" t="inlineStr">
        <is>
          <t>리팩토링</t>
        </is>
      </c>
      <c r="D40" s="7" t="inlineStr">
        <is>
          <t>event/auction/boss_rush/season 핸들러 4개 동시 분리 (-240줄)</t>
        </is>
      </c>
    </row>
    <row r="41">
      <c r="A41" s="8" t="inlineStr">
        <is>
          <t>v1.84</t>
        </is>
      </c>
      <c r="B41" s="8" t="inlineStr">
        <is>
          <t>2026-04-08</t>
        </is>
      </c>
      <c r="C41" s="8" t="inlineStr">
        <is>
          <t>리팩토링</t>
        </is>
      </c>
      <c r="D41" s="8" t="inlineStr">
        <is>
          <t>game/handlers/ 4 신규 파일</t>
        </is>
      </c>
    </row>
    <row r="42">
      <c r="A42" s="7" t="inlineStr">
        <is>
          <t>v1.83</t>
        </is>
      </c>
      <c r="B42" s="7" t="inlineStr">
        <is>
          <t>2026-04-08</t>
        </is>
      </c>
      <c r="C42" s="7" t="inlineStr">
        <is>
          <t>리팩토링</t>
        </is>
      </c>
      <c r="D42" s="7" t="inlineStr">
        <is>
          <t>fishing 핸들러 분리 (-116줄)</t>
        </is>
      </c>
    </row>
    <row r="43">
      <c r="A43" s="8" t="inlineStr">
        <is>
          <t>v1.83</t>
        </is>
      </c>
      <c r="B43" s="8" t="inlineStr">
        <is>
          <t>2026-04-08</t>
        </is>
      </c>
      <c r="C43" s="8" t="inlineStr">
        <is>
          <t>리팩토링</t>
        </is>
      </c>
      <c r="D43" s="8" t="inlineStr">
        <is>
          <t>game/handlers/fishing_handlers.js (130줄)</t>
        </is>
      </c>
    </row>
    <row r="44">
      <c r="A44" s="7" t="inlineStr">
        <is>
          <t>v1.82</t>
        </is>
      </c>
      <c r="B44" s="7" t="inlineStr">
        <is>
          <t>2026-04-08</t>
        </is>
      </c>
      <c r="C44" s="7" t="inlineStr">
        <is>
          <t>리팩토링</t>
        </is>
      </c>
      <c r="D44" s="7" t="inlineStr">
        <is>
          <t>핸들러 분리 시작 — game/handlers/lottery_handlers.js</t>
        </is>
      </c>
    </row>
    <row r="45">
      <c r="A45" s="8" t="inlineStr">
        <is>
          <t>v1.82</t>
        </is>
      </c>
      <c r="B45" s="8" t="inlineStr">
        <is>
          <t>2026-04-08</t>
        </is>
      </c>
      <c r="C45" s="8" t="inlineStr">
        <is>
          <t>패턴</t>
        </is>
      </c>
      <c r="D45" s="8" t="inlineStr">
        <is>
          <t>registerXxxHandlers(socket, ctx) 형태로 분리, server.js -73줄</t>
        </is>
      </c>
    </row>
    <row r="46">
      <c r="A46" s="7" t="inlineStr">
        <is>
          <t>v1.82</t>
        </is>
      </c>
      <c r="B46" s="7" t="inlineStr">
        <is>
          <t>2026-04-08</t>
        </is>
      </c>
      <c r="C46" s="7" t="inlineStr">
        <is>
          <t>첫 단계</t>
        </is>
      </c>
      <c r="D46" s="7" t="inlineStr">
        <is>
          <t>lottery만 분리하여 패턴 검증, 다음에 더 많은 모듈 동일 패턴 적용</t>
        </is>
      </c>
    </row>
    <row r="47">
      <c r="A47" s="8" t="inlineStr">
        <is>
          <t>v1.81</t>
        </is>
      </c>
      <c r="B47" s="8" t="inlineStr">
        <is>
          <t>2026-04-08</t>
        </is>
      </c>
      <c r="C47" s="8" t="inlineStr">
        <is>
          <t>신규 모듈</t>
        </is>
      </c>
      <c r="D47" s="8" t="inlineStr">
        <is>
          <t>game/statistics.js — 서버 통계 (5 카테고리)</t>
        </is>
      </c>
    </row>
    <row r="48">
      <c r="A48" s="7" t="inlineStr">
        <is>
          <t>v1.81</t>
        </is>
      </c>
      <c r="B48" s="7" t="inlineStr">
        <is>
          <t>2026-04-08</t>
        </is>
      </c>
      <c r="C48" s="7" t="inlineStr">
        <is>
          <t>통계</t>
        </is>
      </c>
      <c r="D48" s="7" t="inlineStr">
        <is>
          <t>전투/경제/컬렉션/진행/펫 카테고리별 합계/평균/최대</t>
        </is>
      </c>
    </row>
    <row r="49">
      <c r="A49" s="8" t="inlineStr">
        <is>
          <t>v1.81</t>
        </is>
      </c>
      <c r="B49" s="8" t="inlineStr">
        <is>
          <t>2026-04-08</t>
        </is>
      </c>
      <c r="C49" s="8" t="inlineStr">
        <is>
          <t>캐시</t>
        </is>
      </c>
      <c r="D49" s="8" t="inlineStr">
        <is>
          <t>30초 스냅샷 (실시간 부담 최소화)</t>
        </is>
      </c>
    </row>
    <row r="50">
      <c r="A50" s="7" t="inlineStr">
        <is>
          <t>v1.80</t>
        </is>
      </c>
      <c r="B50" s="7" t="inlineStr">
        <is>
          <t>2026-04-08</t>
        </is>
      </c>
      <c r="C50" s="7" t="inlineStr">
        <is>
          <t>🎯 마일스톤</t>
        </is>
      </c>
      <c r="D50" s="7" t="inlineStr">
        <is>
          <t>80번째 패치 — 시간 캡슐 (game/time_capsule.js)</t>
        </is>
      </c>
    </row>
    <row r="51">
      <c r="A51" s="8" t="inlineStr">
        <is>
          <t>v1.80</t>
        </is>
      </c>
      <c r="B51" s="8" t="inlineStr">
        <is>
          <t>2026-04-08</t>
        </is>
      </c>
      <c r="C51" s="8" t="inlineStr">
        <is>
          <t>캡슐</t>
        </is>
      </c>
      <c r="D51" s="8" t="inlineStr">
        <is>
          <t>단기7d/중기30d/장기90d/전설365d × 이자 10%~500%</t>
        </is>
      </c>
    </row>
    <row r="52">
      <c r="A52" s="7" t="inlineStr">
        <is>
          <t>v1.80</t>
        </is>
      </c>
      <c r="B52" s="7" t="inlineStr">
        <is>
          <t>2026-04-08</t>
        </is>
      </c>
      <c r="C52" s="7" t="inlineStr">
        <is>
          <t>시스템</t>
        </is>
      </c>
      <c r="D52" s="7" t="inlineStr">
        <is>
          <t>조기 회수 페널티 20~50% / 주말 만기 보너스 +5%</t>
        </is>
      </c>
    </row>
    <row r="53">
      <c r="A53" s="8" t="inlineStr">
        <is>
          <t>v1.79</t>
        </is>
      </c>
      <c r="B53" s="8" t="inlineStr">
        <is>
          <t>2026-04-08</t>
        </is>
      </c>
      <c r="C53" s="8" t="inlineStr">
        <is>
          <t>신규 모듈</t>
        </is>
      </c>
      <c r="D53" s="8" t="inlineStr">
        <is>
          <t>game/invitation.js — 초대 시스템 (5 마일스톤)</t>
        </is>
      </c>
    </row>
    <row r="54">
      <c r="A54" s="7" t="inlineStr">
        <is>
          <t>v1.79</t>
        </is>
      </c>
      <c r="B54" s="7" t="inlineStr">
        <is>
          <t>2026-04-08</t>
        </is>
      </c>
      <c r="C54" s="7" t="inlineStr">
        <is>
          <t>초대</t>
        </is>
      </c>
      <c r="D54" s="7" t="inlineStr">
        <is>
          <t>코드 생성 → Lv5/10/20/30/50 도달 시 양쪽 보상</t>
        </is>
      </c>
    </row>
    <row r="55">
      <c r="A55" s="8" t="inlineStr">
        <is>
          <t>v1.79</t>
        </is>
      </c>
      <c r="B55" s="8" t="inlineStr">
        <is>
          <t>2026-04-08</t>
        </is>
      </c>
      <c r="C55" s="8" t="inlineStr">
        <is>
          <t>만렙 보상</t>
        </is>
      </c>
      <c r="D55" s="8" t="inlineStr">
        <is>
          <t>초대자: 50000G + 500💎 + mentor 칭호</t>
        </is>
      </c>
    </row>
    <row r="56">
      <c r="A56" s="7" t="inlineStr">
        <is>
          <t>v1.78</t>
        </is>
      </c>
      <c r="B56" s="7" t="inlineStr">
        <is>
          <t>2026-04-08</t>
        </is>
      </c>
      <c r="C56" s="7" t="inlineStr">
        <is>
          <t>신규 모듈</t>
        </is>
      </c>
      <c r="D56" s="7" t="inlineStr">
        <is>
          <t>game/honor.js — 명예 시스템 (PvP 전용 화폐 + 상점 + 7 계급)</t>
        </is>
      </c>
    </row>
    <row r="57">
      <c r="A57" s="8" t="inlineStr">
        <is>
          <t>v1.78</t>
        </is>
      </c>
      <c r="B57" s="8" t="inlineStr">
        <is>
          <t>2026-04-08</t>
        </is>
      </c>
      <c r="C57" s="8" t="inlineStr">
        <is>
          <t>명예 획득</t>
        </is>
      </c>
      <c r="D57" s="8" t="inlineStr">
        <is>
          <t>PvP/아레나/결투/길드전쟁/토너먼트</t>
        </is>
      </c>
    </row>
    <row r="58">
      <c r="A58" s="7" t="inlineStr">
        <is>
          <t>v1.78</t>
        </is>
      </c>
      <c r="B58" s="7" t="inlineStr">
        <is>
          <t>2026-04-08</t>
        </is>
      </c>
      <c r="C58" s="7" t="inlineStr">
        <is>
          <t>명예 상점</t>
        </is>
      </c>
      <c r="D58" s="7" t="inlineStr">
        <is>
          <t>검/갑옷/칭호/오라/불멸의 증표</t>
        </is>
      </c>
    </row>
    <row r="59">
      <c r="A59" s="8" t="inlineStr">
        <is>
          <t>v1.77</t>
        </is>
      </c>
      <c r="B59" s="8" t="inlineStr">
        <is>
          <t>2026-04-08</t>
        </is>
      </c>
      <c r="C59" s="8" t="inlineStr">
        <is>
          <t>신규 모듈</t>
        </is>
      </c>
      <c r="D59" s="8" t="inlineStr">
        <is>
          <t>game/passport.js — 여행자의 여권 (6 지역 × 4 마일스톤)</t>
        </is>
      </c>
    </row>
    <row r="60">
      <c r="A60" s="7" t="inlineStr">
        <is>
          <t>v1.77</t>
        </is>
      </c>
      <c r="B60" s="7" t="inlineStr">
        <is>
          <t>2026-04-08</t>
        </is>
      </c>
      <c r="C60" s="7" t="inlineStr">
        <is>
          <t>지역</t>
        </is>
      </c>
      <c r="D60" s="7" t="inlineStr">
        <is>
          <t>중앙서부/중앙/동부/서부/엔드게임/신규지역 (51 zones 그룹화)</t>
        </is>
      </c>
    </row>
    <row r="61">
      <c r="A61" s="8" t="inlineStr">
        <is>
          <t>v1.77</t>
        </is>
      </c>
      <c r="B61" s="8" t="inlineStr">
        <is>
          <t>2026-04-08</t>
        </is>
      </c>
      <c r="C61" s="8" t="inlineStr">
        <is>
          <t>보상</t>
        </is>
      </c>
      <c r="D61" s="8" t="inlineStr">
        <is>
          <t>첫 방문 골드/EXP + region 완성 배지 + 51개 마스터 보상</t>
        </is>
      </c>
    </row>
    <row r="62">
      <c r="A62" s="7" t="inlineStr">
        <is>
          <t>v1.76</t>
        </is>
      </c>
      <c r="B62" s="7" t="inlineStr">
        <is>
          <t>2026-04-08</t>
        </is>
      </c>
      <c r="C62" s="7" t="inlineStr">
        <is>
          <t>신규 모듈</t>
        </is>
      </c>
      <c r="D62" s="7" t="inlineStr">
        <is>
          <t>game/aura.js — 오라 시스템 (10종)</t>
        </is>
      </c>
    </row>
    <row r="63">
      <c r="A63" s="8" t="inlineStr">
        <is>
          <t>v1.76</t>
        </is>
      </c>
      <c r="B63" s="8" t="inlineStr">
        <is>
          <t>2026-04-08</t>
        </is>
      </c>
      <c r="C63" s="8" t="inlineStr">
        <is>
          <t>오라</t>
        </is>
      </c>
      <c r="D63" s="8" t="inlineStr">
        <is>
          <t>입자 이펙트 + 전투 보너스, 1개 활성</t>
        </is>
      </c>
    </row>
    <row r="64">
      <c r="A64" s="7" t="inlineStr">
        <is>
          <t>v1.76</t>
        </is>
      </c>
      <c r="B64" s="7" t="inlineStr">
        <is>
          <t>2026-04-08</t>
        </is>
      </c>
      <c r="C64" s="7" t="inlineStr">
        <is>
          <t>신화</t>
        </is>
      </c>
      <c r="D64" s="7" t="inlineStr">
        <is>
          <t>우주 오라 (태초 처치) — 전스탯 +3% / EXP +10% / 드롭 +5%</t>
        </is>
      </c>
    </row>
    <row r="65">
      <c r="A65" s="8" t="inlineStr">
        <is>
          <t>v1.75</t>
        </is>
      </c>
      <c r="B65" s="8" t="inlineStr">
        <is>
          <t>2026-04-08</t>
        </is>
      </c>
      <c r="C65" s="8" t="inlineStr">
        <is>
          <t>🎉 마일스톤</t>
        </is>
      </c>
      <c r="D65" s="8" t="inlineStr">
        <is>
          <t>50 모듈 마일스톤 — 통합 대시보드 (game/dashboard.js)</t>
        </is>
      </c>
    </row>
    <row r="66">
      <c r="A66" s="7" t="inlineStr">
        <is>
          <t>v1.75</t>
        </is>
      </c>
      <c r="B66" s="7" t="inlineStr">
        <is>
          <t>2026-04-08</t>
        </is>
      </c>
      <c r="C66" s="7" t="inlineStr">
        <is>
          <t>대시보드</t>
        </is>
      </c>
      <c r="D66" s="7" t="inlineStr">
        <is>
          <t>8 카테고리 (캐릭터/전투/컬렉션/진행/사회/경제/펫/활동) 통합 조회</t>
        </is>
      </c>
    </row>
    <row r="67">
      <c r="A67" s="8" t="inlineStr">
        <is>
          <t>v1.75</t>
        </is>
      </c>
      <c r="B67" s="8" t="inlineStr">
        <is>
          <t>2026-04-08</t>
        </is>
      </c>
      <c r="C67" s="8" t="inlineStr">
        <is>
          <t>완성도 점수</t>
        </is>
      </c>
      <c r="D67" s="8" t="inlineStr">
        <is>
          <t>레벨/칭호/도감/시즌/보스러시 합산해서 0~100%</t>
        </is>
      </c>
    </row>
    <row r="68">
      <c r="A68" s="7" t="inlineStr">
        <is>
          <t>v1.74</t>
        </is>
      </c>
      <c r="B68" s="7" t="inlineStr">
        <is>
          <t>2026-04-08</t>
        </is>
      </c>
      <c r="C68" s="7" t="inlineStr">
        <is>
          <t>신규 모듈</t>
        </is>
      </c>
      <c r="D68" s="7" t="inlineStr">
        <is>
          <t>game/inn.js — 여관/휴식 (5 등급)</t>
        </is>
      </c>
    </row>
    <row r="69">
      <c r="A69" s="8" t="inlineStr">
        <is>
          <t>v1.74</t>
        </is>
      </c>
      <c r="B69" s="8" t="inlineStr">
        <is>
          <t>2026-04-08</t>
        </is>
      </c>
      <c r="C69" s="8" t="inlineStr">
        <is>
          <t>여관</t>
        </is>
      </c>
      <c r="D69" s="8" t="inlineStr">
        <is>
          <t>낡은/일반/아늑한/고급/왕실 호텔</t>
        </is>
      </c>
    </row>
    <row r="70">
      <c r="A70" s="7" t="inlineStr">
        <is>
          <t>v1.74</t>
        </is>
      </c>
      <c r="B70" s="7" t="inlineStr">
        <is>
          <t>2026-04-08</t>
        </is>
      </c>
      <c r="C70" s="7" t="inlineStr">
        <is>
          <t>시스템</t>
        </is>
      </c>
      <c r="D70" s="7" t="inlineStr">
        <is>
          <t>HP/MP 즉시 회복 + Rested Bonus (EXP +50%)</t>
        </is>
      </c>
    </row>
    <row r="71">
      <c r="A71" s="8" t="inlineStr">
        <is>
          <t>v1.73</t>
        </is>
      </c>
      <c r="B71" s="8" t="inlineStr">
        <is>
          <t>2026-04-08</t>
        </is>
      </c>
      <c r="C71" s="8" t="inlineStr">
        <is>
          <t>신규 모듈</t>
        </is>
      </c>
      <c r="D71" s="8" t="inlineStr">
        <is>
          <t>game/territory.js — 영토 통제 (10 영토 × 길드 점유)</t>
        </is>
      </c>
    </row>
    <row r="72">
      <c r="A72" s="7" t="inlineStr">
        <is>
          <t>v1.73</t>
        </is>
      </c>
      <c r="B72" s="7" t="inlineStr">
        <is>
          <t>2026-04-08</t>
        </is>
      </c>
      <c r="C72" s="7" t="inlineStr">
        <is>
          <t>영토</t>
        </is>
      </c>
      <c r="D72" s="7" t="inlineStr">
        <is>
          <t>cave/ruins/volcano/dragon/abyss/ancient/crystal_mine/celestial/void_rift/graveyard</t>
        </is>
      </c>
    </row>
    <row r="73">
      <c r="A73" s="8" t="inlineStr">
        <is>
          <t>v1.73</t>
        </is>
      </c>
      <c r="B73" s="8" t="inlineStr">
        <is>
          <t>2026-04-08</t>
        </is>
      </c>
      <c r="C73" s="8" t="inlineStr">
        <is>
          <t>시스템</t>
        </is>
      </c>
      <c r="D73" s="8" t="inlineStr">
        <is>
          <t>7일 점유, 만료 24시간 전 도전 가능, 길드원 전체 보너스</t>
        </is>
      </c>
    </row>
    <row r="74">
      <c r="A74" s="7" t="inlineStr">
        <is>
          <t>v1.72</t>
        </is>
      </c>
      <c r="B74" s="7" t="inlineStr">
        <is>
          <t>2026-04-08</t>
        </is>
      </c>
      <c r="C74" s="7" t="inlineStr">
        <is>
          <t>신규 모듈</t>
        </is>
      </c>
      <c r="D74" s="7" t="inlineStr">
        <is>
          <t>game/blueprint.js — 비밀 도면 (5종 × 1회 제작)</t>
        </is>
      </c>
    </row>
    <row r="75">
      <c r="A75" s="8" t="inlineStr">
        <is>
          <t>v1.72</t>
        </is>
      </c>
      <c r="B75" s="8" t="inlineStr">
        <is>
          <t>2026-04-08</t>
        </is>
      </c>
      <c r="C75" s="8" t="inlineStr">
        <is>
          <t>도면</t>
        </is>
      </c>
      <c r="D75" s="8" t="inlineStr">
        <is>
          <t>화염검/서리갑옷/공허단검/별의활/태초구슬</t>
        </is>
      </c>
    </row>
    <row r="76">
      <c r="A76" s="7" t="inlineStr">
        <is>
          <t>v1.72</t>
        </is>
      </c>
      <c r="B76" s="7" t="inlineStr">
        <is>
          <t>2026-04-08</t>
        </is>
      </c>
      <c r="C76" s="7" t="inlineStr">
        <is>
          <t>특징</t>
        </is>
      </c>
      <c r="D76" s="7" t="inlineStr">
        <is>
          <t>몬스터/던전 드롭으로 발견 → 1회만 제작 가능</t>
        </is>
      </c>
    </row>
    <row r="77">
      <c r="A77" s="8" t="inlineStr">
        <is>
          <t>v1.71</t>
        </is>
      </c>
      <c r="B77" s="8" t="inlineStr">
        <is>
          <t>2026-04-08</t>
        </is>
      </c>
      <c r="C77" s="8" t="inlineStr">
        <is>
          <t>신규 모듈</t>
        </is>
      </c>
      <c r="D77" s="8" t="inlineStr">
        <is>
          <t>game/contracts.js — 계약 게시판 (8 종 × 6h 갱신)</t>
        </is>
      </c>
    </row>
    <row r="78">
      <c r="A78" s="7" t="inlineStr">
        <is>
          <t>v1.71</t>
        </is>
      </c>
      <c r="B78" s="7" t="inlineStr">
        <is>
          <t>2026-04-08</t>
        </is>
      </c>
      <c r="C78" s="7" t="inlineStr">
        <is>
          <t>계약</t>
        </is>
      </c>
      <c r="D78" s="7" t="inlineStr">
        <is>
          <t>일반/엘리트/레어/보스 사냥 + PvP 현상금 + 약초/보석 수집 + 배송</t>
        </is>
      </c>
    </row>
    <row r="79">
      <c r="A79" s="8" t="inlineStr">
        <is>
          <t>v1.71</t>
        </is>
      </c>
      <c r="B79" s="8" t="inlineStr">
        <is>
          <t>2026-04-08</t>
        </is>
      </c>
      <c r="C79" s="8" t="inlineStr">
        <is>
          <t>난이도</t>
        </is>
      </c>
      <c r="D79" s="8" t="inlineStr">
        <is>
          <t>easy/normal/hard/risky</t>
        </is>
      </c>
    </row>
    <row r="80">
      <c r="A80" s="7" t="inlineStr">
        <is>
          <t>v1.70</t>
        </is>
      </c>
      <c r="B80" s="7" t="inlineStr">
        <is>
          <t>2026-04-08</t>
        </is>
      </c>
      <c r="C80" s="7" t="inlineStr">
        <is>
          <t>🎯 마일스톤</t>
        </is>
      </c>
      <c r="D80" s="7" t="inlineStr">
        <is>
          <t>70번째 패치 — 서버 뉴스 보드 (game/news_board.js)</t>
        </is>
      </c>
    </row>
    <row r="81">
      <c r="A81" s="8" t="inlineStr">
        <is>
          <t>v1.70</t>
        </is>
      </c>
      <c r="B81" s="8" t="inlineStr">
        <is>
          <t>2026-04-08</t>
        </is>
      </c>
      <c r="C81" s="8" t="inlineStr">
        <is>
          <t>뉴스</t>
        </is>
      </c>
      <c r="D81" s="8" t="inlineStr">
        <is>
          <t>5 카테고리 (전투/경제/사회/월드/업적) × 18 이벤트 템플릿</t>
        </is>
      </c>
    </row>
    <row r="82">
      <c r="A82" s="7" t="inlineStr">
        <is>
          <t>v1.70</t>
        </is>
      </c>
      <c r="B82" s="7" t="inlineStr">
        <is>
          <t>2026-04-08</t>
        </is>
      </c>
      <c r="C82" s="7" t="inlineStr">
        <is>
          <t>시스템</t>
        </is>
      </c>
      <c r="D82" s="7" t="inlineStr">
        <is>
          <t>우선순위별 보관 (high 7d / mid 3d / low 1d), 필터/하이라이트</t>
        </is>
      </c>
    </row>
    <row r="83">
      <c r="A83" s="8" t="inlineStr">
        <is>
          <t>v1.69</t>
        </is>
      </c>
      <c r="B83" s="8" t="inlineStr">
        <is>
          <t>2026-04-08</t>
        </is>
      </c>
      <c r="C83" s="8" t="inlineStr">
        <is>
          <t>신규 모듈</t>
        </is>
      </c>
      <c r="D83" s="8" t="inlineStr">
        <is>
          <t>game/blessing.js — 신의 축복 (6 신 + 일일 기도)</t>
        </is>
      </c>
    </row>
    <row r="84">
      <c r="A84" s="7" t="inlineStr">
        <is>
          <t>v1.69</t>
        </is>
      </c>
      <c r="B84" s="7" t="inlineStr">
        <is>
          <t>2026-04-08</t>
        </is>
      </c>
      <c r="C84" s="7" t="inlineStr">
        <is>
          <t>신</t>
        </is>
      </c>
      <c r="D84" s="7" t="inlineStr">
        <is>
          <t>아레스/아테나/헤르메스/아르테미스/헤파이스토스/아폴로</t>
        </is>
      </c>
    </row>
    <row r="85">
      <c r="A85" s="8" t="inlineStr">
        <is>
          <t>v1.69</t>
        </is>
      </c>
      <c r="B85" s="8" t="inlineStr">
        <is>
          <t>2026-04-08</t>
        </is>
      </c>
      <c r="C85" s="8" t="inlineStr">
        <is>
          <t>시스템</t>
        </is>
      </c>
      <c r="D85" s="8" t="inlineStr">
        <is>
          <t>후원신 영구 패시브 + 일일 기도 랜덤 축복 + 신앙 100+ 시 위대한 축복 해금</t>
        </is>
      </c>
    </row>
    <row r="86">
      <c r="A86" s="7" t="inlineStr">
        <is>
          <t>v1.68</t>
        </is>
      </c>
      <c r="B86" s="7" t="inlineStr">
        <is>
          <t>2026-04-08</t>
        </is>
      </c>
      <c r="C86" s="7" t="inlineStr">
        <is>
          <t>신규 모듈</t>
        </is>
      </c>
      <c r="D86" s="7" t="inlineStr">
        <is>
          <t>game/library.js — 도서관 (8권 × 영구 보너스)</t>
        </is>
      </c>
    </row>
    <row r="87">
      <c r="A87" s="8" t="inlineStr">
        <is>
          <t>v1.68</t>
        </is>
      </c>
      <c r="B87" s="8" t="inlineStr">
        <is>
          <t>2026-04-08</t>
        </is>
      </c>
      <c r="C87" s="8" t="inlineStr">
        <is>
          <t>책</t>
        </is>
      </c>
      <c r="D87" s="8" t="inlineStr">
        <is>
          <t>전사 강령/수호자 맹세/연금술 일지/별 지도/용 전승/공허서/태초 문서/금단 마도서</t>
        </is>
      </c>
    </row>
    <row r="88">
      <c r="A88" s="7" t="inlineStr">
        <is>
          <t>v1.68</t>
        </is>
      </c>
      <c r="B88" s="7" t="inlineStr">
        <is>
          <t>2026-04-08</t>
        </is>
      </c>
      <c r="C88" s="7" t="inlineStr">
        <is>
          <t>연계</t>
        </is>
      </c>
      <c r="D88" s="7" t="inlineStr">
        <is>
          <t>wisdom 시스템 book_read 소스와 자동 연동</t>
        </is>
      </c>
    </row>
    <row r="89">
      <c r="A89" s="8" t="inlineStr">
        <is>
          <t>v1.67</t>
        </is>
      </c>
      <c r="B89" s="8" t="inlineStr">
        <is>
          <t>2026-04-08</t>
        </is>
      </c>
      <c r="C89" s="8" t="inlineStr">
        <is>
          <t>신규 모듈</t>
        </is>
      </c>
      <c r="D89" s="8" t="inlineStr">
        <is>
          <t>game/dungeon_keys.js — 던전 열쇠 (4등급)</t>
        </is>
      </c>
    </row>
    <row r="90">
      <c r="A90" s="7" t="inlineStr">
        <is>
          <t>v1.67</t>
        </is>
      </c>
      <c r="B90" s="7" t="inlineStr">
        <is>
          <t>2026-04-08</t>
        </is>
      </c>
      <c r="C90" s="7" t="inlineStr">
        <is>
          <t>열쇠</t>
        </is>
      </c>
      <c r="D90" s="7" t="inlineStr">
        <is>
          <t>청동(주7)/은(주4)/황금(주2)/공허(주1) — 주간 한도</t>
        </is>
      </c>
    </row>
    <row r="91">
      <c r="A91" s="8" t="inlineStr">
        <is>
          <t>v1.67</t>
        </is>
      </c>
      <c r="B91" s="8" t="inlineStr">
        <is>
          <t>2026-04-08</t>
        </is>
      </c>
      <c r="C91" s="8" t="inlineStr">
        <is>
          <t>보상</t>
        </is>
      </c>
      <c r="D91" s="8" t="inlineStr">
        <is>
          <t>보상 배수 1.5x/2x/3x/5x 던전 입장 시</t>
        </is>
      </c>
    </row>
    <row r="92">
      <c r="A92" s="7" t="inlineStr">
        <is>
          <t>v1.66</t>
        </is>
      </c>
      <c r="B92" s="7" t="inlineStr">
        <is>
          <t>2026-04-08</t>
        </is>
      </c>
      <c r="C92" s="7" t="inlineStr">
        <is>
          <t>신규 모듈</t>
        </is>
      </c>
      <c r="D92" s="7" t="inlineStr">
        <is>
          <t>game/lottery_jackpot.js — 주간 잭팟 복권 (서버 누적)</t>
        </is>
      </c>
    </row>
    <row r="93">
      <c r="A93" s="8" t="inlineStr">
        <is>
          <t>v1.66</t>
        </is>
      </c>
      <c r="B93" s="8" t="inlineStr">
        <is>
          <t>2026-04-08</t>
        </is>
      </c>
      <c r="C93" s="8" t="inlineStr">
        <is>
          <t>잭팟</t>
        </is>
      </c>
      <c r="D93" s="8" t="inlineStr">
        <is>
          <t>티켓 1000G/10💎, 80% 풀 적립, 주간 추첨 단 1명 우승</t>
        </is>
      </c>
    </row>
    <row r="94">
      <c r="A94" s="7" t="inlineStr">
        <is>
          <t>v1.66</t>
        </is>
      </c>
      <c r="B94" s="7" t="inlineStr">
        <is>
          <t>2026-04-08</t>
        </is>
      </c>
      <c r="C94" s="7" t="inlineStr">
        <is>
          <t>보상</t>
        </is>
      </c>
      <c r="D94" s="7" t="inlineStr">
        <is>
          <t>당첨금 + 위로상 5% × 5명 (티켓 많은 순)</t>
        </is>
      </c>
    </row>
    <row r="95">
      <c r="A95" s="8" t="inlineStr">
        <is>
          <t>v1.65</t>
        </is>
      </c>
      <c r="B95" s="8" t="inlineStr">
        <is>
          <t>2026-04-08</t>
        </is>
      </c>
      <c r="C95" s="8" t="inlineStr">
        <is>
          <t>신규 모듈</t>
        </is>
      </c>
      <c r="D95" s="8" t="inlineStr">
        <is>
          <t>game/title_collection.js — 칭호 컬렉션 메타 (8 마일스톤 + 4 카테고리)</t>
        </is>
      </c>
    </row>
    <row r="96">
      <c r="A96" s="7" t="inlineStr">
        <is>
          <t>v1.65</t>
        </is>
      </c>
      <c r="B96" s="7" t="inlineStr">
        <is>
          <t>2026-04-08</t>
        </is>
      </c>
      <c r="C96" s="7" t="inlineStr">
        <is>
          <t>마일스톤</t>
        </is>
      </c>
      <c r="D96" s="7" t="inlineStr">
        <is>
          <t>3/5/8/12/16/20/25/30 보유 시 영구 보너스</t>
        </is>
      </c>
    </row>
    <row r="97">
      <c r="A97" s="8" t="inlineStr">
        <is>
          <t>v1.65</t>
        </is>
      </c>
      <c r="B97" s="8" t="inlineStr">
        <is>
          <t>2026-04-08</t>
        </is>
      </c>
      <c r="C97" s="8" t="inlineStr">
        <is>
          <t>카테고리</t>
        </is>
      </c>
      <c r="D97" s="8" t="inlineStr">
        <is>
          <t>전투/경제/소셜/전설 컬렉션 완성 추가 보너스</t>
        </is>
      </c>
    </row>
    <row r="98">
      <c r="A98" s="7" t="inlineStr">
        <is>
          <t>v1.64</t>
        </is>
      </c>
      <c r="B98" s="7" t="inlineStr">
        <is>
          <t>2026-04-08</t>
        </is>
      </c>
      <c r="C98" s="7" t="inlineStr">
        <is>
          <t>신규 모듈</t>
        </is>
      </c>
      <c r="D98" s="7" t="inlineStr">
        <is>
          <t>game/guild_war.js — 길드 전쟁 (7일 시즌)</t>
        </is>
      </c>
    </row>
    <row r="99">
      <c r="A99" s="8" t="inlineStr">
        <is>
          <t>v1.64</t>
        </is>
      </c>
      <c r="B99" s="8" t="inlineStr">
        <is>
          <t>2026-04-08</t>
        </is>
      </c>
      <c r="C99" s="8" t="inlineStr">
        <is>
          <t>전쟁</t>
        </is>
      </c>
      <c r="D99" s="8" t="inlineStr">
        <is>
          <t>선전포고 50000G / 7일 / 길드당 동시 3개</t>
        </is>
      </c>
    </row>
    <row r="100">
      <c r="A100" s="7" t="inlineStr">
        <is>
          <t>v1.64</t>
        </is>
      </c>
      <c r="B100" s="7" t="inlineStr">
        <is>
          <t>2026-04-08</t>
        </is>
      </c>
      <c r="C100" s="7" t="inlineStr">
        <is>
          <t>점수</t>
        </is>
      </c>
      <c r="D100" s="7" t="inlineStr">
        <is>
          <t>킬 10점 / 거점 점령 50점</t>
        </is>
      </c>
    </row>
    <row r="101">
      <c r="A101" s="8" t="inlineStr">
        <is>
          <t>v1.64</t>
        </is>
      </c>
      <c r="B101" s="8" t="inlineStr">
        <is>
          <t>2026-04-08</t>
        </is>
      </c>
      <c r="C101" s="8" t="inlineStr">
        <is>
          <t>보상</t>
        </is>
      </c>
      <c r="D101" s="8" t="inlineStr">
        <is>
          <t>승리 100000G+500💎+칭호 / 최다 킬러 30000G+100💎</t>
        </is>
      </c>
    </row>
    <row r="102">
      <c r="A102" s="7" t="inlineStr">
        <is>
          <t>v1.63</t>
        </is>
      </c>
      <c r="B102" s="7" t="inlineStr">
        <is>
          <t>2026-04-08</t>
        </is>
      </c>
      <c r="C102" s="7" t="inlineStr">
        <is>
          <t>신규 모듈</t>
        </is>
      </c>
      <c r="D102" s="7" t="inlineStr">
        <is>
          <t>game/pvp_tournament.js — 16강 토너먼트</t>
        </is>
      </c>
    </row>
    <row r="103">
      <c r="A103" s="8" t="inlineStr">
        <is>
          <t>v1.63</t>
        </is>
      </c>
      <c r="B103" s="8" t="inlineStr">
        <is>
          <t>2026-04-08</t>
        </is>
      </c>
      <c r="C103" s="8" t="inlineStr">
        <is>
          <t>토너먼트</t>
        </is>
      </c>
      <c r="D103" s="8" t="inlineStr">
        <is>
          <t>매일 12시/18시/21시 / 등록비 1000G / 우승 50000G+500💎+칭호</t>
        </is>
      </c>
    </row>
    <row r="104">
      <c r="A104" s="7" t="inlineStr">
        <is>
          <t>v1.63</t>
        </is>
      </c>
      <c r="B104" s="7" t="inlineStr">
        <is>
          <t>2026-04-08</t>
        </is>
      </c>
      <c r="C104" s="7" t="inlineStr">
        <is>
          <t>시스템</t>
        </is>
      </c>
      <c r="D104" s="7" t="inlineStr">
        <is>
          <t>자동 브래킷 셔플 / 매치 보고 → 자동 다음 라운드</t>
        </is>
      </c>
    </row>
    <row r="105">
      <c r="A105" s="8" t="inlineStr">
        <is>
          <t>v1.62</t>
        </is>
      </c>
      <c r="B105" s="8" t="inlineStr">
        <is>
          <t>2026-04-08</t>
        </is>
      </c>
      <c r="C105" s="8" t="inlineStr">
        <is>
          <t>신규 모듈</t>
        </is>
      </c>
      <c r="D105" s="8" t="inlineStr">
        <is>
          <t>game/wisdom.js — 지혜 시스템 (5 브랜치 × Lv30)</t>
        </is>
      </c>
    </row>
    <row r="106">
      <c r="A106" s="7" t="inlineStr">
        <is>
          <t>v1.62</t>
        </is>
      </c>
      <c r="B106" s="7" t="inlineStr">
        <is>
          <t>2026-04-08</t>
        </is>
      </c>
      <c r="C106" s="7" t="inlineStr">
        <is>
          <t>지혜</t>
        </is>
      </c>
      <c r="D106" s="7" t="inlineStr">
        <is>
          <t>학자/탐험가/박물학자/장인/외교관</t>
        </is>
      </c>
    </row>
    <row r="107">
      <c r="A107" s="8" t="inlineStr">
        <is>
          <t>v1.62</t>
        </is>
      </c>
      <c r="B107" s="8" t="inlineStr">
        <is>
          <t>2026-04-08</t>
        </is>
      </c>
      <c r="C107" s="8" t="inlineStr">
        <is>
          <t>특징</t>
        </is>
      </c>
      <c r="D107" s="8" t="inlineStr">
        <is>
          <t>전투 외 활동(NPC대화/탐험/도감/제작/교역) 보상 시스템</t>
        </is>
      </c>
    </row>
    <row r="108">
      <c r="A108" s="7" t="inlineStr">
        <is>
          <t>v1.61</t>
        </is>
      </c>
      <c r="B108" s="7" t="inlineStr">
        <is>
          <t>2026-04-08</t>
        </is>
      </c>
      <c r="C108" s="7" t="inlineStr">
        <is>
          <t>신규 모듈</t>
        </is>
      </c>
      <c r="D108" s="7" t="inlineStr">
        <is>
          <t>game/companion.js — 동료 시스템 (6 NPC + 호감도)</t>
        </is>
      </c>
    </row>
    <row r="109">
      <c r="A109" s="8" t="inlineStr">
        <is>
          <t>v1.61</t>
        </is>
      </c>
      <c r="B109" s="8" t="inlineStr">
        <is>
          <t>2026-04-08</t>
        </is>
      </c>
      <c r="C109" s="8" t="inlineStr">
        <is>
          <t>동료</t>
        </is>
      </c>
      <c r="D109" s="8" t="inlineStr">
        <is>
          <t>아리아/브루투스/셀레스테/드라고/엠버/세라피나</t>
        </is>
      </c>
    </row>
    <row r="110">
      <c r="A110" s="7" t="inlineStr">
        <is>
          <t>v1.61</t>
        </is>
      </c>
      <c r="B110" s="7" t="inlineStr">
        <is>
          <t>2026-04-08</t>
        </is>
      </c>
      <c r="C110" s="7" t="inlineStr">
        <is>
          <t>호감도</t>
        </is>
      </c>
      <c r="D110" s="7" t="inlineStr">
        <is>
          <t>대화 +1 / 선물 +10 / 최애 선물 +25 / 호감도당 보너스 추가</t>
        </is>
      </c>
    </row>
    <row r="111">
      <c r="A111" s="8" t="inlineStr">
        <is>
          <t>v1.60</t>
        </is>
      </c>
      <c r="B111" s="8" t="inlineStr">
        <is>
          <t>2026-04-08</t>
        </is>
      </c>
      <c r="C111" s="8" t="inlineStr">
        <is>
          <t>🎯 마일스톤</t>
        </is>
      </c>
      <c r="D111" s="8" t="inlineStr">
        <is>
          <t>60번째 패치 — 월드 이벤트 시스템 (game/world_event.js)</t>
        </is>
      </c>
    </row>
    <row r="112">
      <c r="A112" s="7" t="inlineStr">
        <is>
          <t>v1.60</t>
        </is>
      </c>
      <c r="B112" s="7" t="inlineStr">
        <is>
          <t>2026-04-08</t>
        </is>
      </c>
      <c r="C112" s="7" t="inlineStr">
        <is>
          <t>월드 이벤트</t>
        </is>
      </c>
      <c r="D112" s="7" t="inlineStr">
        <is>
          <t>6종: 황금시간/EXP폭발/드래곤침공/운석우/보물비/혈월</t>
        </is>
      </c>
    </row>
    <row r="113">
      <c r="A113" s="8" t="inlineStr">
        <is>
          <t>v1.60</t>
        </is>
      </c>
      <c r="B113" s="8" t="inlineStr">
        <is>
          <t>2026-04-08</t>
        </is>
      </c>
      <c r="C113" s="8" t="inlineStr">
        <is>
          <t>확률</t>
        </is>
      </c>
      <c r="D113" s="8" t="inlineStr">
        <is>
          <t>30%/30%/15%/10%/10%/5% (혈월 가장 희귀)</t>
        </is>
      </c>
    </row>
    <row r="114">
      <c r="A114" s="7" t="inlineStr">
        <is>
          <t>v1.60</t>
        </is>
      </c>
      <c r="B114" s="7" t="inlineStr">
        <is>
          <t>2026-04-08</t>
        </is>
      </c>
      <c r="C114" s="7" t="inlineStr">
        <is>
          <t>자동 트리거</t>
        </is>
      </c>
      <c r="D114" s="7" t="inlineStr">
        <is>
          <t>종료 후 15분 쿨다운 + 5분 단위 20% 확률</t>
        </is>
      </c>
    </row>
    <row r="115">
      <c r="A115" s="8" t="inlineStr">
        <is>
          <t>v1.59</t>
        </is>
      </c>
      <c r="B115" s="8" t="inlineStr">
        <is>
          <t>2026-04-08</t>
        </is>
      </c>
      <c r="C115" s="8" t="inlineStr">
        <is>
          <t>신규 모듈</t>
        </is>
      </c>
      <c r="D115" s="8" t="inlineStr">
        <is>
          <t>game/postoffice.js — 우체국 (5종 패키지)</t>
        </is>
      </c>
    </row>
    <row r="116">
      <c r="A116" s="7" t="inlineStr">
        <is>
          <t>v1.59</t>
        </is>
      </c>
      <c r="B116" s="7" t="inlineStr">
        <is>
          <t>2026-04-08</t>
        </is>
      </c>
      <c r="C116" s="7" t="inlineStr">
        <is>
          <t>패키지</t>
        </is>
      </c>
      <c r="D116" s="7" t="inlineStr">
        <is>
          <t>편지/소포/깨지기 쉬운/귀중품/왕실 봉인</t>
        </is>
      </c>
    </row>
    <row r="117">
      <c r="A117" s="8" t="inlineStr">
        <is>
          <t>v1.59</t>
        </is>
      </c>
      <c r="B117" s="8" t="inlineStr">
        <is>
          <t>2026-04-08</t>
        </is>
      </c>
      <c r="C117" s="8" t="inlineStr">
        <is>
          <t>시스템</t>
        </is>
      </c>
      <c r="D117" s="8" t="inlineStr">
        <is>
          <t>거리 기반 자동 분류, 30분 시간 제한, PK 약탈 위험</t>
        </is>
      </c>
    </row>
    <row r="118">
      <c r="A118" s="7" t="inlineStr">
        <is>
          <t>v1.58</t>
        </is>
      </c>
      <c r="B118" s="7" t="inlineStr">
        <is>
          <t>2026-04-08</t>
        </is>
      </c>
      <c r="C118" s="7" t="inlineStr">
        <is>
          <t>신규 모듈</t>
        </is>
      </c>
      <c r="D118" s="7" t="inlineStr">
        <is>
          <t>game/transmog.js — 외형 변환 (12종 스킨)</t>
        </is>
      </c>
    </row>
    <row r="119">
      <c r="A119" s="8" t="inlineStr">
        <is>
          <t>v1.58</t>
        </is>
      </c>
      <c r="B119" s="8" t="inlineStr">
        <is>
          <t>2026-04-08</t>
        </is>
      </c>
      <c r="C119" s="8" t="inlineStr">
        <is>
          <t>스킨</t>
        </is>
      </c>
      <c r="D119" s="8" t="inlineStr">
        <is>
          <t>무기/방어구/투구/망토 슬롯별, rare~mythic 5등급</t>
        </is>
      </c>
    </row>
    <row r="120">
      <c r="A120" s="7" t="inlineStr">
        <is>
          <t>v1.58</t>
        </is>
      </c>
      <c r="B120" s="7" t="inlineStr">
        <is>
          <t>2026-04-08</t>
        </is>
      </c>
      <c r="C120" s="7" t="inlineStr">
        <is>
          <t>특징</t>
        </is>
      </c>
      <c r="D120" s="7" t="inlineStr">
        <is>
          <t>스탯 유지하면서 외형만 변경, 500G/회</t>
        </is>
      </c>
    </row>
    <row r="121">
      <c r="A121" s="8" t="inlineStr">
        <is>
          <t>v1.57</t>
        </is>
      </c>
      <c r="B121" s="8" t="inlineStr">
        <is>
          <t>2026-04-08</t>
        </is>
      </c>
      <c r="C121" s="8" t="inlineStr">
        <is>
          <t>신규 모듈</t>
        </is>
      </c>
      <c r="D121" s="8" t="inlineStr">
        <is>
          <t>game/fortune.js — 일일 운세 (8종 × 24h 버프)</t>
        </is>
      </c>
    </row>
    <row r="122">
      <c r="A122" s="7" t="inlineStr">
        <is>
          <t>v1.57</t>
        </is>
      </c>
      <c r="B122" s="7" t="inlineStr">
        <is>
          <t>2026-04-08</t>
        </is>
      </c>
      <c r="C122" s="7" t="inlineStr">
        <is>
          <t>운세</t>
        </is>
      </c>
      <c r="D122" s="7" t="inlineStr">
        <is>
          <t>대길/길/재물운/전투운/성장운/안전운/인연운/주의</t>
        </is>
      </c>
    </row>
    <row r="123">
      <c r="A123" s="8" t="inlineStr">
        <is>
          <t>v1.57</t>
        </is>
      </c>
      <c r="B123" s="8" t="inlineStr">
        <is>
          <t>2026-04-08</t>
        </is>
      </c>
      <c r="C123" s="8" t="inlineStr">
        <is>
          <t>스트릭</t>
        </is>
      </c>
      <c r="D123" s="8" t="inlineStr">
        <is>
          <t>3일/7일/14일/30일 보너스 + 효과 배수</t>
        </is>
      </c>
    </row>
    <row r="124">
      <c r="A124" s="7" t="inlineStr">
        <is>
          <t>v1.56</t>
        </is>
      </c>
      <c r="B124" s="7" t="inlineStr">
        <is>
          <t>2026-04-08</t>
        </is>
      </c>
      <c r="C124" s="7" t="inlineStr">
        <is>
          <t>신규 모듈</t>
        </is>
      </c>
      <c r="D124" s="7" t="inlineStr">
        <is>
          <t>game/insurance.js — 장비 보험 (5등급 × 7일)</t>
        </is>
      </c>
    </row>
    <row r="125">
      <c r="A125" s="8" t="inlineStr">
        <is>
          <t>v1.56</t>
        </is>
      </c>
      <c r="B125" s="8" t="inlineStr">
        <is>
          <t>2026-04-08</t>
        </is>
      </c>
      <c r="C125" s="8" t="inlineStr">
        <is>
          <t>보험</t>
        </is>
      </c>
      <c r="D125" s="8" t="inlineStr">
        <is>
          <t>일반 100G ~ 전설 30000G / 7일 만료</t>
        </is>
      </c>
    </row>
    <row r="126">
      <c r="A126" s="7" t="inlineStr">
        <is>
          <t>v1.56</t>
        </is>
      </c>
      <c r="B126" s="7" t="inlineStr">
        <is>
          <t>2026-04-08</t>
        </is>
      </c>
      <c r="C126" s="7" t="inlineStr">
        <is>
          <t>보장</t>
        </is>
      </c>
      <c r="D126" s="7" t="inlineStr">
        <is>
          <t>사망 시 100% 환급, 강화 실패 시 50% 골드</t>
        </is>
      </c>
    </row>
    <row r="127">
      <c r="A127" s="8" t="inlineStr">
        <is>
          <t>v1.56</t>
        </is>
      </c>
      <c r="B127" s="8" t="inlineStr">
        <is>
          <t>2026-04-08</t>
        </is>
      </c>
      <c r="C127" s="8" t="inlineStr">
        <is>
          <t>자동 갱신</t>
        </is>
      </c>
      <c r="D127" s="8" t="inlineStr">
        <is>
          <t>10% 할인 + 만료 자동 연장</t>
        </is>
      </c>
    </row>
    <row r="128">
      <c r="A128" s="7" t="inlineStr">
        <is>
          <t>v1.55</t>
        </is>
      </c>
      <c r="B128" s="7" t="inlineStr">
        <is>
          <t>2026-04-08</t>
        </is>
      </c>
      <c r="C128" s="7" t="inlineStr">
        <is>
          <t>신규 모듈</t>
        </is>
      </c>
      <c r="D128" s="7" t="inlineStr">
        <is>
          <t>game/expedition.js — 멀티 스테이지 원정 (3종 × 5~7단계)</t>
        </is>
      </c>
    </row>
    <row r="129">
      <c r="A129" s="8" t="inlineStr">
        <is>
          <t>v1.55</t>
        </is>
      </c>
      <c r="B129" s="8" t="inlineStr">
        <is>
          <t>2026-04-08</t>
        </is>
      </c>
      <c r="C129" s="8" t="inlineStr">
        <is>
          <t>원정</t>
        </is>
      </c>
      <c r="D129" s="8" t="inlineStr">
        <is>
          <t>드래곤 슬레이어 / 보물 사냥꾼 / 공허의 탐험가</t>
        </is>
      </c>
    </row>
    <row r="130">
      <c r="A130" s="7" t="inlineStr">
        <is>
          <t>v1.55</t>
        </is>
      </c>
      <c r="B130" s="7" t="inlineStr">
        <is>
          <t>2026-04-08</t>
        </is>
      </c>
      <c r="C130" s="7" t="inlineStr">
        <is>
          <t>분기</t>
        </is>
      </c>
      <c r="D130" s="7" t="inlineStr">
        <is>
          <t>각 원정 중반에 2~3 선택지 (보너스 차이)</t>
        </is>
      </c>
    </row>
    <row r="131">
      <c r="A131" s="8" t="inlineStr">
        <is>
          <t>v1.55</t>
        </is>
      </c>
      <c r="B131" s="8" t="inlineStr">
        <is>
          <t>2026-04-08</t>
        </is>
      </c>
      <c r="C131" s="8" t="inlineStr">
        <is>
          <t>보상</t>
        </is>
      </c>
      <c r="D131" s="8" t="inlineStr">
        <is>
          <t>단계별 부분 보상 + 완료 시 전설 아이템 + 칭호</t>
        </is>
      </c>
    </row>
    <row r="132">
      <c r="A132" s="7" t="inlineStr">
        <is>
          <t>v1.54</t>
        </is>
      </c>
      <c r="B132" s="7" t="inlineStr">
        <is>
          <t>2026-04-08</t>
        </is>
      </c>
      <c r="C132" s="7" t="inlineStr">
        <is>
          <t>신규 모듈</t>
        </is>
      </c>
      <c r="D132" s="7" t="inlineStr">
        <is>
          <t>game/raid.js — 대규모 레이드 (3 보스 × 3~5 페이즈)</t>
        </is>
      </c>
    </row>
    <row r="133">
      <c r="A133" s="8" t="inlineStr">
        <is>
          <t>v1.54</t>
        </is>
      </c>
      <c r="B133" s="8" t="inlineStr">
        <is>
          <t>2026-04-08</t>
        </is>
      </c>
      <c r="C133" s="8" t="inlineStr">
        <is>
          <t>레이드</t>
        </is>
      </c>
      <c r="D133" s="8" t="inlineStr">
        <is>
          <t>지옥불 군주 (60만 HP) / 심연의 거인 (140만) / 천공의 수호자 (310만)</t>
        </is>
      </c>
    </row>
    <row r="134">
      <c r="A134" s="7" t="inlineStr">
        <is>
          <t>v1.54</t>
        </is>
      </c>
      <c r="B134" s="7" t="inlineStr">
        <is>
          <t>2026-04-08</t>
        </is>
      </c>
      <c r="C134" s="7" t="inlineStr">
        <is>
          <t>보상</t>
        </is>
      </c>
      <c r="D134" s="7" t="inlineStr">
        <is>
          <t>MVP / TOP10 / Participant 티어 분배 (데미지 기준)</t>
        </is>
      </c>
    </row>
    <row r="135">
      <c r="A135" s="8" t="inlineStr">
        <is>
          <t>v1.54</t>
        </is>
      </c>
      <c r="B135" s="8" t="inlineStr">
        <is>
          <t>2026-04-08</t>
        </is>
      </c>
      <c r="C135" s="8" t="inlineStr">
        <is>
          <t>한도</t>
        </is>
      </c>
      <c r="D135" s="8" t="inlineStr">
        <is>
          <t>주간 입장 3회</t>
        </is>
      </c>
    </row>
    <row r="136">
      <c r="A136" s="7" t="inlineStr">
        <is>
          <t>v1.53</t>
        </is>
      </c>
      <c r="B136" s="7" t="inlineStr">
        <is>
          <t>2026-04-08</t>
        </is>
      </c>
      <c r="C136" s="7" t="inlineStr">
        <is>
          <t>신규 모듈</t>
        </is>
      </c>
      <c r="D136" s="7" t="inlineStr">
        <is>
          <t>game/transmutation.js — 변환 시스템 (4 카테고리)</t>
        </is>
      </c>
    </row>
    <row r="137">
      <c r="A137" s="8" t="inlineStr">
        <is>
          <t>v1.53</t>
        </is>
      </c>
      <c r="B137" s="8" t="inlineStr">
        <is>
          <t>2026-04-08</t>
        </is>
      </c>
      <c r="C137" s="8" t="inlineStr">
        <is>
          <t>분해</t>
        </is>
      </c>
      <c r="D137" s="8" t="inlineStr">
        <is>
          <t>장비(5등급) → 등급별 재료, 음식 → 약초/향신료</t>
        </is>
      </c>
    </row>
    <row r="138">
      <c r="A138" s="7" t="inlineStr">
        <is>
          <t>v1.53</t>
        </is>
      </c>
      <c r="B138" s="7" t="inlineStr">
        <is>
          <t>2026-04-08</t>
        </is>
      </c>
      <c r="C138" s="7" t="inlineStr">
        <is>
          <t>압축/정제</t>
        </is>
      </c>
      <c r="D138" s="7" t="inlineStr">
        <is>
          <t>교역품 10개 → 1 고급재료, mat_magic → mat_soul → mat_dragon</t>
        </is>
      </c>
    </row>
    <row r="139">
      <c r="A139" s="8" t="inlineStr">
        <is>
          <t>v1.52</t>
        </is>
      </c>
      <c r="B139" s="8" t="inlineStr">
        <is>
          <t>2026-04-08</t>
        </is>
      </c>
      <c r="C139" s="8" t="inlineStr">
        <is>
          <t>신규 모듈</t>
        </is>
      </c>
      <c r="D139" s="8" t="inlineStr">
        <is>
          <t>game/jobs.js — 부직업 시스템 (5종 × Lv50)</t>
        </is>
      </c>
    </row>
    <row r="140">
      <c r="A140" s="7" t="inlineStr">
        <is>
          <t>v1.52</t>
        </is>
      </c>
      <c r="B140" s="7" t="inlineStr">
        <is>
          <t>2026-04-08</t>
        </is>
      </c>
      <c r="C140" s="7" t="inlineStr">
        <is>
          <t>부직업</t>
        </is>
      </c>
      <c r="D140" s="7" t="inlineStr">
        <is>
          <t>대장장이/연금술사/약초학자/광부/인첸터</t>
        </is>
      </c>
    </row>
    <row r="141">
      <c r="A141" s="8" t="inlineStr">
        <is>
          <t>v1.52</t>
        </is>
      </c>
      <c r="B141" s="8" t="inlineStr">
        <is>
          <t>2026-04-08</t>
        </is>
      </c>
      <c r="C141" s="8" t="inlineStr">
        <is>
          <t>일일 미션</t>
        </is>
      </c>
      <c r="D141" s="8" t="inlineStr">
        <is>
          <t>각 직업별 데일리 미션 + 보상 자동 분배</t>
        </is>
      </c>
    </row>
    <row r="142">
      <c r="A142" s="7" t="inlineStr">
        <is>
          <t>v1.52</t>
        </is>
      </c>
      <c r="B142" s="7" t="inlineStr">
        <is>
          <t>2026-04-08</t>
        </is>
      </c>
      <c r="C142" s="7" t="inlineStr">
        <is>
          <t>패시브</t>
        </is>
      </c>
      <c r="D142" s="7" t="inlineStr">
        <is>
          <t>레벨당 영구 보너스 (강화율/버프지속/농장속도/골드/룬효과)</t>
        </is>
      </c>
    </row>
    <row r="143">
      <c r="A143" s="8" t="inlineStr">
        <is>
          <t>v1.51</t>
        </is>
      </c>
      <c r="B143" s="8" t="inlineStr">
        <is>
          <t>2026-04-08</t>
        </is>
      </c>
      <c r="C143" s="8" t="inlineStr">
        <is>
          <t>신규 모듈</t>
        </is>
      </c>
      <c r="D143" s="8" t="inlineStr">
        <is>
          <t>game/black_market.js — 6시간 갱신 미스터리 상점 (13종)</t>
        </is>
      </c>
    </row>
    <row r="144">
      <c r="A144" s="7" t="inlineStr">
        <is>
          <t>v1.51</t>
        </is>
      </c>
      <c r="B144" s="7" t="inlineStr">
        <is>
          <t>2026-04-08</t>
        </is>
      </c>
      <c r="C144" s="7" t="inlineStr">
        <is>
          <t>암시장</t>
        </is>
      </c>
      <c r="D144" s="7" t="inlineStr">
        <is>
          <t>희귀 70% / 영웅 25% / 전설 5% 가중치, 결정적 시드</t>
        </is>
      </c>
    </row>
    <row r="145">
      <c r="A145" s="8" t="inlineStr">
        <is>
          <t>v1.51</t>
        </is>
      </c>
      <c r="B145" s="8" t="inlineStr">
        <is>
          <t>2026-04-08</t>
        </is>
      </c>
      <c r="C145" s="8" t="inlineStr">
        <is>
          <t>전설 상품</t>
        </is>
      </c>
      <c r="D145" s="8" t="inlineStr">
        <is>
          <t>신화 펫 교환권 / 시즌 패스 스킵 / 환생의 축복 / 시간의 결정</t>
        </is>
      </c>
    </row>
    <row r="146">
      <c r="A146" s="7" t="inlineStr">
        <is>
          <t>v1.50</t>
        </is>
      </c>
      <c r="B146" s="7" t="inlineStr">
        <is>
          <t>2026-04-08</t>
        </is>
      </c>
      <c r="C146" s="7" t="inlineStr">
        <is>
          <t>마일스톤</t>
        </is>
      </c>
      <c r="D146" s="7" t="inlineStr">
        <is>
          <t>🎉 50번째 패치 — 종합 랭킹 시스템 (game/leaderboard.js)</t>
        </is>
      </c>
    </row>
    <row r="147">
      <c r="A147" s="8" t="inlineStr">
        <is>
          <t>v1.50</t>
        </is>
      </c>
      <c r="B147" s="8" t="inlineStr">
        <is>
          <t>2026-04-08</t>
        </is>
      </c>
      <c r="C147" s="8" t="inlineStr">
        <is>
          <t>종합 랭킹</t>
        </is>
      </c>
      <c r="D147" s="8" t="inlineStr">
        <is>
          <t>10개 카테고리: 레벨/골드/PvP/사냥꾼/월드보스/시즌패스/보스러시/보물/낚시/펫배틀</t>
        </is>
      </c>
    </row>
    <row r="148">
      <c r="A148" s="7" t="inlineStr">
        <is>
          <t>v1.50</t>
        </is>
      </c>
      <c r="B148" s="7" t="inlineStr">
        <is>
          <t>2026-04-08</t>
        </is>
      </c>
      <c r="C148" s="7" t="inlineStr">
        <is>
          <t>주간 보상</t>
        </is>
      </c>
      <c r="D148" s="7" t="inlineStr">
        <is>
          <t>각 카테고리 TOP3 자동 보상 분배 (10000G+200💎+칭호 / 5000+100 / 3000+50)</t>
        </is>
      </c>
    </row>
    <row r="149">
      <c r="A149" s="8" t="inlineStr">
        <is>
          <t>v1.50</t>
        </is>
      </c>
      <c r="B149" s="8" t="inlineStr">
        <is>
          <t>2026-04-08</t>
        </is>
      </c>
      <c r="C149" s="8" t="inlineStr">
        <is>
          <t>캐시</t>
        </is>
      </c>
      <c r="D149" s="8" t="inlineStr">
        <is>
          <t>60초 스냅샷 캐시 (실시간 부담 최소화)</t>
        </is>
      </c>
    </row>
    <row r="150">
      <c r="A150" s="7" t="inlineStr">
        <is>
          <t>v1.49</t>
        </is>
      </c>
      <c r="B150" s="7" t="inlineStr">
        <is>
          <t>2026-04-08</t>
        </is>
      </c>
      <c r="C150" s="7" t="inlineStr">
        <is>
          <t>신규 모듈</t>
        </is>
      </c>
      <c r="D150" s="7" t="inlineStr">
        <is>
          <t>game/runes.js — 룬 시스템 (12종 × 3등급 = 36종)</t>
        </is>
      </c>
    </row>
    <row r="151">
      <c r="A151" s="8" t="inlineStr">
        <is>
          <t>v1.49</t>
        </is>
      </c>
      <c r="B151" s="8" t="inlineStr">
        <is>
          <t>2026-04-08</t>
        </is>
      </c>
      <c r="C151" s="8" t="inlineStr">
        <is>
          <t>룬 워드</t>
        </is>
      </c>
      <c r="D151" s="8" t="inlineStr">
        <is>
          <t>전사/수호자/학자/흡혈귀 4종 (3룬 동시 장착 시 추가 보너스)</t>
        </is>
      </c>
    </row>
    <row r="152">
      <c r="A152" s="7" t="inlineStr">
        <is>
          <t>v1.49</t>
        </is>
      </c>
      <c r="B152" s="7" t="inlineStr">
        <is>
          <t>2026-04-08</t>
        </is>
      </c>
      <c r="C152" s="7" t="inlineStr">
        <is>
          <t>검증</t>
        </is>
      </c>
      <c r="D152" s="7" t="inlineStr">
        <is>
          <t>전사의 인장 활성 → ATK +10 (룬) + ATK +30 (워드) = +40</t>
        </is>
      </c>
    </row>
    <row r="153">
      <c r="A153" s="8" t="inlineStr">
        <is>
          <t>v1.48</t>
        </is>
      </c>
      <c r="B153" s="8" t="inlineStr">
        <is>
          <t>2026-04-08</t>
        </is>
      </c>
      <c r="C153" s="8" t="inlineStr">
        <is>
          <t>신규 모듈</t>
        </is>
      </c>
      <c r="D153" s="8" t="inlineStr">
        <is>
          <t>game/breeding.js — 펫 교배 시스템 (4 hybrid + 변이)</t>
        </is>
      </c>
    </row>
    <row r="154">
      <c r="A154" s="7" t="inlineStr">
        <is>
          <t>v1.48</t>
        </is>
      </c>
      <c r="B154" s="7" t="inlineStr">
        <is>
          <t>2026-04-08</t>
        </is>
      </c>
      <c r="C154" s="7" t="inlineStr">
        <is>
          <t>교배</t>
        </is>
      </c>
      <c r="D154" s="7" t="inlineStr">
        <is>
          <t>24h 쿨다운, 10000G + 50💎</t>
        </is>
      </c>
    </row>
    <row r="155">
      <c r="A155" s="8" t="inlineStr">
        <is>
          <t>v1.48</t>
        </is>
      </c>
      <c r="B155" s="8" t="inlineStr">
        <is>
          <t>2026-04-08</t>
        </is>
      </c>
      <c r="C155" s="8" t="inlineStr">
        <is>
          <t>특별 자손</t>
        </is>
      </c>
      <c r="D155" s="8" t="inlineStr">
        <is>
          <t>슬라임 늑대 / 빛의 드래곤 / 성스러운 불사조 / 빛의 유니콘</t>
        </is>
      </c>
    </row>
    <row r="156">
      <c r="A156" s="7" t="inlineStr">
        <is>
          <t>v1.47</t>
        </is>
      </c>
      <c r="B156" s="7" t="inlineStr">
        <is>
          <t>2026-04-08</t>
        </is>
      </c>
      <c r="C156" s="7" t="inlineStr">
        <is>
          <t>신규 모듈</t>
        </is>
      </c>
      <c r="D156" s="7" t="inlineStr">
        <is>
          <t>game/relic.js — 유물 시스템 (10종 × 5강화)</t>
        </is>
      </c>
    </row>
    <row r="157">
      <c r="A157" s="8" t="inlineStr">
        <is>
          <t>v1.47</t>
        </is>
      </c>
      <c r="B157" s="8" t="inlineStr">
        <is>
          <t>2026-04-08</t>
        </is>
      </c>
      <c r="C157" s="8" t="inlineStr">
        <is>
          <t>유물</t>
        </is>
      </c>
      <c r="D157" s="8" t="inlineStr">
        <is>
          <t>동시 장착 3개, 신화/전설/영웅/희귀</t>
        </is>
      </c>
    </row>
    <row r="158">
      <c r="A158" s="7" t="inlineStr">
        <is>
          <t>v1.47</t>
        </is>
      </c>
      <c r="B158" s="7" t="inlineStr">
        <is>
          <t>2026-04-08</t>
        </is>
      </c>
      <c r="C158" s="7" t="inlineStr">
        <is>
          <t>유물</t>
        </is>
      </c>
      <c r="D158" s="7" t="inlineStr">
        <is>
          <t>강화: 5000G × Lv² + 용재료 2×Lv → 효과 +20% / Lv</t>
        </is>
      </c>
    </row>
    <row r="159">
      <c r="A159" s="8" t="inlineStr">
        <is>
          <t>v1.46</t>
        </is>
      </c>
      <c r="B159" s="8" t="inlineStr">
        <is>
          <t>2026-04-08</t>
        </is>
      </c>
      <c r="C159" s="8" t="inlineStr">
        <is>
          <t>신규 모듈</t>
        </is>
      </c>
      <c r="D159" s="8" t="inlineStr">
        <is>
          <t>game/treasure_map.js — 보물 지도 (5등급 × 무작위 좌표)</t>
        </is>
      </c>
    </row>
    <row r="160">
      <c r="A160" s="7" t="inlineStr">
        <is>
          <t>v1.46</t>
        </is>
      </c>
      <c r="B160" s="7" t="inlineStr">
        <is>
          <t>2026-04-08</t>
        </is>
      </c>
      <c r="C160" s="7" t="inlineStr">
        <is>
          <t>보물</t>
        </is>
      </c>
      <c r="D160" s="7" t="inlineStr">
        <is>
          <t>거리 기반 힌트 (🔥뜨겁다 ~ 🧊너무 멀다) + 5유닛 이내 발굴</t>
        </is>
      </c>
    </row>
    <row r="161">
      <c r="A161" s="8" t="inlineStr">
        <is>
          <t>v1.46</t>
        </is>
      </c>
      <c r="B161" s="8" t="inlineStr">
        <is>
          <t>2026-04-08</t>
        </is>
      </c>
      <c r="C161" s="8" t="inlineStr">
        <is>
          <t>전설 지도</t>
        </is>
      </c>
      <c r="D161" s="8" t="inlineStr">
        <is>
          <t>30000~80000G + 200~500💎 + 용재료/용의 눈</t>
        </is>
      </c>
    </row>
    <row r="162">
      <c r="A162" s="7" t="inlineStr">
        <is>
          <t>v1.45</t>
        </is>
      </c>
      <c r="B162" s="7" t="inlineStr">
        <is>
          <t>2026-04-08</t>
        </is>
      </c>
      <c r="C162" s="7" t="inlineStr">
        <is>
          <t>신규 모듈</t>
        </is>
      </c>
      <c r="D162" s="7" t="inlineStr">
        <is>
          <t>game/training.js — 일일 훈련 (5종 드릴 × 30랭크)</t>
        </is>
      </c>
    </row>
    <row r="163">
      <c r="A163" s="8" t="inlineStr">
        <is>
          <t>v1.45</t>
        </is>
      </c>
      <c r="B163" s="8" t="inlineStr">
        <is>
          <t>2026-04-08</t>
        </is>
      </c>
      <c r="C163" s="8" t="inlineStr">
        <is>
          <t>일일 훈련</t>
        </is>
      </c>
      <c r="D163" s="8" t="inlineStr">
        <is>
          <t>매일 5 스태미나, 30💎로 추가 충전, 영구 보너스 + 임시 버프</t>
        </is>
      </c>
    </row>
    <row r="164">
      <c r="A164" s="7" t="inlineStr">
        <is>
          <t>v1.45</t>
        </is>
      </c>
      <c r="B164" s="7" t="inlineStr">
        <is>
          <t>2026-04-08</t>
        </is>
      </c>
      <c r="C164" s="7" t="inlineStr">
        <is>
          <t>드릴</t>
        </is>
      </c>
      <c r="D164" s="7" t="inlineStr">
        <is>
          <t>전투/방어/민첩/지혜/행운</t>
        </is>
      </c>
    </row>
    <row r="165">
      <c r="A165" s="8" t="inlineStr">
        <is>
          <t>v1.44</t>
        </is>
      </c>
      <c r="B165" s="8" t="inlineStr">
        <is>
          <t>2026-04-08</t>
        </is>
      </c>
      <c r="C165" s="8" t="inlineStr">
        <is>
          <t>함수 추출</t>
        </is>
      </c>
      <c r="D165" s="8" t="inlineStr">
        <is>
          <t>game/monster_spawn.js — pickMonsterTier/pickZoneTier/scaleMonster (-33줄)</t>
        </is>
      </c>
    </row>
    <row r="166">
      <c r="A166" s="7" t="inlineStr">
        <is>
          <t>v1.44</t>
        </is>
      </c>
      <c r="B166" s="7" t="inlineStr">
        <is>
          <t>2026-04-08</t>
        </is>
      </c>
      <c r="C166" s="7" t="inlineStr">
        <is>
          <t>함수 추출</t>
        </is>
      </c>
      <c r="D166" s="7" t="inlineStr">
        <is>
          <t>데이터 모듈을 require하는 새 패턴 (data/world_data + data/zones)</t>
        </is>
      </c>
    </row>
    <row r="167">
      <c r="A167" s="8" t="inlineStr">
        <is>
          <t>v1.43</t>
        </is>
      </c>
      <c r="B167" s="8" t="inlineStr">
        <is>
          <t>2026-04-08</t>
        </is>
      </c>
      <c r="C167" s="8" t="inlineStr">
        <is>
          <t>함수 추출</t>
        </is>
      </c>
      <c r="D167" s="8" t="inlineStr">
        <is>
          <t>game/helpers.js — 첫 함수 추출 (getExpRequired/getYesterday/getWeekNumber + clamp/distance/getToday)</t>
        </is>
      </c>
    </row>
    <row r="168">
      <c r="A168" s="7" t="inlineStr">
        <is>
          <t>v1.43</t>
        </is>
      </c>
      <c r="B168" s="7" t="inlineStr">
        <is>
          <t>2026-04-08</t>
        </is>
      </c>
      <c r="C168" s="7" t="inlineStr">
        <is>
          <t>함수 추출</t>
        </is>
      </c>
      <c r="D168" s="7" t="inlineStr">
        <is>
          <t>데이터 추출에 이은 두 번째 추출 패턴 (함수 단위)</t>
        </is>
      </c>
    </row>
    <row r="169">
      <c r="A169" s="8" t="inlineStr">
        <is>
          <t>v1.42</t>
        </is>
      </c>
      <c r="B169" s="8" t="inlineStr">
        <is>
          <t>2026-04-08</t>
        </is>
      </c>
      <c r="C169" s="8" t="inlineStr">
        <is>
          <t>신규 모듈</t>
        </is>
      </c>
      <c r="D169" s="8" t="inlineStr">
        <is>
          <t>game/pet_battle.js — 펫 배틀 시뮬레이터 (생성 + 통합 동시)</t>
        </is>
      </c>
    </row>
    <row r="170">
      <c r="A170" s="7" t="inlineStr">
        <is>
          <t>v1.42</t>
        </is>
      </c>
      <c r="B170" s="7" t="inlineStr">
        <is>
          <t>2026-04-08</t>
        </is>
      </c>
      <c r="C170" s="7" t="inlineStr">
        <is>
          <t>펫 배틀</t>
        </is>
      </c>
      <c r="D170" s="7" t="inlineStr">
        <is>
          <t>game/pet.js의 PETS를 import → 자동 전투 스탯 변환</t>
        </is>
      </c>
    </row>
    <row r="171">
      <c r="A171" s="8" t="inlineStr">
        <is>
          <t>v1.42</t>
        </is>
      </c>
      <c r="B171" s="8" t="inlineStr">
        <is>
          <t>2026-04-08</t>
        </is>
      </c>
      <c r="C171" s="8" t="inlineStr">
        <is>
          <t>펫 배틀</t>
        </is>
      </c>
      <c r="D171" s="8" t="inlineStr">
        <is>
          <t>턴제 시뮬레이션 (최대 30턴) + 8강 토너먼트</t>
        </is>
      </c>
    </row>
    <row r="172">
      <c r="A172" s="7" t="inlineStr">
        <is>
          <t>v1.42</t>
        </is>
      </c>
      <c r="B172" s="7" t="inlineStr">
        <is>
          <t>2026-04-08</t>
        </is>
      </c>
      <c r="C172" s="7" t="inlineStr">
        <is>
          <t>소켓</t>
        </is>
      </c>
      <c r="D172" s="7" t="inlineStr">
        <is>
          <t>pet_battle_status / pet_battle_fight (일일 5회 무료)</t>
        </is>
      </c>
    </row>
    <row r="173">
      <c r="A173" s="8" t="inlineStr">
        <is>
          <t>v1.41</t>
        </is>
      </c>
      <c r="B173" s="8" t="inlineStr">
        <is>
          <t>2026-04-08</t>
        </is>
      </c>
      <c r="C173" s="8" t="inlineStr">
        <is>
          <t>리팩토링</t>
        </is>
      </c>
      <c r="D173" s="8" t="inlineStr">
        <is>
          <t>Phase 5 (마지막): 경제/사회 12종 추출 → game/data/economy.js (216줄)</t>
        </is>
      </c>
    </row>
    <row r="174">
      <c r="A174" s="7" t="inlineStr">
        <is>
          <t>v1.41</t>
        </is>
      </c>
      <c r="B174" s="7" t="inlineStr">
        <is>
          <t>2026-04-08</t>
        </is>
      </c>
      <c r="C174" s="7" t="inlineStr">
        <is>
          <t>리팩토링</t>
        </is>
      </c>
      <c r="D174" s="7" t="inlineStr">
        <is>
          <t>server.js 8868 → 8696줄 (-172줄)</t>
        </is>
      </c>
    </row>
    <row r="175">
      <c r="A175" s="8" t="inlineStr">
        <is>
          <t>v1.41</t>
        </is>
      </c>
      <c r="B175" s="8" t="inlineStr">
        <is>
          <t>2026-04-08</t>
        </is>
      </c>
      <c r="C175" s="8" t="inlineStr">
        <is>
          <t>리팩토링</t>
        </is>
      </c>
      <c r="D175" s="8" t="inlineStr">
        <is>
          <t>DIAMOND_PRODUCTS/NPCS(11)/TRADE_GOODS(23)/SHOP_ITEMS(45)/FREE_DIAMOND/TRADEABLE/CLAN/EMOTES</t>
        </is>
      </c>
    </row>
    <row r="176">
      <c r="A176" s="7" t="inlineStr">
        <is>
          <t>v1.41</t>
        </is>
      </c>
      <c r="B176" s="7" t="inlineStr">
        <is>
          <t>2026-04-08</t>
        </is>
      </c>
      <c r="C176" s="7" t="inlineStr">
        <is>
          <t>마일스톤</t>
        </is>
      </c>
      <c r="D176" s="7" t="inlineStr">
        <is>
          <t>🎉 server.js 리팩토링 마스터 플랜 5단계 완료 (-926줄, -9.6%)</t>
        </is>
      </c>
    </row>
    <row r="177">
      <c r="A177" s="8" t="inlineStr">
        <is>
          <t>v1.40</t>
        </is>
      </c>
      <c r="B177" s="8" t="inlineStr">
        <is>
          <t>2026-04-08</t>
        </is>
      </c>
      <c r="C177" s="8" t="inlineStr">
        <is>
          <t>리팩토링</t>
        </is>
      </c>
      <c r="D177" s="8" t="inlineStr">
        <is>
          <t>Phase 4: 퀘스트/스킬/전직 추출 → game/data/quests.js (149줄)</t>
        </is>
      </c>
    </row>
    <row r="178">
      <c r="A178" s="7" t="inlineStr">
        <is>
          <t>v1.40</t>
        </is>
      </c>
      <c r="B178" s="7" t="inlineStr">
        <is>
          <t>2026-04-08</t>
        </is>
      </c>
      <c r="C178" s="7" t="inlineStr">
        <is>
          <t>리팩토링</t>
        </is>
      </c>
      <c r="D178" s="7" t="inlineStr">
        <is>
          <t>server.js 9007 → 8868줄 (-139줄)</t>
        </is>
      </c>
    </row>
    <row r="179">
      <c r="A179" s="8" t="inlineStr">
        <is>
          <t>v1.40</t>
        </is>
      </c>
      <c r="B179" s="8" t="inlineStr">
        <is>
          <t>2026-04-08</t>
        </is>
      </c>
      <c r="C179" s="8" t="inlineStr">
        <is>
          <t>리팩토링</t>
        </is>
      </c>
      <c r="D179" s="8" t="inlineStr">
        <is>
          <t>QUESTS(63)/SKILLS(5클래스×6)/CLASS_ADVANCE(5)</t>
        </is>
      </c>
    </row>
    <row r="180">
      <c r="A180" s="7" t="inlineStr">
        <is>
          <t>v1.39</t>
        </is>
      </c>
      <c r="B180" s="7" t="inlineStr">
        <is>
          <t>2026-04-08</t>
        </is>
      </c>
      <c r="C180" s="7" t="inlineStr">
        <is>
          <t>리팩토링</t>
        </is>
      </c>
      <c r="D180" s="7" t="inlineStr">
        <is>
          <t>Phase 3: 장비 데이터 6종 추출 → game/data/equipment.js (123줄)</t>
        </is>
      </c>
    </row>
    <row r="181">
      <c r="A181" s="8" t="inlineStr">
        <is>
          <t>v1.39</t>
        </is>
      </c>
      <c r="B181" s="8" t="inlineStr">
        <is>
          <t>2026-04-08</t>
        </is>
      </c>
      <c r="C181" s="8" t="inlineStr">
        <is>
          <t>리팩토링</t>
        </is>
      </c>
      <c r="D181" s="8" t="inlineStr">
        <is>
          <t>server.js 9103 → 9007줄 (-96줄)</t>
        </is>
      </c>
    </row>
    <row r="182">
      <c r="A182" s="7" t="inlineStr">
        <is>
          <t>v1.39</t>
        </is>
      </c>
      <c r="B182" s="7" t="inlineStr">
        <is>
          <t>2026-04-08</t>
        </is>
      </c>
      <c r="C182" s="7" t="inlineStr">
        <is>
          <t>리팩토링</t>
        </is>
      </c>
      <c r="D182" s="7" t="inlineStr">
        <is>
          <t>EQUIPMENT_SLOTS/SETS/GRADE_INFO/RANDOM_OPTIONS/EQUIP_STATS(44)/EQUIP_DESCRIPTIONS</t>
        </is>
      </c>
    </row>
    <row r="183">
      <c r="A183" s="8" t="inlineStr">
        <is>
          <t>v1.38</t>
        </is>
      </c>
      <c r="B183" s="8" t="inlineStr">
        <is>
          <t>2026-04-08</t>
        </is>
      </c>
      <c r="C183" s="8" t="inlineStr">
        <is>
          <t>리팩토링</t>
        </is>
      </c>
      <c r="D183" s="8" t="inlineStr">
        <is>
          <t>Phase 2: 지역 데이터 8종 추출 → game/data/zones.js (459줄)</t>
        </is>
      </c>
    </row>
    <row r="184">
      <c r="A184" s="7" t="inlineStr">
        <is>
          <t>v1.38</t>
        </is>
      </c>
      <c r="B184" s="7" t="inlineStr">
        <is>
          <t>2026-04-08</t>
        </is>
      </c>
      <c r="C184" s="7" t="inlineStr">
        <is>
          <t>리팩토링</t>
        </is>
      </c>
      <c r="D184" s="7" t="inlineStr">
        <is>
          <t>server.js 9517 → 9103줄 (-414줄)</t>
        </is>
      </c>
    </row>
    <row r="185">
      <c r="A185" s="8" t="inlineStr">
        <is>
          <t>v1.38</t>
        </is>
      </c>
      <c r="B185" s="8" t="inlineStr">
        <is>
          <t>2026-04-08</t>
        </is>
      </c>
      <c r="C185" s="8" t="inlineStr">
        <is>
          <t>리팩토링</t>
        </is>
      </c>
      <c r="D185" s="8" t="inlineStr">
        <is>
          <t>ZONES(53)/ZONE_AMBIENCE(52)/MONSTER_LORE(79)/ZONE_CONNECTIONS(50)/TERRAIN_BARRIERS/ROADS/ZONE_MONSTERS/ZONE_MONSTER_NAMES</t>
        </is>
      </c>
    </row>
    <row r="186">
      <c r="A186" s="7" t="inlineStr">
        <is>
          <t>v1.37</t>
        </is>
      </c>
      <c r="B186" s="7" t="inlineStr">
        <is>
          <t>2026-04-08</t>
        </is>
      </c>
      <c r="C186" s="7" t="inlineStr">
        <is>
          <t>리팩토링</t>
        </is>
      </c>
      <c r="D186" s="7" t="inlineStr">
        <is>
          <t>Phase 1: 순수 데이터 6종 추출 → game/data/world_data.js</t>
        </is>
      </c>
    </row>
    <row r="187">
      <c r="A187" s="8" t="inlineStr">
        <is>
          <t>v1.37</t>
        </is>
      </c>
      <c r="B187" s="8" t="inlineStr">
        <is>
          <t>2026-04-08</t>
        </is>
      </c>
      <c r="C187" s="8" t="inlineStr">
        <is>
          <t>리팩토링</t>
        </is>
      </c>
      <c r="D187" s="8" t="inlineStr">
        <is>
          <t>server.js 9622 → 9517줄 (-105줄)</t>
        </is>
      </c>
    </row>
    <row r="188">
      <c r="A188" s="7" t="inlineStr">
        <is>
          <t>v1.37</t>
        </is>
      </c>
      <c r="B188" s="7" t="inlineStr">
        <is>
          <t>2026-04-08</t>
        </is>
      </c>
      <c r="C188" s="7" t="inlineStr">
        <is>
          <t>리팩토링</t>
        </is>
      </c>
      <c r="D188" s="7" t="inlineStr">
        <is>
          <t>MONSTER_TIERS / KARMA / WORLD_BOSS_TYPES / DUNGEONS / ELEMENT_BONUS / ATTENDANCE_REWARDS</t>
        </is>
      </c>
    </row>
    <row r="189">
      <c r="A189" s="8" t="inlineStr">
        <is>
          <t>v1.37</t>
        </is>
      </c>
      <c r="B189" s="8" t="inlineStr">
        <is>
          <t>2026-04-08</t>
        </is>
      </c>
      <c r="C189" s="8" t="inlineStr">
        <is>
          <t>버그 수정</t>
        </is>
      </c>
      <c r="D189" s="8" t="inlineStr">
        <is>
          <t>MONSTER_TIERS의 깨진 한글 (드래���→드래곤) 함께 수정</t>
        </is>
      </c>
    </row>
    <row r="190">
      <c r="A190" s="7" t="inlineStr">
        <is>
          <t>v1.36</t>
        </is>
      </c>
      <c r="B190" s="7" t="inlineStr">
        <is>
          <t>2026-04-08</t>
        </is>
      </c>
      <c r="C190" s="7" t="inlineStr">
        <is>
          <t>신규 모듈</t>
        </is>
      </c>
      <c r="D190" s="7" t="inlineStr">
        <is>
          <t>game/farm.js — 농장 시스템 (생성 + 통합 동시)</t>
        </is>
      </c>
    </row>
    <row r="191">
      <c r="A191" s="8" t="inlineStr">
        <is>
          <t>v1.36</t>
        </is>
      </c>
      <c r="B191" s="8" t="inlineStr">
        <is>
          <t>2026-04-08</t>
        </is>
      </c>
      <c r="C191" s="8" t="inlineStr">
        <is>
          <t>농장</t>
        </is>
      </c>
      <c r="D191" s="8" t="inlineStr">
        <is>
          <t>7종 작물 (5분~4시간), AFK 진행, 4슬롯 기본 (12슬롯 확장)</t>
        </is>
      </c>
    </row>
    <row r="192">
      <c r="A192" s="7" t="inlineStr">
        <is>
          <t>v1.36</t>
        </is>
      </c>
      <c r="B192" s="7" t="inlineStr">
        <is>
          <t>2026-04-08</t>
        </is>
      </c>
      <c r="C192" s="7" t="inlineStr">
        <is>
          <t>농장</t>
        </is>
      </c>
      <c r="D192" s="7" t="inlineStr">
        <is>
          <t>비료 (20💎) 50% 시간 단축, 슬롯 확장 50💎</t>
        </is>
      </c>
    </row>
    <row r="193">
      <c r="A193" s="8" t="inlineStr">
        <is>
          <t>v1.36</t>
        </is>
      </c>
      <c r="B193" s="8" t="inlineStr">
        <is>
          <t>2026-04-08</t>
        </is>
      </c>
      <c r="C193" s="8" t="inlineStr">
        <is>
          <t>소켓</t>
        </is>
      </c>
      <c r="D193" s="8" t="inlineStr">
        <is>
          <t>farm_status / plant / harvest / fertilize / expand</t>
        </is>
      </c>
    </row>
    <row r="194">
      <c r="A194" s="7" t="inlineStr">
        <is>
          <t>v1.35</t>
        </is>
      </c>
      <c r="B194" s="7" t="inlineStr">
        <is>
          <t>2026-04-08</t>
        </is>
      </c>
      <c r="C194" s="7" t="inlineStr">
        <is>
          <t>신규 모듈</t>
        </is>
      </c>
      <c r="D194" s="7" t="inlineStr">
        <is>
          <t>game/skill_tree.js — 특성 트리 (생성 + 통합 동시)</t>
        </is>
      </c>
    </row>
    <row r="195">
      <c r="A195" s="8" t="inlineStr">
        <is>
          <t>v1.35</t>
        </is>
      </c>
      <c r="B195" s="8" t="inlineStr">
        <is>
          <t>2026-04-08</t>
        </is>
      </c>
      <c r="C195" s="8" t="inlineStr">
        <is>
          <t>특성 트리</t>
        </is>
      </c>
      <c r="D195" s="8" t="inlineStr">
        <is>
          <t>3브랜치 (공격/방어/유틸) × 7노드 = 21노드</t>
        </is>
      </c>
    </row>
    <row r="196">
      <c r="A196" s="7" t="inlineStr">
        <is>
          <t>v1.35</t>
        </is>
      </c>
      <c r="B196" s="7" t="inlineStr">
        <is>
          <t>2026-04-08</t>
        </is>
      </c>
      <c r="C196" s="7" t="inlineStr">
        <is>
          <t>특성 트리</t>
        </is>
      </c>
      <c r="D196" s="7" t="inlineStr">
        <is>
          <t>레벨업 시 1포인트 자동 지급, 100💎로 리셋</t>
        </is>
      </c>
    </row>
    <row r="197">
      <c r="A197" s="8" t="inlineStr">
        <is>
          <t>v1.35</t>
        </is>
      </c>
      <c r="B197" s="8" t="inlineStr">
        <is>
          <t>2026-04-08</t>
        </is>
      </c>
      <c r="C197" s="8" t="inlineStr">
        <is>
          <t>게이트</t>
        </is>
      </c>
      <c r="D197" s="8" t="inlineStr">
        <is>
          <t>5/10/15/20/25 포인트 투자 시 상위 노드 해금</t>
        </is>
      </c>
    </row>
    <row r="198">
      <c r="A198" s="7" t="inlineStr">
        <is>
          <t>v1.34</t>
        </is>
      </c>
      <c r="B198" s="7" t="inlineStr">
        <is>
          <t>2026-04-08</t>
        </is>
      </c>
      <c r="C198" s="7" t="inlineStr">
        <is>
          <t>신규 모듈</t>
        </is>
      </c>
      <c r="D198" s="7" t="inlineStr">
        <is>
          <t>game/mail.js — 정식 우편함 시스템 (생성 + 통합 동시)</t>
        </is>
      </c>
    </row>
    <row r="199">
      <c r="A199" s="8" t="inlineStr">
        <is>
          <t>v1.34</t>
        </is>
      </c>
      <c r="B199" s="8" t="inlineStr">
        <is>
          <t>2026-04-08</t>
        </is>
      </c>
      <c r="C199" s="8" t="inlineStr">
        <is>
          <t>우편함</t>
        </is>
      </c>
      <c r="D199" s="8" t="inlineStr">
        <is>
          <t>시스템/선물 메일 + 첨부(골드/다이아/아이템) + 만료/수령 관리</t>
        </is>
      </c>
    </row>
    <row r="200">
      <c r="A200" s="7" t="inlineStr">
        <is>
          <t>v1.34</t>
        </is>
      </c>
      <c r="B200" s="7" t="inlineStr">
        <is>
          <t>2026-04-08</t>
        </is>
      </c>
      <c r="C200" s="7" t="inlineStr">
        <is>
          <t>선물</t>
        </is>
      </c>
      <c r="D200" s="7" t="inlineStr">
        <is>
          <t>일일 10회 / 골드 첨부 수수료 2% / 7일 만료</t>
        </is>
      </c>
    </row>
    <row r="201">
      <c r="A201" s="8" t="inlineStr">
        <is>
          <t>v1.34</t>
        </is>
      </c>
      <c r="B201" s="8" t="inlineStr">
        <is>
          <t>2026-04-08</t>
        </is>
      </c>
      <c r="C201" s="8" t="inlineStr">
        <is>
          <t>소켓</t>
        </is>
      </c>
      <c r="D201" s="8" t="inlineStr">
        <is>
          <t>mail_inbox/read/claim/delete/send_gift</t>
        </is>
      </c>
    </row>
    <row r="202">
      <c r="A202" s="7" t="inlineStr">
        <is>
          <t>v1.33</t>
        </is>
      </c>
      <c r="B202" s="7" t="inlineStr">
        <is>
          <t>2026-04-08</t>
        </is>
      </c>
      <c r="C202" s="7" t="inlineStr">
        <is>
          <t>신규 모듈</t>
        </is>
      </c>
      <c r="D202" s="7" t="inlineStr">
        <is>
          <t>game/codex.js — 도감 시스템 (생성 + 통합 동시)</t>
        </is>
      </c>
    </row>
    <row r="203">
      <c r="A203" s="8" t="inlineStr">
        <is>
          <t>v1.33</t>
        </is>
      </c>
      <c r="B203" s="8" t="inlineStr">
        <is>
          <t>2026-04-08</t>
        </is>
      </c>
      <c r="C203" s="8" t="inlineStr">
        <is>
          <t>도감</t>
        </is>
      </c>
      <c r="D203" s="8" t="inlineStr">
        <is>
          <t>5개 카테고리 (몬스터/지역/장비/어종/펫) × 4단계 마일스톤</t>
        </is>
      </c>
    </row>
    <row r="204">
      <c r="A204" s="7" t="inlineStr">
        <is>
          <t>v1.33</t>
        </is>
      </c>
      <c r="B204" s="7" t="inlineStr">
        <is>
          <t>2026-04-08</t>
        </is>
      </c>
      <c r="C204" s="7" t="inlineStr">
        <is>
          <t>도감</t>
        </is>
      </c>
      <c r="D204" s="7" t="inlineStr">
        <is>
          <t>마일스톤 달성 시 영구 스탯 보너스 + 전 서버 알림</t>
        </is>
      </c>
    </row>
    <row r="205">
      <c r="A205" s="8" t="inlineStr">
        <is>
          <t>v1.33</t>
        </is>
      </c>
      <c r="B205" s="8" t="inlineStr">
        <is>
          <t>2026-04-08</t>
        </is>
      </c>
      <c r="C205" s="8" t="inlineStr">
        <is>
          <t>자동화</t>
        </is>
      </c>
      <c r="D205" s="8" t="inlineStr">
        <is>
          <t>trackQuest(explore_count) → zone 자동 등록 / fishing_cast → fish 자동 등록</t>
        </is>
      </c>
    </row>
    <row r="206">
      <c r="A206" s="7" t="inlineStr">
        <is>
          <t>v1.32</t>
        </is>
      </c>
      <c r="B206" s="7" t="inlineStr">
        <is>
          <t>2026-04-08</t>
        </is>
      </c>
      <c r="C206" s="7" t="inlineStr">
        <is>
          <t>신규 모듈</t>
        </is>
      </c>
      <c r="D206" s="7" t="inlineStr">
        <is>
          <t>game/dailyshop.js — 일일 상점 (생성 + 통합 동시 패치)</t>
        </is>
      </c>
    </row>
    <row r="207">
      <c r="A207" s="8" t="inlineStr">
        <is>
          <t>v1.32</t>
        </is>
      </c>
      <c r="B207" s="8" t="inlineStr">
        <is>
          <t>2026-04-08</t>
        </is>
      </c>
      <c r="C207" s="8" t="inlineStr">
        <is>
          <t>일일 상점</t>
        </is>
      </c>
      <c r="D207" s="8" t="inlineStr">
        <is>
          <t>15종 풀에서 매일 6슬롯 무작위 (결정적 시드 = 날짜)</t>
        </is>
      </c>
    </row>
    <row r="208">
      <c r="A208" s="7" t="inlineStr">
        <is>
          <t>v1.32</t>
        </is>
      </c>
      <c r="B208" s="7" t="inlineStr">
        <is>
          <t>2026-04-08</t>
        </is>
      </c>
      <c r="C208" s="7" t="inlineStr">
        <is>
          <t>일일 상점</t>
        </is>
      </c>
      <c r="D208" s="7" t="inlineStr">
        <is>
          <t>할인율 10~50% / 슬롯당 1회 구매 / 다이아 30개로 개인 갱신</t>
        </is>
      </c>
    </row>
    <row r="209">
      <c r="A209" s="8" t="inlineStr">
        <is>
          <t>v1.32</t>
        </is>
      </c>
      <c r="B209" s="8" t="inlineStr">
        <is>
          <t>2026-04-08</t>
        </is>
      </c>
      <c r="C209" s="8" t="inlineStr">
        <is>
          <t>소켓</t>
        </is>
      </c>
      <c r="D209" s="8" t="inlineStr">
        <is>
          <t>daily_shop_status / daily_shop_buy / daily_shop_reroll</t>
        </is>
      </c>
    </row>
    <row r="210">
      <c r="A210" s="7" t="inlineStr">
        <is>
          <t>v1.31</t>
        </is>
      </c>
      <c r="B210" s="7" t="inlineStr">
        <is>
          <t>2026-04-08</t>
        </is>
      </c>
      <c r="C210" s="7" t="inlineStr">
        <is>
          <t>통합</t>
        </is>
      </c>
      <c r="D210" s="7" t="inlineStr">
        <is>
          <t>game/auction.js → server.js 통합 (6번째 = 마지막 모듈 통합)</t>
        </is>
      </c>
    </row>
    <row r="211">
      <c r="A211" s="8" t="inlineStr">
        <is>
          <t>v1.31</t>
        </is>
      </c>
      <c r="B211" s="8" t="inlineStr">
        <is>
          <t>2026-04-08</t>
        </is>
      </c>
      <c r="C211" s="8" t="inlineStr">
        <is>
          <t>경매장</t>
        </is>
      </c>
      <c r="D211" s="8" t="inlineStr">
        <is>
          <t>자동 정산 틱 (10초마다 tickAuctions())</t>
        </is>
      </c>
    </row>
    <row r="212">
      <c r="A212" s="7" t="inlineStr">
        <is>
          <t>v1.31</t>
        </is>
      </c>
      <c r="B212" s="7" t="inlineStr">
        <is>
          <t>2026-04-08</t>
        </is>
      </c>
      <c r="C212" s="7" t="inlineStr">
        <is>
          <t>경매장</t>
        </is>
      </c>
      <c r="D212" s="7" t="inlineStr">
        <is>
          <t>이전 입찰자 자동 환불, 낙찰 시 아이템/골드 양방향 지급</t>
        </is>
      </c>
    </row>
    <row r="213">
      <c r="A213" s="8" t="inlineStr">
        <is>
          <t>v1.31</t>
        </is>
      </c>
      <c r="B213" s="8" t="inlineStr">
        <is>
          <t>2026-04-08</t>
        </is>
      </c>
      <c r="C213" s="8" t="inlineStr">
        <is>
          <t>소켓</t>
        </is>
      </c>
      <c r="D213" s="8" t="inlineStr">
        <is>
          <t>auction_list / create / bid / my</t>
        </is>
      </c>
    </row>
    <row r="214">
      <c r="A214" s="7" t="inlineStr">
        <is>
          <t>v1.31</t>
        </is>
      </c>
      <c r="B214" s="7" t="inlineStr">
        <is>
          <t>2026-04-08</t>
        </is>
      </c>
      <c r="C214" s="7" t="inlineStr">
        <is>
          <t>마일스톤</t>
        </is>
      </c>
      <c r="D214" s="7" t="inlineStr">
        <is>
          <t>🎉 v1.20~v1.25 신규 모듈 6개 모두 통합 완료</t>
        </is>
      </c>
    </row>
    <row r="215">
      <c r="A215" s="8" t="inlineStr">
        <is>
          <t>v1.30</t>
        </is>
      </c>
      <c r="B215" s="8" t="inlineStr">
        <is>
          <t>2026-04-08</t>
        </is>
      </c>
      <c r="C215" s="8" t="inlineStr">
        <is>
          <t>통합</t>
        </is>
      </c>
      <c r="D215" s="8" t="inlineStr">
        <is>
          <t>game/boss_rush.js → server.js 통합 (5번째 모듈 통합)</t>
        </is>
      </c>
    </row>
    <row r="216">
      <c r="A216" s="7" t="inlineStr">
        <is>
          <t>v1.30</t>
        </is>
      </c>
      <c r="B216" s="7" t="inlineStr">
        <is>
          <t>2026-04-08</t>
        </is>
      </c>
      <c r="C216" s="7" t="inlineStr">
        <is>
          <t>보스 러시</t>
        </is>
      </c>
      <c r="D216" s="7" t="inlineStr">
        <is>
          <t>메모리 세션 + 시간 검증 + 누적 보상 + 랭킹 (TOP 100)</t>
        </is>
      </c>
    </row>
    <row r="217">
      <c r="A217" s="8" t="inlineStr">
        <is>
          <t>v1.30</t>
        </is>
      </c>
      <c r="B217" s="8" t="inlineStr">
        <is>
          <t>2026-04-08</t>
        </is>
      </c>
      <c r="C217" s="8" t="inlineStr">
        <is>
          <t>소켓</t>
        </is>
      </c>
      <c r="D217" s="8" t="inlineStr">
        <is>
          <t>boss_rush_status / enter / advance / abandon</t>
        </is>
      </c>
    </row>
    <row r="218">
      <c r="A218" s="7" t="inlineStr">
        <is>
          <t>v1.30</t>
        </is>
      </c>
      <c r="B218" s="7" t="inlineStr">
        <is>
          <t>2026-04-08</t>
        </is>
      </c>
      <c r="C218" s="7" t="inlineStr">
        <is>
          <t>보스 러시</t>
        </is>
      </c>
      <c r="D218" s="7" t="inlineStr">
        <is>
          <t>풀클리어 시 전 서버 알림, 10웨이브+ 일반 알림</t>
        </is>
      </c>
    </row>
    <row r="219">
      <c r="A219" s="8" t="inlineStr">
        <is>
          <t>v1.29</t>
        </is>
      </c>
      <c r="B219" s="8" t="inlineStr">
        <is>
          <t>2026-04-08</t>
        </is>
      </c>
      <c r="C219" s="8" t="inlineStr">
        <is>
          <t>통합</t>
        </is>
      </c>
      <c r="D219" s="8" t="inlineStr">
        <is>
          <t>game/season.js → server.js 통합 (4번째 모듈 통합)</t>
        </is>
      </c>
    </row>
    <row r="220">
      <c r="A220" s="7" t="inlineStr">
        <is>
          <t>v1.29</t>
        </is>
      </c>
      <c r="B220" s="7" t="inlineStr">
        <is>
          <t>2026-04-08</t>
        </is>
      </c>
      <c r="C220" s="7" t="inlineStr">
        <is>
          <t>시즌 패스</t>
        </is>
      </c>
      <c r="D220" s="7" t="inlineStr">
        <is>
          <t>trackQuest 자동 XP 적립 (PvP/보스/월드보스/던전/제작)</t>
        </is>
      </c>
    </row>
    <row r="221">
      <c r="A221" s="8" t="inlineStr">
        <is>
          <t>v1.29</t>
        </is>
      </c>
      <c r="B221" s="8" t="inlineStr">
        <is>
          <t>2026-04-08</t>
        </is>
      </c>
      <c r="C221" s="8" t="inlineStr">
        <is>
          <t>소켓</t>
        </is>
      </c>
      <c r="D221" s="8" t="inlineStr">
        <is>
          <t>season_status / season_buy_pass / season_claim</t>
        </is>
      </c>
    </row>
    <row r="222">
      <c r="A222" s="7" t="inlineStr">
        <is>
          <t>v1.29</t>
        </is>
      </c>
      <c r="B222" s="7" t="inlineStr">
        <is>
          <t>2026-04-08</t>
        </is>
      </c>
      <c r="C222" s="7" t="inlineStr">
        <is>
          <t>시즌 패스</t>
        </is>
      </c>
      <c r="D222" s="7" t="inlineStr">
        <is>
          <t>티어 승급 시 server_msg + season_tier_up 알림</t>
        </is>
      </c>
    </row>
    <row r="223">
      <c r="A223" s="8" t="inlineStr">
        <is>
          <t>v1.28</t>
        </is>
      </c>
      <c r="B223" s="8" t="inlineStr">
        <is>
          <t>2026-04-08</t>
        </is>
      </c>
      <c r="C223" s="8" t="inlineStr">
        <is>
          <t>통합</t>
        </is>
      </c>
      <c r="D223" s="8" t="inlineStr">
        <is>
          <t>game/event.js → server.js 통합 (3번째 모듈 통합)</t>
        </is>
      </c>
    </row>
    <row r="224">
      <c r="A224" s="7" t="inlineStr">
        <is>
          <t>v1.28</t>
        </is>
      </c>
      <c r="B224" s="7" t="inlineStr">
        <is>
          <t>2026-04-08</t>
        </is>
      </c>
      <c r="C224" s="7" t="inlineStr">
        <is>
          <t>축제</t>
        </is>
      </c>
      <c r="D224" s="7" t="inlineStr">
        <is>
          <t>event_status 소켓 + /status 엔드포인트 노출</t>
        </is>
      </c>
    </row>
    <row r="225">
      <c r="A225" s="8" t="inlineStr">
        <is>
          <t>v1.28</t>
        </is>
      </c>
      <c r="B225" s="8" t="inlineStr">
        <is>
          <t>2026-04-08</t>
        </is>
      </c>
      <c r="C225" s="8" t="inlineStr">
        <is>
          <t>축제</t>
        </is>
      </c>
      <c r="D225" s="8" t="inlineStr">
        <is>
          <t>NPC 대사 30% 확률로 축제 인사 (getNpcMsg 통합)</t>
        </is>
      </c>
    </row>
    <row r="226">
      <c r="A226" s="7" t="inlineStr">
        <is>
          <t>v1.28</t>
        </is>
      </c>
      <c r="B226" s="7" t="inlineStr">
        <is>
          <t>2026-04-08</t>
        </is>
      </c>
      <c r="C226" s="7" t="inlineStr">
        <is>
          <t>검증</t>
        </is>
      </c>
      <c r="D226" s="7" t="inlineStr">
        <is>
          <t>오늘(4/8) 봄꽃 축제 활성 동작 확인</t>
        </is>
      </c>
    </row>
    <row r="227">
      <c r="A227" s="8" t="inlineStr">
        <is>
          <t>v1.27</t>
        </is>
      </c>
      <c r="B227" s="8" t="inlineStr">
        <is>
          <t>2026-04-08</t>
        </is>
      </c>
      <c r="C227" s="8" t="inlineStr">
        <is>
          <t>통합</t>
        </is>
      </c>
      <c r="D227" s="8" t="inlineStr">
        <is>
          <t>game/fishing.js → server.js 통합 (소켓 핸들러 3종)</t>
        </is>
      </c>
    </row>
    <row r="228">
      <c r="A228" s="7" t="inlineStr">
        <is>
          <t>v1.27</t>
        </is>
      </c>
      <c r="B228" s="7" t="inlineStr">
        <is>
          <t>2026-04-08</t>
        </is>
      </c>
      <c r="C228" s="7" t="inlineStr">
        <is>
          <t>낚시</t>
        </is>
      </c>
      <c r="D228" s="7" t="inlineStr">
        <is>
          <t>fishing_status / fishing_cast / fishing_buy_rod 이벤트</t>
        </is>
      </c>
    </row>
    <row r="229">
      <c r="A229" s="8" t="inlineStr">
        <is>
          <t>v1.27</t>
        </is>
      </c>
      <c r="B229" s="8" t="inlineStr">
        <is>
          <t>2026-04-08</t>
        </is>
      </c>
      <c r="C229" s="8" t="inlineStr">
        <is>
          <t>낚시</t>
        </is>
      </c>
      <c r="D229" s="8" t="inlineStr">
        <is>
          <t>지역 검증 (낚시 만/강변/산호초), 낚싯대 보유 검증, 미끼 소비</t>
        </is>
      </c>
    </row>
    <row r="230">
      <c r="A230" s="7" t="inlineStr">
        <is>
          <t>v1.27</t>
        </is>
      </c>
      <c r="B230" s="7" t="inlineStr">
        <is>
          <t>2026-04-08</t>
        </is>
      </c>
      <c r="C230" s="7" t="inlineStr">
        <is>
          <t>낚시</t>
        </is>
      </c>
      <c r="D230" s="7" t="inlineStr">
        <is>
          <t>전설/신화 어종 낚시 시 전 서버 알림 + ach_fish50 추적</t>
        </is>
      </c>
    </row>
    <row r="231">
      <c r="A231" s="8" t="inlineStr">
        <is>
          <t>v1.26</t>
        </is>
      </c>
      <c r="B231" s="8" t="inlineStr">
        <is>
          <t>2026-04-08</t>
        </is>
      </c>
      <c r="C231" s="8" t="inlineStr">
        <is>
          <t>통합</t>
        </is>
      </c>
      <c r="D231" s="8" t="inlineStr">
        <is>
          <t>game/lottery.js → server.js 통합 (require + 소켓 핸들러 3종)</t>
        </is>
      </c>
    </row>
    <row r="232">
      <c r="A232" s="7" t="inlineStr">
        <is>
          <t>v1.26</t>
        </is>
      </c>
      <c r="B232" s="7" t="inlineStr">
        <is>
          <t>2026-04-08</t>
        </is>
      </c>
      <c r="C232" s="7" t="inlineStr">
        <is>
          <t>룰렛</t>
        </is>
      </c>
      <c r="D232" s="7" t="inlineStr">
        <is>
          <t>lottery_status / lottery_free_spin / lottery_paid_spin 이벤트 추가</t>
        </is>
      </c>
    </row>
    <row r="233">
      <c r="A233" s="8" t="inlineStr">
        <is>
          <t>v1.26</t>
        </is>
      </c>
      <c r="B233" s="8" t="inlineStr">
        <is>
          <t>2026-04-08</t>
        </is>
      </c>
      <c r="C233" s="8" t="inlineStr">
        <is>
          <t>룰렛</t>
        </is>
      </c>
      <c r="D233" s="8" t="inlineStr">
        <is>
          <t>전설/영웅 보상 획득 시 전 서버 알림 + ach_lucky 업적 추적</t>
        </is>
      </c>
    </row>
    <row r="234">
      <c r="A234" s="7" t="inlineStr">
        <is>
          <t>v1.25</t>
        </is>
      </c>
      <c r="B234" s="7" t="inlineStr">
        <is>
          <t>2026-04-08</t>
        </is>
      </c>
      <c r="C234" s="7" t="inlineStr">
        <is>
          <t>경매장</t>
        </is>
      </c>
      <c r="D234" s="7" t="inlineStr">
        <is>
          <t>입찰식 경매 시스템 (game/auction.js 신규 모듈)</t>
        </is>
      </c>
    </row>
    <row r="235">
      <c r="A235" s="8" t="inlineStr">
        <is>
          <t>v1.25</t>
        </is>
      </c>
      <c r="B235" s="8" t="inlineStr">
        <is>
          <t>2026-04-08</t>
        </is>
      </c>
      <c r="C235" s="8" t="inlineStr">
        <is>
          <t>경매장</t>
        </is>
      </c>
      <c r="D235" s="8" t="inlineStr">
        <is>
          <t>3가지 기간(1h/6h/24h) + 등록2% + 낙찰5% + 스나이핑 방지</t>
        </is>
      </c>
    </row>
    <row r="236">
      <c r="A236" s="7" t="inlineStr">
        <is>
          <t>v1.25</t>
        </is>
      </c>
      <c r="B236" s="7" t="inlineStr">
        <is>
          <t>2026-04-08</t>
        </is>
      </c>
      <c r="C236" s="7" t="inlineStr">
        <is>
          <t>기획서</t>
        </is>
      </c>
      <c r="D236" s="7" t="inlineStr">
        <is>
          <t>경매장 시트 신규 추가</t>
        </is>
      </c>
    </row>
    <row r="237">
      <c r="A237" s="8" t="inlineStr">
        <is>
          <t>v1.24</t>
        </is>
      </c>
      <c r="B237" s="8" t="inlineStr">
        <is>
          <t>2026-04-08</t>
        </is>
      </c>
      <c r="C237" s="8" t="inlineStr">
        <is>
          <t>낚시</t>
        </is>
      </c>
      <c r="D237" s="8" t="inlineStr">
        <is>
          <t>11종 어종 + 5등급 낚싯대 + 4종 미끼 (game/fishing.js 신규 모듈)</t>
        </is>
      </c>
    </row>
    <row r="238">
      <c r="A238" s="7" t="inlineStr">
        <is>
          <t>v1.24</t>
        </is>
      </c>
      <c r="B238" s="7" t="inlineStr">
        <is>
          <t>2026-04-08</t>
        </is>
      </c>
      <c r="C238" s="7" t="inlineStr">
        <is>
          <t>낚시</t>
        </is>
      </c>
      <c r="D238" s="7" t="inlineStr">
        <is>
          <t>신화 크라켄 (밤+낚시터+드래곤대 한정), 바다의 군주 칭호 연계</t>
        </is>
      </c>
    </row>
    <row r="239">
      <c r="A239" s="8" t="inlineStr">
        <is>
          <t>v1.24</t>
        </is>
      </c>
      <c r="B239" s="8" t="inlineStr">
        <is>
          <t>2026-04-08</t>
        </is>
      </c>
      <c r="C239" s="8" t="inlineStr">
        <is>
          <t>기획서</t>
        </is>
      </c>
      <c r="D239" s="8" t="inlineStr">
        <is>
          <t>낚시 시트 신규 추가</t>
        </is>
      </c>
    </row>
    <row r="240">
      <c r="A240" s="7" t="inlineStr">
        <is>
          <t>v1.23</t>
        </is>
      </c>
      <c r="B240" s="7" t="inlineStr">
        <is>
          <t>2026-04-08</t>
        </is>
      </c>
      <c r="C240" s="7" t="inlineStr">
        <is>
          <t>보스 러시</t>
        </is>
      </c>
      <c r="D240" s="7" t="inlineStr">
        <is>
          <t>20웨이브 엔드리스 보스 러시 모드 (game/boss_rush.js 신규 모듈)</t>
        </is>
      </c>
    </row>
    <row r="241">
      <c r="A241" s="8" t="inlineStr">
        <is>
          <t>v1.23</t>
        </is>
      </c>
      <c r="B241" s="8" t="inlineStr">
        <is>
          <t>2026-04-08</t>
        </is>
      </c>
      <c r="C241" s="8" t="inlineStr">
        <is>
          <t>보스 러시</t>
        </is>
      </c>
      <c r="D241" s="8" t="inlineStr">
        <is>
          <t>매일 무료 3회 + 랭킹 1위 챔피언 칭호</t>
        </is>
      </c>
    </row>
    <row r="242">
      <c r="A242" s="7" t="inlineStr">
        <is>
          <t>v1.23</t>
        </is>
      </c>
      <c r="B242" s="7" t="inlineStr">
        <is>
          <t>2026-04-08</t>
        </is>
      </c>
      <c r="C242" s="7" t="inlineStr">
        <is>
          <t>기획서</t>
        </is>
      </c>
      <c r="D242" s="7" t="inlineStr">
        <is>
          <t>보스 러시 시트 신규 추가</t>
        </is>
      </c>
    </row>
    <row r="243">
      <c r="A243" s="8" t="inlineStr">
        <is>
          <t>v1.22</t>
        </is>
      </c>
      <c r="B243" s="8" t="inlineStr">
        <is>
          <t>2026-04-08</t>
        </is>
      </c>
      <c r="C243" s="8" t="inlineStr">
        <is>
          <t>행운의 룰렛</t>
        </is>
      </c>
      <c r="D243" s="8" t="inlineStr">
        <is>
          <t>10종 보상 + 가중치 시스템 (game/lottery.js 신규 모듈)</t>
        </is>
      </c>
    </row>
    <row r="244">
      <c r="A244" s="7" t="inlineStr">
        <is>
          <t>v1.22</t>
        </is>
      </c>
      <c r="B244" s="7" t="inlineStr">
        <is>
          <t>2026-04-08</t>
        </is>
      </c>
      <c r="C244" s="7" t="inlineStr">
        <is>
          <t>룰렛</t>
        </is>
      </c>
      <c r="D244" s="7" t="inlineStr">
        <is>
          <t>매일 무료 1회 / 유료 50💎 / 10연속 450💎 (10% 할인)</t>
        </is>
      </c>
    </row>
    <row r="245">
      <c r="A245" s="8" t="inlineStr">
        <is>
          <t>v1.22</t>
        </is>
      </c>
      <c r="B245" s="8" t="inlineStr">
        <is>
          <t>2026-04-08</t>
        </is>
      </c>
      <c r="C245" s="8" t="inlineStr">
        <is>
          <t>기획서</t>
        </is>
      </c>
      <c r="D245" s="8" t="inlineStr">
        <is>
          <t>행운의 룰렛 시트 신규 추가</t>
        </is>
      </c>
    </row>
    <row r="246">
      <c r="A246" s="7" t="inlineStr">
        <is>
          <t>v1.21</t>
        </is>
      </c>
      <c r="B246" s="7" t="inlineStr">
        <is>
          <t>2026-04-08</t>
        </is>
      </c>
      <c r="C246" s="7" t="inlineStr">
        <is>
          <t>축제 이벤트</t>
        </is>
      </c>
      <c r="D246" s="7" t="inlineStr">
        <is>
          <t>5종 시즌 축제 추가 (신년/봄꽃/한여름/할로윈/겨울)</t>
        </is>
      </c>
    </row>
    <row r="247">
      <c r="A247" s="8" t="inlineStr">
        <is>
          <t>v1.21</t>
        </is>
      </c>
      <c r="B247" s="8" t="inlineStr">
        <is>
          <t>2026-04-08</t>
        </is>
      </c>
      <c r="C247" s="8" t="inlineStr">
        <is>
          <t>모듈화</t>
        </is>
      </c>
      <c r="D247" s="8" t="inlineStr">
        <is>
          <t>game/event.js 신규 파일 (실제 달력 기반 자동 활성화)</t>
        </is>
      </c>
    </row>
    <row r="248">
      <c r="A248" s="7" t="inlineStr">
        <is>
          <t>v1.21</t>
        </is>
      </c>
      <c r="B248" s="7" t="inlineStr">
        <is>
          <t>2026-04-08</t>
        </is>
      </c>
      <c r="C248" s="7" t="inlineStr">
        <is>
          <t>기획서</t>
        </is>
      </c>
      <c r="D248" s="7" t="inlineStr">
        <is>
          <t>축제 이벤트 시트 신규 추가</t>
        </is>
      </c>
    </row>
    <row r="249">
      <c r="A249" s="8" t="inlineStr">
        <is>
          <t>v1.20</t>
        </is>
      </c>
      <c r="B249" s="8" t="inlineStr">
        <is>
          <t>2026-04-08</t>
        </is>
      </c>
      <c r="C249" s="8" t="inlineStr">
        <is>
          <t>시즌 패스</t>
        </is>
      </c>
      <c r="D249" s="8" t="inlineStr">
        <is>
          <t>15티어 배틀 패스 시스템 추가 (game/season.js 신규 모듈)</t>
        </is>
      </c>
    </row>
    <row r="250">
      <c r="A250" s="7" t="inlineStr">
        <is>
          <t>v1.20</t>
        </is>
      </c>
      <c r="B250" s="7" t="inlineStr">
        <is>
          <t>2026-04-08</t>
        </is>
      </c>
      <c r="C250" s="7" t="inlineStr">
        <is>
          <t>시즌 패스</t>
        </is>
      </c>
      <c r="D250" s="7" t="inlineStr">
        <is>
          <t>30일 사이클, 무료+프리미엄(1500💎) 트랙</t>
        </is>
      </c>
    </row>
    <row r="251">
      <c r="A251" s="8" t="inlineStr">
        <is>
          <t>v1.20</t>
        </is>
      </c>
      <c r="B251" s="8" t="inlineStr">
        <is>
          <t>2026-04-08</t>
        </is>
      </c>
      <c r="C251" s="8" t="inlineStr">
        <is>
          <t>기획서</t>
        </is>
      </c>
      <c r="D251" s="8" t="inlineStr">
        <is>
          <t>시즌 패스 시트 신규 추가</t>
        </is>
      </c>
    </row>
    <row r="252">
      <c r="A252" s="7" t="inlineStr">
        <is>
          <t>v1.19</t>
        </is>
      </c>
      <c r="B252" s="7" t="inlineStr">
        <is>
          <t>2026-04-08</t>
        </is>
      </c>
      <c r="C252" s="7" t="inlineStr">
        <is>
          <t>무료 다이아</t>
        </is>
      </c>
      <c r="D252" s="7" t="inlineStr">
        <is>
          <t>마일스톤 5종 추가 (Lv.40/50, 첫 환생, 첫 월드 보스, 업적 50)</t>
        </is>
      </c>
    </row>
    <row r="253">
      <c r="A253" s="8" t="inlineStr">
        <is>
          <t>v1.19</t>
        </is>
      </c>
      <c r="B253" s="8" t="inlineStr">
        <is>
          <t>2026-04-08</t>
        </is>
      </c>
      <c r="C253" s="8" t="inlineStr">
        <is>
          <t>기획서</t>
        </is>
      </c>
      <c r="D253" s="8" t="inlineStr">
        <is>
          <t>무료 다이아 시트 신규 추가</t>
        </is>
      </c>
    </row>
    <row r="254">
      <c r="A254" s="7" t="inlineStr">
        <is>
          <t>v1.18</t>
        </is>
      </c>
      <c r="B254" s="7" t="inlineStr">
        <is>
          <t>2026-04-08</t>
        </is>
      </c>
      <c r="C254" s="7" t="inlineStr">
        <is>
          <t>상점</t>
        </is>
      </c>
      <c r="D254" s="7" t="inlineStr">
        <is>
          <t>프리미엄 5종 추가 (불사조/폭풍 스킨, 자동물약 24h, 보물상자, 재료 패키지)</t>
        </is>
      </c>
    </row>
    <row r="255">
      <c r="A255" s="8" t="inlineStr">
        <is>
          <t>v1.18</t>
        </is>
      </c>
      <c r="B255" s="8" t="inlineStr">
        <is>
          <t>2026-04-08</t>
        </is>
      </c>
      <c r="C255" s="8" t="inlineStr">
        <is>
          <t>기획서</t>
        </is>
      </c>
      <c r="D255" s="8" t="inlineStr">
        <is>
          <t>상점 시트 갱신</t>
        </is>
      </c>
    </row>
    <row r="256">
      <c r="A256" s="7" t="inlineStr">
        <is>
          <t>v1.17</t>
        </is>
      </c>
      <c r="B256" s="7" t="inlineStr">
        <is>
          <t>2026-04-08</t>
        </is>
      </c>
      <c r="C256" s="7" t="inlineStr">
        <is>
          <t>혈맹</t>
        </is>
      </c>
      <c r="D256" s="7" t="inlineStr">
        <is>
          <t>혈맹 Lv.6-10 + 신규 스킬 5종 (분노/신속/회복/운명/전설)</t>
        </is>
      </c>
    </row>
    <row r="257">
      <c r="A257" s="8" t="inlineStr">
        <is>
          <t>v1.17</t>
        </is>
      </c>
      <c r="B257" s="8" t="inlineStr">
        <is>
          <t>2026-04-08</t>
        </is>
      </c>
      <c r="C257" s="8" t="inlineStr">
        <is>
          <t>혈맹</t>
        </is>
      </c>
      <c r="D257" s="8" t="inlineStr">
        <is>
          <t>최대 인원 50→100명 (Lv.10 기준)</t>
        </is>
      </c>
    </row>
    <row r="258">
      <c r="A258" s="7" t="inlineStr">
        <is>
          <t>v1.17</t>
        </is>
      </c>
      <c r="B258" s="7" t="inlineStr">
        <is>
          <t>2026-04-08</t>
        </is>
      </c>
      <c r="C258" s="7" t="inlineStr">
        <is>
          <t>기획서</t>
        </is>
      </c>
      <c r="D258" s="7" t="inlineStr">
        <is>
          <t>길드(혈맹) 시트 신규 추가</t>
        </is>
      </c>
    </row>
    <row r="259">
      <c r="A259" s="8" t="inlineStr">
        <is>
          <t>v1.16</t>
        </is>
      </c>
      <c r="B259" s="8" t="inlineStr">
        <is>
          <t>2026-04-08</t>
        </is>
      </c>
      <c r="C259" s="8" t="inlineStr">
        <is>
          <t>신규 NPC</t>
        </is>
      </c>
      <c r="D259" s="8" t="inlineStr">
        <is>
          <t>점쟁이/감정사/수집가 3종 추가 (운세/감정/희귀품 매입)</t>
        </is>
      </c>
    </row>
    <row r="260">
      <c r="A260" s="7" t="inlineStr">
        <is>
          <t>v1.16</t>
        </is>
      </c>
      <c r="B260" s="7" t="inlineStr">
        <is>
          <t>2026-04-08</t>
        </is>
      </c>
      <c r="C260" s="7" t="inlineStr">
        <is>
          <t>대사 시스템</t>
        </is>
      </c>
      <c r="D260" s="7" t="inlineStr">
        <is>
          <t>신규 NPC 상황별 대사 (밤/카르마/레벨/골드 연동)</t>
        </is>
      </c>
    </row>
    <row r="261">
      <c r="A261" s="8" t="inlineStr">
        <is>
          <t>v1.16</t>
        </is>
      </c>
      <c r="B261" s="8" t="inlineStr">
        <is>
          <t>2026-04-08</t>
        </is>
      </c>
      <c r="C261" s="8" t="inlineStr">
        <is>
          <t>기획서</t>
        </is>
      </c>
      <c r="D261" s="8" t="inlineStr">
        <is>
          <t>NPC 시트 신규 추가 (11종)</t>
        </is>
      </c>
    </row>
    <row r="262">
      <c r="A262" s="7" t="inlineStr">
        <is>
          <t>v1.15</t>
        </is>
      </c>
      <c r="B262" s="7" t="inlineStr">
        <is>
          <t>2026-04-08</t>
        </is>
      </c>
      <c r="C262" s="7" t="inlineStr">
        <is>
          <t>각성기</t>
        </is>
      </c>
      <c r="D262" s="7" t="inlineStr">
        <is>
          <t>클래스별 Lv.40 각성기 5종 추가 (천개의칼날/대지가르기/불멸의수호자/시간정지/신의은총)</t>
        </is>
      </c>
    </row>
    <row r="263">
      <c r="A263" s="8" t="inlineStr">
        <is>
          <t>v1.15</t>
        </is>
      </c>
      <c r="B263" s="8" t="inlineStr">
        <is>
          <t>2026-04-08</t>
        </is>
      </c>
      <c r="C263" s="8" t="inlineStr">
        <is>
          <t>기획서</t>
        </is>
      </c>
      <c r="D263" s="8" t="inlineStr">
        <is>
          <t>스킬 시트 전면 갱신 (12종→30종, 클레릭 포함)</t>
        </is>
      </c>
    </row>
    <row r="264">
      <c r="A264" s="7" t="inlineStr">
        <is>
          <t>v1.14</t>
        </is>
      </c>
      <c r="B264" s="7" t="inlineStr">
        <is>
          <t>2026-04-08</t>
        </is>
      </c>
      <c r="C264" s="7" t="inlineStr">
        <is>
          <t>업적</t>
        </is>
      </c>
      <c r="D264" s="7" t="inlineStr">
        <is>
          <t>v1.9~v1.13 컨텐츠 연계 업적 5종 추가 (폭풍 정복자/연금술사/그림자/전설 동반자/이국 상인)</t>
        </is>
      </c>
    </row>
    <row r="265">
      <c r="A265" s="8" t="inlineStr">
        <is>
          <t>v1.14</t>
        </is>
      </c>
      <c r="B265" s="8" t="inlineStr">
        <is>
          <t>2026-04-08</t>
        </is>
      </c>
      <c r="C265" s="8" t="inlineStr">
        <is>
          <t>기획서</t>
        </is>
      </c>
      <c r="D265" s="8" t="inlineStr">
        <is>
          <t>퀘스트 시트 전면 갱신 (9종→64종 반영)</t>
        </is>
      </c>
    </row>
    <row r="266">
      <c r="A266" s="7" t="inlineStr">
        <is>
          <t>v1.13</t>
        </is>
      </c>
      <c r="B266" s="7" t="inlineStr">
        <is>
          <t>2026-04-08</t>
        </is>
      </c>
      <c r="C266" s="7" t="inlineStr">
        <is>
          <t>월드 보스</t>
        </is>
      </c>
      <c r="D266" s="7" t="inlineStr">
        <is>
          <t>폭풍의 거인 / 시간의 수호자 2종 추가 (최대 HP / 최강 ATK)</t>
        </is>
      </c>
    </row>
    <row r="267">
      <c r="A267" s="8" t="inlineStr">
        <is>
          <t>v1.13</t>
        </is>
      </c>
      <c r="B267" s="8" t="inlineStr">
        <is>
          <t>2026-04-08</t>
        </is>
      </c>
      <c r="C267" s="8" t="inlineStr">
        <is>
          <t>교역</t>
        </is>
      </c>
      <c r="D267" s="8" t="inlineStr">
        <is>
          <t>이국의 사치품 3종 추가 (불사조 깃털/공허의 정수/천공의 비단)</t>
        </is>
      </c>
    </row>
    <row r="268">
      <c r="A268" s="7" t="inlineStr">
        <is>
          <t>v1.13</t>
        </is>
      </c>
      <c r="B268" s="7" t="inlineStr">
        <is>
          <t>2026-04-08</t>
        </is>
      </c>
      <c r="C268" s="7" t="inlineStr">
        <is>
          <t>기획서</t>
        </is>
      </c>
      <c r="D268" s="7" t="inlineStr">
        <is>
          <t>월드 보스 시트 신규 추가, 교역 시트 갱신</t>
        </is>
      </c>
    </row>
    <row r="269">
      <c r="A269" s="8" t="inlineStr">
        <is>
          <t>v1.12</t>
        </is>
      </c>
      <c r="B269" s="8" t="inlineStr">
        <is>
          <t>2026-04-08</t>
        </is>
      </c>
      <c r="C269" s="8" t="inlineStr">
        <is>
          <t>연금술</t>
        </is>
      </c>
      <c r="D269" s="8" t="inlineStr">
        <is>
          <t>엘릭서 5종 추가 (타이탄/강철/질풍/지혜/행운, 15~30분 강력 버프)</t>
        </is>
      </c>
    </row>
    <row r="270">
      <c r="A270" s="7" t="inlineStr">
        <is>
          <t>v1.12</t>
        </is>
      </c>
      <c r="B270" s="7" t="inlineStr">
        <is>
          <t>2026-04-08</t>
        </is>
      </c>
      <c r="C270" s="7" t="inlineStr">
        <is>
          <t>기획서</t>
        </is>
      </c>
      <c r="D270" s="7" t="inlineStr">
        <is>
          <t>연금술 시트 신규 추가</t>
        </is>
      </c>
    </row>
    <row r="271">
      <c r="A271" s="8" t="inlineStr">
        <is>
          <t>v1.11</t>
        </is>
      </c>
      <c r="B271" s="8" t="inlineStr">
        <is>
          <t>2026-04-08</t>
        </is>
      </c>
      <c r="C271" s="8" t="inlineStr">
        <is>
          <t>신규 펫</t>
        </is>
      </c>
      <c r="D271" s="8" t="inlineStr">
        <is>
          <t>불사조 (화염 +20%) / 유니콘 (회피 +10%) + 진화형</t>
        </is>
      </c>
    </row>
    <row r="272">
      <c r="A272" s="7" t="inlineStr">
        <is>
          <t>v1.11</t>
        </is>
      </c>
      <c r="B272" s="7" t="inlineStr">
        <is>
          <t>2026-04-08</t>
        </is>
      </c>
      <c r="C272" s="7" t="inlineStr">
        <is>
          <t>신규 탈것</t>
        </is>
      </c>
      <c r="D272" s="7" t="inlineStr">
        <is>
          <t>페가수스 (이동 +85%, 비행)</t>
        </is>
      </c>
    </row>
    <row r="273">
      <c r="A273" s="8" t="inlineStr">
        <is>
          <t>v1.10</t>
        </is>
      </c>
      <c r="B273" s="8" t="inlineStr">
        <is>
          <t>2026-04-08</t>
        </is>
      </c>
      <c r="C273" s="8" t="inlineStr">
        <is>
          <t>신규 던전</t>
        </is>
      </c>
      <c r="D273" s="8" t="inlineStr">
        <is>
          <t>그림자 미궁 (Lv.38, 8인 파티, 7스테이지, 전설 드롭)</t>
        </is>
      </c>
    </row>
    <row r="274">
      <c r="A274" s="7" t="inlineStr">
        <is>
          <t>v1.10</t>
        </is>
      </c>
      <c r="B274" s="7" t="inlineStr">
        <is>
          <t>2026-04-08</t>
        </is>
      </c>
      <c r="C274" s="7" t="inlineStr">
        <is>
          <t>기획서</t>
        </is>
      </c>
      <c r="D274" s="7" t="inlineStr">
        <is>
          <t>던전 시트 신규 추가 (7종 던전 정리)</t>
        </is>
      </c>
    </row>
    <row r="275">
      <c r="A275" s="8" t="inlineStr">
        <is>
          <t>v1.9</t>
        </is>
      </c>
      <c r="B275" s="8" t="inlineStr">
        <is>
          <t>2026-04-08</t>
        </is>
      </c>
      <c r="C275" s="8" t="inlineStr">
        <is>
          <t>전설 칭호</t>
        </is>
      </c>
      <c r="D275" s="8" t="inlineStr">
        <is>
          <t>공허의 방랑자/불멸자/천공의 군주 3종 추가 (엔드게임)</t>
        </is>
      </c>
    </row>
    <row r="276">
      <c r="A276" s="7" t="inlineStr">
        <is>
          <t>v1.9</t>
        </is>
      </c>
      <c r="B276" s="7" t="inlineStr">
        <is>
          <t>2026-04-08</t>
        </is>
      </c>
      <c r="C276" s="7" t="inlineStr">
        <is>
          <t>기획서</t>
        </is>
      </c>
      <c r="D276" s="7" t="inlineStr">
        <is>
          <t>51개 지역, 16종 칭호, 출석/세트/등급 시트 추가</t>
        </is>
      </c>
    </row>
    <row r="277">
      <c r="A277" s="8" t="inlineStr">
        <is>
          <t>v1.8</t>
        </is>
      </c>
      <c r="B277" s="8" t="inlineStr">
        <is>
          <t>-</t>
        </is>
      </c>
      <c r="C277" s="8" t="inlineStr">
        <is>
          <t>UI</t>
        </is>
      </c>
      <c r="D277" s="8" t="inlineStr">
        <is>
          <t>패치 노트 갱신, 낮/밤 시계 + 진행 시간 표시</t>
        </is>
      </c>
    </row>
    <row r="278">
      <c r="A278" s="7" t="inlineStr">
        <is>
          <t>v1.8</t>
        </is>
      </c>
      <c r="B278" s="7" t="inlineStr">
        <is>
          <t>-</t>
        </is>
      </c>
      <c r="C278" s="7" t="inlineStr">
        <is>
          <t>자동화</t>
        </is>
      </c>
      <c r="D278" s="7" t="inlineStr">
        <is>
          <t>자동 스킬 시전 (인간 플레이어용), 자동 스킬 토글 버튼</t>
        </is>
      </c>
    </row>
    <row r="279">
      <c r="A279" s="8" t="inlineStr">
        <is>
          <t>v1.8</t>
        </is>
      </c>
      <c r="B279" s="8" t="inlineStr">
        <is>
          <t>-</t>
        </is>
      </c>
      <c r="C279" s="8" t="inlineStr">
        <is>
          <t>UI</t>
        </is>
      </c>
      <c r="D279" s="8" t="inlineStr">
        <is>
          <t>미니맵 친구 위치 표시, 보스 표시 강화, DPS 미터 스파크라인</t>
        </is>
      </c>
    </row>
    <row r="280">
      <c r="A280" s="7" t="inlineStr">
        <is>
          <t>v1.8</t>
        </is>
      </c>
      <c r="B280" s="7" t="inlineStr">
        <is>
          <t>-</t>
        </is>
      </c>
      <c r="C280" s="7" t="inlineStr">
        <is>
          <t>시스템</t>
        </is>
      </c>
      <c r="D280" s="7" t="inlineStr">
        <is>
          <t>혈맹 창고 UI 패널, 보스 신규 디버프 적용</t>
        </is>
      </c>
    </row>
    <row r="281">
      <c r="A281" s="8" t="inlineStr">
        <is>
          <t>v1.7</t>
        </is>
      </c>
      <c r="B281" s="8" t="inlineStr">
        <is>
          <t>-</t>
        </is>
      </c>
      <c r="C281" s="8" t="inlineStr">
        <is>
          <t>상태이상</t>
        </is>
      </c>
      <c r="D281" s="8" t="inlineStr">
        <is>
          <t>신규 디버프 5종 (빙결/감전/출혈/약화/공포)</t>
        </is>
      </c>
    </row>
    <row r="282">
      <c r="A282" s="7" t="inlineStr">
        <is>
          <t>v1.7</t>
        </is>
      </c>
      <c r="B282" s="7" t="inlineStr">
        <is>
          <t>-</t>
        </is>
      </c>
      <c r="C282" s="7" t="inlineStr">
        <is>
          <t>UI</t>
        </is>
      </c>
      <c r="D282" s="7" t="inlineStr">
        <is>
          <t>포션 단축키 (1/2/3/4), 레벨별 추천 활동 가이드</t>
        </is>
      </c>
    </row>
    <row r="283">
      <c r="A283" s="8" t="inlineStr">
        <is>
          <t>v1.7</t>
        </is>
      </c>
      <c r="B283" s="8" t="inlineStr">
        <is>
          <t>-</t>
        </is>
      </c>
      <c r="C283" s="8" t="inlineStr">
        <is>
          <t>시스템</t>
        </is>
      </c>
      <c r="D283" s="8" t="inlineStr">
        <is>
          <t>장비 자동 최적화 (auto_equip_best), 알림 센터</t>
        </is>
      </c>
    </row>
    <row r="284">
      <c r="A284" s="7" t="inlineStr">
        <is>
          <t>v1.7</t>
        </is>
      </c>
      <c r="B284" s="7" t="inlineStr">
        <is>
          <t>-</t>
        </is>
      </c>
      <c r="C284" s="7" t="inlineStr">
        <is>
          <t>컨텐츠</t>
        </is>
      </c>
      <c r="D284" s="7" t="inlineStr">
        <is>
          <t>신규 업적 10종 (30→40), 신규 몬스터 존 3개</t>
        </is>
      </c>
    </row>
    <row r="285">
      <c r="A285" s="8" t="inlineStr">
        <is>
          <t>v1.7</t>
        </is>
      </c>
      <c r="B285" s="8" t="inlineStr">
        <is>
          <t>-</t>
        </is>
      </c>
      <c r="C285" s="8" t="inlineStr">
        <is>
          <t>UI</t>
        </is>
      </c>
      <c r="D285" s="8" t="inlineStr">
        <is>
          <t>인벤토리 검색 + 정렬, PvP 시즌 보드 시각화</t>
        </is>
      </c>
    </row>
    <row r="286">
      <c r="A286" s="7" t="inlineStr">
        <is>
          <t>v1.6 이전</t>
        </is>
      </c>
      <c r="B286" s="7" t="inlineStr">
        <is>
          <t>-</t>
        </is>
      </c>
      <c r="C286" s="7" t="inlineStr">
        <is>
          <t>기반</t>
        </is>
      </c>
      <c r="D286" s="7" t="inlineStr">
        <is>
          <t>마을/사냥/PvP/카르마/펫/탈것/제작/교역/길드/공성/투기장 등</t>
        </is>
      </c>
    </row>
  </sheetData>
  <mergeCells count="1">
    <mergeCell ref="A1:D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30" customWidth="1" min="4" max="4"/>
    <col width="18" customWidth="1" min="5" max="5"/>
  </cols>
  <sheetData>
    <row r="1">
      <c r="A1" s="5" t="inlineStr">
        <is>
          <t>v1.9 ~ v1.10 변경 사항</t>
        </is>
      </c>
    </row>
    <row r="3">
      <c r="A3" s="6" t="inlineStr">
        <is>
          <t>버전</t>
        </is>
      </c>
      <c r="B3" s="6" t="inlineStr">
        <is>
          <t>분류</t>
        </is>
      </c>
      <c r="C3" s="6" t="inlineStr">
        <is>
          <t>이름</t>
        </is>
      </c>
      <c r="D3" s="6" t="inlineStr">
        <is>
          <t>조건/내용</t>
        </is>
      </c>
      <c r="E3" s="6" t="inlineStr">
        <is>
          <t>효과/보상</t>
        </is>
      </c>
    </row>
    <row r="4">
      <c r="A4" s="7" t="inlineStr">
        <is>
          <t>v2.18</t>
        </is>
      </c>
      <c r="B4" s="7" t="inlineStr">
        <is>
          <t>신기능</t>
        </is>
      </c>
      <c r="C4" s="7" t="inlineStr">
        <is>
          <t>정원</t>
        </is>
      </c>
      <c r="D4" s="7" t="inlineStr">
        <is>
          <t>garden.js (8 꽃 × 12 슬롯, seed→sprout→bloom→wilt)</t>
        </is>
      </c>
      <c r="E4" s="7" t="inlineStr">
        <is>
          <t>+135줄 모듈</t>
        </is>
      </c>
    </row>
    <row r="5">
      <c r="A5" s="8" t="inlineStr">
        <is>
          <t>v2.17</t>
        </is>
      </c>
      <c r="B5" s="8" t="inlineStr">
        <is>
          <t>신기능</t>
        </is>
      </c>
      <c r="C5" s="8" t="inlineStr">
        <is>
          <t>차원 균열</t>
        </is>
      </c>
      <c r="D5" s="8" t="inlineStr">
        <is>
          <t>rift.js (5 웨이브 일일, 점수 → 등급, 보스 가호)</t>
        </is>
      </c>
      <c r="E5" s="8" t="inlineStr">
        <is>
          <t>+165줄 모듈</t>
        </is>
      </c>
    </row>
    <row r="6">
      <c r="A6" s="7" t="inlineStr">
        <is>
          <t>v2.16</t>
        </is>
      </c>
      <c r="B6" s="7" t="inlineStr">
        <is>
          <t>신기능</t>
        </is>
      </c>
      <c r="C6" s="7" t="inlineStr">
        <is>
          <t>가문 문장</t>
        </is>
      </c>
      <c r="D6" s="7" t="inlineStr">
        <is>
          <t>heraldry.js (charge × tincture × motto, 640 조합)</t>
        </is>
      </c>
      <c r="E6" s="7" t="inlineStr">
        <is>
          <t>+125줄 모듈</t>
        </is>
      </c>
    </row>
    <row r="7">
      <c r="A7" s="8" t="inlineStr">
        <is>
          <t>v2.15</t>
        </is>
      </c>
      <c r="B7" s="8" t="inlineStr">
        <is>
          <t>신기능</t>
        </is>
      </c>
      <c r="C7" s="8" t="inlineStr">
        <is>
          <t>가면</t>
        </is>
      </c>
      <c r="D7" s="8" t="inlineStr">
        <is>
          <t>mask.js (11 가면, 동물/감정/신화/전설, agg 13)</t>
        </is>
      </c>
      <c r="E7" s="8" t="inlineStr">
        <is>
          <t>+150줄 모듈</t>
        </is>
      </c>
    </row>
    <row r="8">
      <c r="A8" s="7" t="inlineStr">
        <is>
          <t>v2.14</t>
        </is>
      </c>
      <c r="B8" s="7" t="inlineStr">
        <is>
          <t>신기능</t>
        </is>
      </c>
      <c r="C8" s="7" t="inlineStr">
        <is>
          <t>소원의 우물</t>
        </is>
      </c>
      <c r="D8" s="7" t="inlineStr">
        <is>
          <t>wishing_well.js (8 wish, jackpot 2%, 1h blessing)</t>
        </is>
      </c>
      <c r="E8" s="7" t="inlineStr">
        <is>
          <t>+135줄 모듈</t>
        </is>
      </c>
    </row>
    <row r="9">
      <c r="A9" s="8" t="inlineStr">
        <is>
          <t>v2.13</t>
        </is>
      </c>
      <c r="B9" s="8" t="inlineStr">
        <is>
          <t>신기능</t>
        </is>
      </c>
      <c r="C9" s="8" t="inlineStr">
        <is>
          <t>부적</t>
        </is>
      </c>
      <c r="D9" s="8" t="inlineStr">
        <is>
          <t>talisman.js (8 부적, 종이+잉크 제작, charge, 슬롯 3)</t>
        </is>
      </c>
      <c r="E9" s="8" t="inlineStr">
        <is>
          <t>+155줄 모듈</t>
        </is>
      </c>
    </row>
    <row r="10">
      <c r="A10" s="7" t="inlineStr">
        <is>
          <t>v2.12</t>
        </is>
      </c>
      <c r="B10" s="7" t="inlineStr">
        <is>
          <t>신기능</t>
        </is>
      </c>
      <c r="C10" s="7" t="inlineStr">
        <is>
          <t>타로 카드</t>
        </is>
      </c>
      <c r="D10" s="7" t="inlineStr">
        <is>
          <t>tarot.js (22 major arcana, 정/역, fateScore 누적)</t>
        </is>
      </c>
      <c r="E10" s="7" t="inlineStr">
        <is>
          <t>+170줄 모듈</t>
        </is>
      </c>
    </row>
    <row r="11">
      <c r="A11" s="8" t="inlineStr">
        <is>
          <t>v2.11</t>
        </is>
      </c>
      <c r="B11" s="8" t="inlineStr">
        <is>
          <t>신기능</t>
        </is>
      </c>
      <c r="C11" s="8" t="inlineStr">
        <is>
          <t>음악/연주</t>
        </is>
      </c>
      <c r="D11" s="8" t="inlineStr">
        <is>
          <t>music.js (6 악기, 8 곡, affinity 공명 1.5×, agg 9소스)</t>
        </is>
      </c>
      <c r="E11" s="8" t="inlineStr">
        <is>
          <t>+165줄 모듈</t>
        </is>
      </c>
    </row>
    <row r="12">
      <c r="A12" s="7" t="inlineStr">
        <is>
          <t>v2.10</t>
        </is>
      </c>
      <c r="B12" s="7" t="inlineStr">
        <is>
          <t>신기능</t>
        </is>
      </c>
      <c r="C12" s="7" t="inlineStr">
        <is>
          <t>꿈 시스템</t>
        </is>
      </c>
      <c r="D12" s="7" t="inlineStr">
        <is>
          <t>dream.js (6 꿈 × 3 선택, 영구 dreamBonus, agg 8소스)</t>
        </is>
      </c>
      <c r="E12" s="7" t="inlineStr">
        <is>
          <t>+165줄 모듈</t>
        </is>
      </c>
    </row>
    <row r="13">
      <c r="A13" s="8" t="inlineStr">
        <is>
          <t>v2.09</t>
        </is>
      </c>
      <c r="B13" s="8" t="inlineStr">
        <is>
          <t>신기능</t>
        </is>
      </c>
      <c r="C13" s="8" t="inlineStr">
        <is>
          <t>유물 발굴</t>
        </is>
      </c>
      <c r="D13" s="8" t="inlineStr">
        <is>
          <t>excavation.js (에너지 100, 5 사이트, divine 0.5%)</t>
        </is>
      </c>
      <c r="E13" s="8" t="inlineStr">
        <is>
          <t>+170줄 모듈</t>
        </is>
      </c>
    </row>
    <row r="14">
      <c r="A14" s="7" t="inlineStr">
        <is>
          <t>v2.08</t>
        </is>
      </c>
      <c r="B14" s="7" t="inlineStr">
        <is>
          <t>신기능</t>
        </is>
      </c>
      <c r="C14" s="7" t="inlineStr">
        <is>
          <t>항해</t>
        </is>
      </c>
      <c r="D14" s="7" t="inlineStr">
        <is>
          <t>sailing.js (뗏목/어선/카라벨/갤리온, 5 섬, 7 조우)</t>
        </is>
      </c>
      <c r="E14" s="7" t="inlineStr">
        <is>
          <t>+200줄 모듈</t>
        </is>
      </c>
    </row>
    <row r="15">
      <c r="A15" s="8" t="inlineStr">
        <is>
          <t>v2.07</t>
        </is>
      </c>
      <c r="B15" s="8" t="inlineStr">
        <is>
          <t>신기능</t>
        </is>
      </c>
      <c r="C15" s="8" t="inlineStr">
        <is>
          <t>미궁</t>
        </is>
      </c>
      <c r="D15" s="8" t="inlineStr">
        <is>
          <t>labyrinth.js (5x5 절차적, mulberry32, fog of war)</t>
        </is>
      </c>
      <c r="E15" s="8" t="inlineStr">
        <is>
          <t>+170줄 모듈</t>
        </is>
      </c>
    </row>
    <row r="16">
      <c r="A16" s="7" t="inlineStr">
        <is>
          <t>v2.06</t>
        </is>
      </c>
      <c r="B16" s="7" t="inlineStr">
        <is>
          <t>신기능</t>
        </is>
      </c>
      <c r="C16" s="7" t="inlineStr">
        <is>
          <t>이모트</t>
        </is>
      </c>
      <c r="D16" s="7" t="inlineStr">
        <is>
          <t>emote.js (15 감정, default/gold/level/achieve)</t>
        </is>
      </c>
      <c r="E16" s="7" t="inlineStr">
        <is>
          <t>+150줄 모듈</t>
        </is>
      </c>
    </row>
    <row r="17">
      <c r="A17" s="8" t="inlineStr">
        <is>
          <t>v2.05</t>
        </is>
      </c>
      <c r="B17" s="8" t="inlineStr">
        <is>
          <t>신기능</t>
        </is>
      </c>
      <c r="C17" s="8" t="inlineStr">
        <is>
          <t>카지노</t>
        </is>
      </c>
      <c r="D17" s="8" t="inlineStr">
        <is>
          <t>casino.js (slot 7심볼 × 50배, dice 8배, coin 1.95배)</t>
        </is>
      </c>
      <c r="E17" s="8" t="inlineStr">
        <is>
          <t>+160줄 모듈</t>
        </is>
      </c>
    </row>
    <row r="18">
      <c r="A18" s="7" t="inlineStr">
        <is>
          <t>v2.04</t>
        </is>
      </c>
      <c r="B18" s="7" t="inlineStr">
        <is>
          <t>신기능</t>
        </is>
      </c>
      <c r="C18" s="7" t="inlineStr">
        <is>
          <t>프로필 카드</t>
        </is>
      </c>
      <c r="D18" s="7" t="inlineStr">
        <is>
          <t>profile.js (8 테마 × 8 뱃지, autoCheckBadges)</t>
        </is>
      </c>
      <c r="E18" s="7" t="inlineStr">
        <is>
          <t>+155줄 모듈</t>
        </is>
      </c>
    </row>
    <row r="19">
      <c r="A19" s="8" t="inlineStr">
        <is>
          <t>v2.03</t>
        </is>
      </c>
      <c r="B19" s="8" t="inlineStr">
        <is>
          <t>신기능</t>
        </is>
      </c>
      <c r="C19" s="8" t="inlineStr">
        <is>
          <t>친구/우정</t>
        </is>
      </c>
      <c r="D19" s="8" t="inlineStr">
        <is>
          <t>friends.js (요청/수락/선물/친밀도 6 등급)</t>
        </is>
      </c>
      <c r="E19" s="8" t="inlineStr">
        <is>
          <t>+150줄 모듈</t>
        </is>
      </c>
    </row>
    <row r="20">
      <c r="A20" s="7" t="inlineStr">
        <is>
          <t>v2.02</t>
        </is>
      </c>
      <c r="B20" s="7" t="inlineStr">
        <is>
          <t>신기능</t>
        </is>
      </c>
      <c r="C20" s="7" t="inlineStr">
        <is>
          <t>차원문</t>
        </is>
      </c>
      <c r="D20" s="7" t="inlineStr">
        <is>
          <t>waypoint.js (왕도~공허 8 거점, 3분 쿨다운)</t>
        </is>
      </c>
      <c r="E20" s="7" t="inlineStr">
        <is>
          <t>+125줄 모듈</t>
        </is>
      </c>
    </row>
    <row r="21">
      <c r="A21" s="8" t="inlineStr">
        <is>
          <t>v2.01</t>
        </is>
      </c>
      <c r="B21" s="8" t="inlineStr">
        <is>
          <t>신기능</t>
        </is>
      </c>
      <c r="C21" s="8" t="inlineStr">
        <is>
          <t>변신 시스템</t>
        </is>
      </c>
      <c r="D21" s="8" t="inlineStr">
        <is>
          <t>morph.js (늑대~드래곤 7 형상, 일시 변신)</t>
        </is>
      </c>
      <c r="E21" s="8" t="inlineStr">
        <is>
          <t>+140줄 모듈</t>
        </is>
      </c>
    </row>
    <row r="22">
      <c r="A22" s="7" t="inlineStr">
        <is>
          <t>v2.0</t>
        </is>
      </c>
      <c r="B22" s="7" t="inlineStr">
        <is>
          <t>🎉 마일스톤</t>
        </is>
      </c>
      <c r="C22" s="7" t="inlineStr">
        <is>
          <t>보너스 집계기</t>
        </is>
      </c>
      <c r="D22" s="7" t="inlineStr">
        <is>
          <t>bonus_aggregator.js — 6 소스 통합 합산</t>
        </is>
      </c>
      <c r="E22" s="7" t="inlineStr">
        <is>
          <t>+70줄 모듈</t>
        </is>
      </c>
    </row>
    <row r="23">
      <c r="A23" s="8" t="inlineStr">
        <is>
          <t>v1.99</t>
        </is>
      </c>
      <c r="B23" s="8" t="inlineStr">
        <is>
          <t>신기능</t>
        </is>
      </c>
      <c r="C23" s="8" t="inlineStr">
        <is>
          <t>위인 전당</t>
        </is>
      </c>
      <c r="D23" s="8" t="inlineStr">
        <is>
          <t>legends.js (12 영웅, 영구+일시 보너스, 마스터)</t>
        </is>
      </c>
      <c r="E23" s="8" t="inlineStr">
        <is>
          <t>+125줄 모듈</t>
        </is>
      </c>
    </row>
    <row r="24">
      <c r="A24" s="7" t="inlineStr">
        <is>
          <t>v1.98</t>
        </is>
      </c>
      <c r="B24" s="7" t="inlineStr">
        <is>
          <t>신기능</t>
        </is>
      </c>
      <c r="C24" s="7" t="inlineStr">
        <is>
          <t>제련 시스템</t>
        </is>
      </c>
      <c r="D24" s="7" t="inlineStr">
        <is>
          <t>forge.js (구리/철/금/청동/강철/미스릴/숯)</t>
        </is>
      </c>
      <c r="E24" s="7" t="inlineStr">
        <is>
          <t>+165줄 모듈</t>
        </is>
      </c>
    </row>
    <row r="25">
      <c r="A25" s="8" t="inlineStr">
        <is>
          <t>v1.97</t>
        </is>
      </c>
      <c r="B25" s="8" t="inlineStr">
        <is>
          <t>신기능</t>
        </is>
      </c>
      <c r="C25" s="8" t="inlineStr">
        <is>
          <t>채집 시스템</t>
        </is>
      </c>
      <c r="D25" s="8" t="inlineStr">
        <is>
          <t>gathering.js (8 노드, woodcut/mining/herb/forage 4 스킬)</t>
        </is>
      </c>
      <c r="E25" s="8" t="inlineStr">
        <is>
          <t>+155줄 모듈</t>
        </is>
      </c>
    </row>
    <row r="26">
      <c r="A26" s="7" t="inlineStr">
        <is>
          <t>v1.96</t>
        </is>
      </c>
      <c r="B26" s="7" t="inlineStr">
        <is>
          <t>신기능</t>
        </is>
      </c>
      <c r="C26" s="7" t="inlineStr">
        <is>
          <t>신탁 시스템</t>
        </is>
      </c>
      <c r="D26" s="7" t="inlineStr">
        <is>
          <t>oracle.js (10 예언, 8 수수께끼, 일일 6h 버프)</t>
        </is>
      </c>
      <c r="E26" s="7" t="inlineStr">
        <is>
          <t>+115줄 모듈</t>
        </is>
      </c>
    </row>
    <row r="27">
      <c r="A27" s="8" t="inlineStr">
        <is>
          <t>v1.95</t>
        </is>
      </c>
      <c r="B27" s="8" t="inlineStr">
        <is>
          <t>신기능</t>
        </is>
      </c>
      <c r="C27" s="8" t="inlineStr">
        <is>
          <t>보석 세공</t>
        </is>
      </c>
      <c r="D27" s="8" t="inlineStr">
        <is>
          <t>gemcraft.js (5 원석 × 5 등급, perfect 1%)</t>
        </is>
      </c>
      <c r="E27" s="8" t="inlineStr">
        <is>
          <t>+155줄 모듈</t>
        </is>
      </c>
    </row>
    <row r="28">
      <c r="A28" s="7" t="inlineStr">
        <is>
          <t>v1.94</t>
        </is>
      </c>
      <c r="B28" s="7" t="inlineStr">
        <is>
          <t>신기능</t>
        </is>
      </c>
      <c r="C28" s="7" t="inlineStr">
        <is>
          <t>기상 시스템</t>
        </is>
      </c>
      <c r="D28" s="7" t="inlineStr">
        <is>
          <t>weather.js (6 일반 + 2 희귀, 4h 회전, 결정론적)</t>
        </is>
      </c>
      <c r="E28" s="7" t="inlineStr">
        <is>
          <t>+115줄 모듈</t>
        </is>
      </c>
    </row>
    <row r="29">
      <c r="A29" s="8" t="inlineStr">
        <is>
          <t>v1.93</t>
        </is>
      </c>
      <c r="B29" s="8" t="inlineStr">
        <is>
          <t>신기능</t>
        </is>
      </c>
      <c r="C29" s="8" t="inlineStr">
        <is>
          <t>별자리 시스템</t>
        </is>
      </c>
      <c r="D29" s="8" t="inlineStr">
        <is>
          <t>constellation.js (12 zodiac, 일일 관측, 24h 버프)</t>
        </is>
      </c>
      <c r="E29" s="8" t="inlineStr">
        <is>
          <t>+125줄 모듈</t>
        </is>
      </c>
    </row>
    <row r="30">
      <c r="A30" s="7" t="inlineStr">
        <is>
          <t>v1.92</t>
        </is>
      </c>
      <c r="B30" s="7" t="inlineStr">
        <is>
          <t>신기능</t>
        </is>
      </c>
      <c r="C30" s="7" t="inlineStr">
        <is>
          <t>요리 시스템</t>
        </is>
      </c>
      <c r="D30" s="7" t="inlineStr">
        <is>
          <t>cooking.js (9 재료, 7 레시피, 퍼펙트 1.5×)</t>
        </is>
      </c>
      <c r="E30" s="7" t="inlineStr">
        <is>
          <t>+170줄 모듈</t>
        </is>
      </c>
    </row>
    <row r="31">
      <c r="A31" s="8" t="inlineStr">
        <is>
          <t>v1.91</t>
        </is>
      </c>
      <c r="B31" s="8" t="inlineStr">
        <is>
          <t>신기능</t>
        </is>
      </c>
      <c r="C31" s="8" t="inlineStr">
        <is>
          <t>명상 시스템</t>
        </is>
      </c>
      <c r="D31" s="8" t="inlineStr">
        <is>
          <t>meditation.js (4 zone × 5 perk, +stat passive)</t>
        </is>
      </c>
      <c r="E31" s="8" t="inlineStr">
        <is>
          <t>+135줄 모듈</t>
        </is>
      </c>
    </row>
    <row r="32">
      <c r="A32" s="7" t="inlineStr">
        <is>
          <t>v1.90</t>
        </is>
      </c>
      <c r="B32" s="7" t="inlineStr">
        <is>
          <t>신기능</t>
        </is>
      </c>
      <c r="C32" s="7" t="inlineStr">
        <is>
          <t>일기장 시스템</t>
        </is>
      </c>
      <c r="D32" s="7" t="inlineStr">
        <is>
          <t>game/diary.js (22 이벤트, 개인 타임라인)</t>
        </is>
      </c>
      <c r="E32" s="7" t="inlineStr">
        <is>
          <t>+130줄 모듈</t>
        </is>
      </c>
    </row>
    <row r="33">
      <c r="A33" s="8" t="inlineStr">
        <is>
          <t>v1.89</t>
        </is>
      </c>
      <c r="B33" s="8" t="inlineStr">
        <is>
          <t>🎉 마일스톤</t>
        </is>
      </c>
      <c r="C33" s="8" t="inlineStr">
        <is>
          <t>핸들러 분리 완료</t>
        </is>
      </c>
      <c r="D33" s="8" t="inlineStr">
        <is>
          <t>misc_handlers.js로 20개 일괄</t>
        </is>
      </c>
      <c r="E33" s="8" t="inlineStr">
        <is>
          <t>-377줄 (8572→8195)</t>
        </is>
      </c>
    </row>
    <row r="34">
      <c r="A34" s="7" t="inlineStr">
        <is>
          <t>v1.89</t>
        </is>
      </c>
      <c r="B34" s="7" t="inlineStr">
        <is>
          <t>누적 리팩</t>
        </is>
      </c>
      <c r="C34" s="7" t="inlineStr">
        <is>
          <t>49 모듈 핸들러 분리 완료</t>
        </is>
      </c>
      <c r="D34" s="7" t="inlineStr">
        <is>
          <t>-1674줄 / -17%</t>
        </is>
      </c>
      <c r="E34" s="7" t="inlineStr">
        <is>
          <t>9869 → 8195</t>
        </is>
      </c>
    </row>
    <row r="35">
      <c r="A35" s="8" t="inlineStr">
        <is>
          <t>v1.88</t>
        </is>
      </c>
      <c r="B35" s="8" t="inlineStr">
        <is>
          <t>리팩토링</t>
        </is>
      </c>
      <c r="C35" s="8" t="inlineStr">
        <is>
          <t>6 핸들러 분리</t>
        </is>
      </c>
      <c r="D35" s="8" t="inlineStr">
        <is>
          <t>companion/world_event/postoffice/transmog/fortune/insurance</t>
        </is>
      </c>
      <c r="E35" s="8" t="inlineStr">
        <is>
          <t>-175줄 (8747→8572)</t>
        </is>
      </c>
    </row>
    <row r="36">
      <c r="A36" s="7" t="inlineStr">
        <is>
          <t>v1.88</t>
        </is>
      </c>
      <c r="B36" s="7" t="inlineStr">
        <is>
          <t>누적 리팩</t>
        </is>
      </c>
      <c r="C36" s="7" t="inlineStr">
        <is>
          <t>29 모듈 핸들러 분리</t>
        </is>
      </c>
      <c r="D36" s="7" t="inlineStr">
        <is>
          <t>-1297줄</t>
        </is>
      </c>
      <c r="E36" s="7" t="inlineStr">
        <is>
          <t>9869 → 8572</t>
        </is>
      </c>
    </row>
    <row r="37">
      <c r="A37" s="8" t="inlineStr">
        <is>
          <t>v1.87</t>
        </is>
      </c>
      <c r="B37" s="8" t="inlineStr">
        <is>
          <t>리팩토링</t>
        </is>
      </c>
      <c r="C37" s="8" t="inlineStr">
        <is>
          <t>6 핸들러 분리</t>
        </is>
      </c>
      <c r="D37" s="8" t="inlineStr">
        <is>
          <t>expedition/raid/transmutation/jobs/black_market/leaderboard</t>
        </is>
      </c>
      <c r="E37" s="8" t="inlineStr">
        <is>
          <t>-212줄 (8959→8747)</t>
        </is>
      </c>
    </row>
    <row r="38">
      <c r="A38" s="7" t="inlineStr">
        <is>
          <t>v1.87</t>
        </is>
      </c>
      <c r="B38" s="7" t="inlineStr">
        <is>
          <t>누적 리팩</t>
        </is>
      </c>
      <c r="C38" s="7" t="inlineStr">
        <is>
          <t>23 모듈 핸들러 분리</t>
        </is>
      </c>
      <c r="D38" s="7" t="inlineStr">
        <is>
          <t>-1122줄</t>
        </is>
      </c>
      <c r="E38" s="7" t="inlineStr">
        <is>
          <t>9869 → 8747</t>
        </is>
      </c>
    </row>
    <row r="39">
      <c r="A39" s="8" t="inlineStr">
        <is>
          <t>v1.86</t>
        </is>
      </c>
      <c r="B39" s="8" t="inlineStr">
        <is>
          <t>리팩토링</t>
        </is>
      </c>
      <c r="C39" s="8" t="inlineStr">
        <is>
          <t>6 핸들러 동시 분리</t>
        </is>
      </c>
      <c r="D39" s="8" t="inlineStr">
        <is>
          <t>runes/breeding/relic/treasure_map/training/pet_battle</t>
        </is>
      </c>
      <c r="E39" s="8" t="inlineStr">
        <is>
          <t>-253줄 (9212→8959)</t>
        </is>
      </c>
    </row>
    <row r="40">
      <c r="A40" s="7" t="inlineStr">
        <is>
          <t>v1.86</t>
        </is>
      </c>
      <c r="B40" s="7" t="inlineStr">
        <is>
          <t>누적 리팩</t>
        </is>
      </c>
      <c r="C40" s="7" t="inlineStr">
        <is>
          <t>17 모듈 핸들러 분리</t>
        </is>
      </c>
      <c r="D40" s="7" t="inlineStr">
        <is>
          <t>-910줄</t>
        </is>
      </c>
      <c r="E40" s="7" t="inlineStr">
        <is>
          <t>9869 → 8959</t>
        </is>
      </c>
    </row>
    <row r="41">
      <c r="A41" s="8" t="inlineStr">
        <is>
          <t>v1.85</t>
        </is>
      </c>
      <c r="B41" s="8" t="inlineStr">
        <is>
          <t>리팩토링</t>
        </is>
      </c>
      <c r="C41" s="8" t="inlineStr">
        <is>
          <t>5 핸들러 분리</t>
        </is>
      </c>
      <c r="D41" s="8" t="inlineStr">
        <is>
          <t>farm/skill_tree/mail/codex/daily_shop</t>
        </is>
      </c>
      <c r="E41" s="8" t="inlineStr">
        <is>
          <t>-228줄 (9440→9212)</t>
        </is>
      </c>
    </row>
    <row r="42">
      <c r="A42" s="7" t="inlineStr">
        <is>
          <t>v1.85</t>
        </is>
      </c>
      <c r="B42" s="7" t="inlineStr">
        <is>
          <t>누적 리팩</t>
        </is>
      </c>
      <c r="C42" s="7" t="inlineStr">
        <is>
          <t>11 모듈 핸들러 분리</t>
        </is>
      </c>
      <c r="D42" s="7" t="inlineStr">
        <is>
          <t>-657줄</t>
        </is>
      </c>
      <c r="E42" s="7" t="inlineStr">
        <is>
          <t>9869 → 9212</t>
        </is>
      </c>
    </row>
    <row r="43">
      <c r="A43" s="8" t="inlineStr">
        <is>
          <t>v1.84</t>
        </is>
      </c>
      <c r="B43" s="8" t="inlineStr">
        <is>
          <t>리팩토링</t>
        </is>
      </c>
      <c r="C43" s="8" t="inlineStr">
        <is>
          <t>4 핸들러 동시 분리</t>
        </is>
      </c>
      <c r="D43" s="8" t="inlineStr">
        <is>
          <t>event/auction/boss_rush/season</t>
        </is>
      </c>
      <c r="E43" s="8" t="inlineStr">
        <is>
          <t>-240줄 (9680→9440)</t>
        </is>
      </c>
    </row>
    <row r="44">
      <c r="A44" s="7" t="inlineStr">
        <is>
          <t>v1.84</t>
        </is>
      </c>
      <c r="B44" s="7" t="inlineStr">
        <is>
          <t>누적 리팩</t>
        </is>
      </c>
      <c r="C44" s="7" t="inlineStr">
        <is>
          <t>lottery+fishing+event+auction+bossrush+season</t>
        </is>
      </c>
      <c r="D44" s="7" t="inlineStr">
        <is>
          <t>-429줄</t>
        </is>
      </c>
      <c r="E44" s="7" t="inlineStr">
        <is>
          <t>9869 → 9440</t>
        </is>
      </c>
    </row>
    <row r="45">
      <c r="A45" s="8" t="inlineStr">
        <is>
          <t>v1.83</t>
        </is>
      </c>
      <c r="B45" s="8" t="inlineStr">
        <is>
          <t>리팩토링</t>
        </is>
      </c>
      <c r="C45" s="8" t="inlineStr">
        <is>
          <t>fishing_handlers.js</t>
        </is>
      </c>
      <c r="D45" s="8" t="inlineStr">
        <is>
          <t>3 핸들러 분리</t>
        </is>
      </c>
      <c r="E45" s="8" t="inlineStr">
        <is>
          <t>-116줄 (9796→9680)</t>
        </is>
      </c>
    </row>
    <row r="46">
      <c r="A46" s="7" t="inlineStr">
        <is>
          <t>v1.83</t>
        </is>
      </c>
      <c r="B46" s="7" t="inlineStr">
        <is>
          <t>누적</t>
        </is>
      </c>
      <c r="C46" s="7" t="inlineStr">
        <is>
          <t>lottery + fishing</t>
        </is>
      </c>
      <c r="D46" s="7" t="inlineStr">
        <is>
          <t>-189줄</t>
        </is>
      </c>
      <c r="E46" s="7" t="inlineStr">
        <is>
          <t>9869 → 9680</t>
        </is>
      </c>
    </row>
    <row r="47">
      <c r="A47" s="8" t="inlineStr">
        <is>
          <t>v1.82</t>
        </is>
      </c>
      <c r="B47" s="8" t="inlineStr">
        <is>
          <t>리팩토링</t>
        </is>
      </c>
      <c r="C47" s="8" t="inlineStr">
        <is>
          <t>핸들러 분리 시작</t>
        </is>
      </c>
      <c r="D47" s="8" t="inlineStr">
        <is>
          <t>game/handlers/ 신규 디렉토리</t>
        </is>
      </c>
      <c r="E47" s="8" t="inlineStr">
        <is>
          <t>registerXxxHandlers 패턴</t>
        </is>
      </c>
    </row>
    <row r="48">
      <c r="A48" s="7" t="inlineStr">
        <is>
          <t>v1.82</t>
        </is>
      </c>
      <c r="B48" s="7" t="inlineStr">
        <is>
          <t>첫 분리</t>
        </is>
      </c>
      <c r="C48" s="7" t="inlineStr">
        <is>
          <t>lottery_handlers.js</t>
        </is>
      </c>
      <c r="D48" s="7" t="inlineStr">
        <is>
          <t>-73줄 (9869→9796)</t>
        </is>
      </c>
      <c r="E48" s="7" t="inlineStr">
        <is>
          <t>패턴 검증 완료</t>
        </is>
      </c>
    </row>
    <row r="49">
      <c r="A49" s="8" t="inlineStr">
        <is>
          <t>v1.82</t>
        </is>
      </c>
      <c r="B49" s="8" t="inlineStr">
        <is>
          <t>다음 단계</t>
        </is>
      </c>
      <c r="C49" s="8" t="inlineStr">
        <is>
          <t>다른 모듈도 동일 패턴</t>
        </is>
      </c>
      <c r="D49" s="8" t="inlineStr">
        <is>
          <t>fishing/event/season/등</t>
        </is>
      </c>
      <c r="E49" s="8" t="inlineStr">
        <is>
          <t>점진적 분리</t>
        </is>
      </c>
    </row>
    <row r="50">
      <c r="A50" s="7" t="inlineStr">
        <is>
          <t>v1.81</t>
        </is>
      </c>
      <c r="B50" s="7" t="inlineStr">
        <is>
          <t>신규+통합</t>
        </is>
      </c>
      <c r="C50" s="7" t="inlineStr">
        <is>
          <t>game/statistics.js</t>
        </is>
      </c>
      <c r="D50" s="7" t="inlineStr">
        <is>
          <t>서버 통계</t>
        </is>
      </c>
      <c r="E50" s="7" t="inlineStr">
        <is>
          <t>5 카테고리</t>
        </is>
      </c>
    </row>
    <row r="51">
      <c r="A51" s="8" t="inlineStr">
        <is>
          <t>v1.81</t>
        </is>
      </c>
      <c r="B51" s="8" t="inlineStr">
        <is>
          <t>카테고리</t>
        </is>
      </c>
      <c r="C51" s="8" t="inlineStr">
        <is>
          <t>전투/경제/컬렉션/진행/펫</t>
        </is>
      </c>
      <c r="D51" s="8" t="inlineStr">
        <is>
          <t>합계 + 평균 + 최대값 + TOP 플레이어</t>
        </is>
      </c>
      <c r="E51" s="8" t="inlineStr">
        <is>
          <t>봇 자동 제외</t>
        </is>
      </c>
    </row>
    <row r="52">
      <c r="A52" s="7" t="inlineStr">
        <is>
          <t>v1.81</t>
        </is>
      </c>
      <c r="B52" s="7" t="inlineStr">
        <is>
          <t>검증</t>
        </is>
      </c>
      <c r="C52" s="7" t="inlineStr">
        <is>
          <t>3 플레이어 시뮬</t>
        </is>
      </c>
      <c r="D52" s="7" t="inlineStr">
        <is>
          <t>Carol 최고 (Lv65/500000G/8000킬)</t>
        </is>
      </c>
      <c r="E52" s="7" t="inlineStr">
        <is>
          <t>평균 레벨 48</t>
        </is>
      </c>
    </row>
    <row r="53">
      <c r="A53" s="8" t="inlineStr">
        <is>
          <t>v1.80</t>
        </is>
      </c>
      <c r="B53" s="8" t="inlineStr">
        <is>
          <t>🎯 마일스톤</t>
        </is>
      </c>
      <c r="C53" s="8" t="inlineStr">
        <is>
          <t>80번째 패치</t>
        </is>
      </c>
      <c r="D53" s="8" t="inlineStr">
        <is>
          <t>시간 캡슐</t>
        </is>
      </c>
      <c r="E53" s="8" t="inlineStr">
        <is>
          <t>game/time_capsule.js</t>
        </is>
      </c>
    </row>
    <row r="54">
      <c r="A54" s="7" t="inlineStr">
        <is>
          <t>v1.80</t>
        </is>
      </c>
      <c r="B54" s="7" t="inlineStr">
        <is>
          <t>단기 (7일)</t>
        </is>
      </c>
      <c r="C54" s="7" t="inlineStr">
        <is>
          <t>10% 이자</t>
        </is>
      </c>
      <c r="D54" s="7" t="inlineStr">
        <is>
          <t>1000~100000G</t>
        </is>
      </c>
      <c r="E54" s="7" t="inlineStr">
        <is>
          <t>조기 -50%</t>
        </is>
      </c>
    </row>
    <row r="55">
      <c r="A55" s="8" t="inlineStr">
        <is>
          <t>v1.80</t>
        </is>
      </c>
      <c r="B55" s="8" t="inlineStr">
        <is>
          <t>중기 (30일)</t>
        </is>
      </c>
      <c r="C55" s="8" t="inlineStr">
        <is>
          <t>50% 이자</t>
        </is>
      </c>
      <c r="D55" s="8" t="inlineStr">
        <is>
          <t>5000~500000G</t>
        </is>
      </c>
      <c r="E55" s="8" t="inlineStr">
        <is>
          <t>조기 -40%</t>
        </is>
      </c>
    </row>
    <row r="56">
      <c r="A56" s="7" t="inlineStr">
        <is>
          <t>v1.80</t>
        </is>
      </c>
      <c r="B56" s="7" t="inlineStr">
        <is>
          <t>장기 (90일)</t>
        </is>
      </c>
      <c r="C56" s="7" t="inlineStr">
        <is>
          <t>150% 이자 (2.5x)</t>
        </is>
      </c>
      <c r="D56" s="7" t="inlineStr">
        <is>
          <t>20000~5000000G</t>
        </is>
      </c>
      <c r="E56" s="7" t="inlineStr">
        <is>
          <t>조기 -30%</t>
        </is>
      </c>
    </row>
    <row r="57">
      <c r="A57" s="8" t="inlineStr">
        <is>
          <t>v1.80</t>
        </is>
      </c>
      <c r="B57" s="8" t="inlineStr">
        <is>
          <t>전설 (365일)</t>
        </is>
      </c>
      <c r="C57" s="8" t="inlineStr">
        <is>
          <t>500% 이자 (6x)</t>
        </is>
      </c>
      <c r="D57" s="8" t="inlineStr">
        <is>
          <t>100000G~10억</t>
        </is>
      </c>
      <c r="E57" s="8" t="inlineStr">
        <is>
          <t>조기 -20%</t>
        </is>
      </c>
    </row>
    <row r="58">
      <c r="A58" s="7" t="inlineStr">
        <is>
          <t>v1.79</t>
        </is>
      </c>
      <c r="B58" s="7" t="inlineStr">
        <is>
          <t>신규+통합</t>
        </is>
      </c>
      <c r="C58" s="7" t="inlineStr">
        <is>
          <t>game/invitation.js</t>
        </is>
      </c>
      <c r="D58" s="7" t="inlineStr">
        <is>
          <t>초대 시스템</t>
        </is>
      </c>
      <c r="E58" s="7" t="inlineStr">
        <is>
          <t>5 마일스톤</t>
        </is>
      </c>
    </row>
    <row r="59">
      <c r="A59" s="8" t="inlineStr">
        <is>
          <t>v1.79</t>
        </is>
      </c>
      <c r="B59" s="8" t="inlineStr">
        <is>
          <t>마일스톤</t>
        </is>
      </c>
      <c r="C59" s="8" t="inlineStr">
        <is>
          <t>Lv5/10/20/30/50</t>
        </is>
      </c>
      <c r="D59" s="8" t="inlineStr">
        <is>
          <t>각 단계별 양쪽 보상</t>
        </is>
      </c>
      <c r="E59" s="8" t="inlineStr">
        <is>
          <t>만렙: mentor 칭호</t>
        </is>
      </c>
    </row>
    <row r="60">
      <c r="A60" s="7" t="inlineStr">
        <is>
          <t>v1.79</t>
        </is>
      </c>
      <c r="B60" s="7" t="inlineStr">
        <is>
          <t>검증</t>
        </is>
      </c>
      <c r="C60" s="7" t="inlineStr">
        <is>
          <t>초대 → Lv30 도달</t>
        </is>
      </c>
      <c r="D60" s="7" t="inlineStr">
        <is>
          <t>초대자 27000G + 260💎</t>
        </is>
      </c>
      <c r="E60" s="7" t="inlineStr">
        <is>
          <t>3 마일스톤 동시 발생</t>
        </is>
      </c>
    </row>
    <row r="61">
      <c r="A61" s="8" t="inlineStr">
        <is>
          <t>v1.78</t>
        </is>
      </c>
      <c r="B61" s="8" t="inlineStr">
        <is>
          <t>신규+통합</t>
        </is>
      </c>
      <c r="C61" s="8" t="inlineStr">
        <is>
          <t>game/honor.js</t>
        </is>
      </c>
      <c r="D61" s="8" t="inlineStr">
        <is>
          <t>명예 시스템</t>
        </is>
      </c>
      <c r="E61" s="8" t="inlineStr">
        <is>
          <t>PvP 전용 화폐</t>
        </is>
      </c>
    </row>
    <row r="62">
      <c r="A62" s="7" t="inlineStr">
        <is>
          <t>v1.78</t>
        </is>
      </c>
      <c r="B62" s="7" t="inlineStr">
        <is>
          <t>계급</t>
        </is>
      </c>
      <c r="C62" s="7" t="inlineStr">
        <is>
          <t>평범한 전사 → 신참/숙련/베테랑/전설 → 영웅 → 전설</t>
        </is>
      </c>
      <c r="D62" s="7" t="inlineStr">
        <is>
          <t>7단계</t>
        </is>
      </c>
      <c r="E62" s="7" t="inlineStr">
        <is>
          <t>50000 명예 = 전설</t>
        </is>
      </c>
    </row>
    <row r="63">
      <c r="A63" s="8" t="inlineStr">
        <is>
          <t>v1.78</t>
        </is>
      </c>
      <c r="B63" s="8" t="inlineStr">
        <is>
          <t>상점</t>
        </is>
      </c>
      <c r="C63" s="8" t="inlineStr">
        <is>
          <t>명예의 검 1500 / 칭호 3000 / 불멸 증표 5000</t>
        </is>
      </c>
      <c r="D63" s="8" t="inlineStr">
        <is>
          <t>PvP 전용 보상</t>
        </is>
      </c>
      <c r="E63" s="8" t="inlineStr">
        <is>
          <t>-</t>
        </is>
      </c>
    </row>
    <row r="64">
      <c r="A64" s="7" t="inlineStr">
        <is>
          <t>v1.77</t>
        </is>
      </c>
      <c r="B64" s="7" t="inlineStr">
        <is>
          <t>신규+통합</t>
        </is>
      </c>
      <c r="C64" s="7" t="inlineStr">
        <is>
          <t>game/passport.js</t>
        </is>
      </c>
      <c r="D64" s="7" t="inlineStr">
        <is>
          <t>여권</t>
        </is>
      </c>
      <c r="E64" s="7" t="inlineStr">
        <is>
          <t>6 지역 × 4 마일스톤</t>
        </is>
      </c>
    </row>
    <row r="65">
      <c r="A65" s="8" t="inlineStr">
        <is>
          <t>v1.77</t>
        </is>
      </c>
      <c r="B65" s="8" t="inlineStr">
        <is>
          <t>마일스톤</t>
        </is>
      </c>
      <c r="C65" s="8" t="inlineStr">
        <is>
          <t>10/25/40/51</t>
        </is>
      </c>
      <c r="D65" s="8" t="inlineStr">
        <is>
          <t>방랑자/탐험가/세계여행자/지도정복자</t>
        </is>
      </c>
      <c r="E65" s="8" t="inlineStr">
        <is>
          <t>51개: 50000G+500💎+칭호+전스탯+5%</t>
        </is>
      </c>
    </row>
    <row r="66">
      <c r="A66" s="7" t="inlineStr">
        <is>
          <t>v1.77</t>
        </is>
      </c>
      <c r="B66" s="7" t="inlineStr">
        <is>
          <t>검증</t>
        </is>
      </c>
      <c r="C66" s="7" t="inlineStr">
        <is>
          <t>중앙 서부 7개 방문</t>
        </is>
      </c>
      <c r="D66" s="7" t="inlineStr">
        <is>
          <t>배지 획득</t>
        </is>
      </c>
      <c r="E66" s="7" t="inlineStr">
        <is>
          <t>ATK +5</t>
        </is>
      </c>
    </row>
    <row r="67">
      <c r="A67" s="8" t="inlineStr">
        <is>
          <t>v1.76</t>
        </is>
      </c>
      <c r="B67" s="8" t="inlineStr">
        <is>
          <t>신규+통합</t>
        </is>
      </c>
      <c r="C67" s="8" t="inlineStr">
        <is>
          <t>game/aura.js</t>
        </is>
      </c>
      <c r="D67" s="8" t="inlineStr">
        <is>
          <t>오라</t>
        </is>
      </c>
      <c r="E67" s="8" t="inlineStr">
        <is>
          <t>10종 / 1개 활성</t>
        </is>
      </c>
    </row>
    <row r="68">
      <c r="A68" s="7" t="inlineStr">
        <is>
          <t>v1.76</t>
        </is>
      </c>
      <c r="B68" s="7" t="inlineStr">
        <is>
          <t>신화 오라</t>
        </is>
      </c>
      <c r="C68" s="7" t="inlineStr">
        <is>
          <t>🔮 우주 오라</t>
        </is>
      </c>
      <c r="D68" s="7" t="inlineStr">
        <is>
          <t>태초의 존재 처치</t>
        </is>
      </c>
      <c r="E68" s="7" t="inlineStr">
        <is>
          <t>전스탯 +3% / EXP +10% / 드롭 +5%</t>
        </is>
      </c>
    </row>
    <row r="69">
      <c r="A69" s="8" t="inlineStr">
        <is>
          <t>v1.76</t>
        </is>
      </c>
      <c r="B69" s="8" t="inlineStr">
        <is>
          <t>전설</t>
        </is>
      </c>
      <c r="C69" s="8" t="inlineStr">
        <is>
          <t>🪶 불사조 / 🌌 공허</t>
        </is>
      </c>
      <c r="D69" s="8" t="inlineStr">
        <is>
          <t>월드보스 / 공허 균열</t>
        </is>
      </c>
      <c r="E69" s="8" t="inlineStr">
        <is>
          <t>자동부활 / 크리DMG</t>
        </is>
      </c>
    </row>
    <row r="70">
      <c r="A70" s="7" t="inlineStr">
        <is>
          <t>v1.75</t>
        </is>
      </c>
      <c r="B70" s="7" t="inlineStr">
        <is>
          <t>🎉 마일스톤</t>
        </is>
      </c>
      <c r="C70" s="7" t="inlineStr">
        <is>
          <t>50 모듈</t>
        </is>
      </c>
      <c r="D70" s="7" t="inlineStr">
        <is>
          <t>통합 대시보드</t>
        </is>
      </c>
      <c r="E70" s="7" t="inlineStr">
        <is>
          <t>game/dashboard.js</t>
        </is>
      </c>
    </row>
    <row r="71">
      <c r="A71" s="8" t="inlineStr">
        <is>
          <t>v1.75</t>
        </is>
      </c>
      <c r="B71" s="8" t="inlineStr">
        <is>
          <t>8 카테고리</t>
        </is>
      </c>
      <c r="C71" s="8" t="inlineStr">
        <is>
          <t>캐릭터/전투/컬렉션/진행</t>
        </is>
      </c>
      <c r="D71" s="8" t="inlineStr">
        <is>
          <t>사회/경제/펫/활동</t>
        </is>
      </c>
      <c r="E71" s="8" t="inlineStr">
        <is>
          <t>각 카테고리별 통합 데이터</t>
        </is>
      </c>
    </row>
    <row r="72">
      <c r="A72" s="7" t="inlineStr">
        <is>
          <t>v1.75</t>
        </is>
      </c>
      <c r="B72" s="7" t="inlineStr">
        <is>
          <t>완성도</t>
        </is>
      </c>
      <c r="C72" s="7" t="inlineStr">
        <is>
          <t>레벨 99 + 칭호 17 + 도감 162 + 시즌 15 + 보스러시 20</t>
        </is>
      </c>
      <c r="D72" s="7" t="inlineStr">
        <is>
          <t>총 313점 만점</t>
        </is>
      </c>
      <c r="E72" s="7" t="inlineStr">
        <is>
          <t>자동 % 계산</t>
        </is>
      </c>
    </row>
    <row r="73">
      <c r="A73" s="8" t="inlineStr">
        <is>
          <t>v1.75</t>
        </is>
      </c>
      <c r="B73" s="8" t="inlineStr">
        <is>
          <t>검증</t>
        </is>
      </c>
      <c r="C73" s="8" t="inlineStr">
        <is>
          <t>Lv50 / 5000킬 / 7칭호</t>
        </is>
      </c>
      <c r="D73" s="8" t="inlineStr">
        <is>
          <t>완성도 60%</t>
        </is>
      </c>
      <c r="E73" s="8" t="inlineStr">
        <is>
          <t>모든 시스템 통합 조회</t>
        </is>
      </c>
    </row>
    <row r="74">
      <c r="A74" s="7" t="inlineStr">
        <is>
          <t>v1.74</t>
        </is>
      </c>
      <c r="B74" s="7" t="inlineStr">
        <is>
          <t>신규+통합</t>
        </is>
      </c>
      <c r="C74" s="7" t="inlineStr">
        <is>
          <t>game/inn.js</t>
        </is>
      </c>
      <c r="D74" s="7" t="inlineStr">
        <is>
          <t>여관/휴식</t>
        </is>
      </c>
      <c r="E74" s="7" t="inlineStr">
        <is>
          <t>5 등급</t>
        </is>
      </c>
    </row>
    <row r="75">
      <c r="A75" s="8" t="inlineStr">
        <is>
          <t>v1.74</t>
        </is>
      </c>
      <c r="B75" s="8" t="inlineStr">
        <is>
          <t>🛖 낡은 (frontier)</t>
        </is>
      </c>
      <c r="C75" s="8" t="inlineStr">
        <is>
          <t>100G/h</t>
        </is>
      </c>
      <c r="D75" s="8" t="inlineStr">
        <is>
          <t>rested 1.0x / 최대 4h</t>
        </is>
      </c>
      <c r="E75" s="8" t="inlineStr">
        <is>
          <t>초보용</t>
        </is>
      </c>
    </row>
    <row r="76">
      <c r="A76" s="7" t="inlineStr">
        <is>
          <t>v1.74</t>
        </is>
      </c>
      <c r="B76" s="7" t="inlineStr">
        <is>
          <t>🏛️ 고급 (port_east)</t>
        </is>
      </c>
      <c r="C76" s="7" t="inlineStr">
        <is>
          <t>1200G/h</t>
        </is>
      </c>
      <c r="D76" s="7" t="inlineStr">
        <is>
          <t>rested 2.0x / 최대 16h</t>
        </is>
      </c>
      <c r="E76" s="7" t="inlineStr">
        <is>
          <t>고가</t>
        </is>
      </c>
    </row>
    <row r="77">
      <c r="A77" s="8" t="inlineStr">
        <is>
          <t>v1.74</t>
        </is>
      </c>
      <c r="B77" s="8" t="inlineStr">
        <is>
          <t>👑 왕실 (castle)</t>
        </is>
      </c>
      <c r="C77" s="8" t="inlineStr">
        <is>
          <t>3000G/h</t>
        </is>
      </c>
      <c r="D77" s="8" t="inlineStr">
        <is>
          <t>rested 3.0x / 최대 24h</t>
        </is>
      </c>
      <c r="E77" s="8" t="inlineStr">
        <is>
          <t>최상급</t>
        </is>
      </c>
    </row>
    <row r="78">
      <c r="A78" s="7" t="inlineStr">
        <is>
          <t>v1.73</t>
        </is>
      </c>
      <c r="B78" s="7" t="inlineStr">
        <is>
          <t>신규+통합</t>
        </is>
      </c>
      <c r="C78" s="7" t="inlineStr">
        <is>
          <t>game/territory.js</t>
        </is>
      </c>
      <c r="D78" s="7" t="inlineStr">
        <is>
          <t>영토 통제</t>
        </is>
      </c>
      <c r="E78" s="7" t="inlineStr">
        <is>
          <t>10 영토 × 길드 점유</t>
        </is>
      </c>
    </row>
    <row r="79">
      <c r="A79" s="8" t="inlineStr">
        <is>
          <t>v1.73</t>
        </is>
      </c>
      <c r="B79" s="8" t="inlineStr">
        <is>
          <t>최강 영토</t>
        </is>
      </c>
      <c r="C79" s="8" t="inlineStr">
        <is>
          <t>공허의 균열 (50000G)</t>
        </is>
      </c>
      <c r="D79" s="8" t="inlineStr">
        <is>
          <t>ATK +50 / 크리 +10% / 드롭 +20%</t>
        </is>
      </c>
      <c r="E79" s="8" t="inlineStr">
        <is>
          <t>-</t>
        </is>
      </c>
    </row>
    <row r="80">
      <c r="A80" s="7" t="inlineStr">
        <is>
          <t>v1.73</t>
        </is>
      </c>
      <c r="B80" s="7" t="inlineStr">
        <is>
          <t>전략 영토</t>
        </is>
      </c>
      <c r="C80" s="7" t="inlineStr">
        <is>
          <t>드래곤 둥지 (25000G)</t>
        </is>
      </c>
      <c r="D80" s="7" t="inlineStr">
        <is>
          <t>ATK +25 / 크리 +5%</t>
        </is>
      </c>
      <c r="E80" s="7" t="inlineStr">
        <is>
          <t>-</t>
        </is>
      </c>
    </row>
    <row r="81">
      <c r="A81" s="8" t="inlineStr">
        <is>
          <t>v1.73</t>
        </is>
      </c>
      <c r="B81" s="8" t="inlineStr">
        <is>
          <t>검증</t>
        </is>
      </c>
      <c r="C81" s="8" t="inlineStr">
        <is>
          <t>Phoenix 화산+드래곤 점유</t>
        </is>
      </c>
      <c r="D81" s="8" t="inlineStr">
        <is>
          <t>atk +35 / fireDmg +15% / 크리 +5%</t>
        </is>
      </c>
      <c r="E81" s="8" t="inlineStr">
        <is>
          <t>길드원 전체 적용</t>
        </is>
      </c>
    </row>
    <row r="82">
      <c r="A82" s="7" t="inlineStr">
        <is>
          <t>v1.72</t>
        </is>
      </c>
      <c r="B82" s="7" t="inlineStr">
        <is>
          <t>신규+통합</t>
        </is>
      </c>
      <c r="C82" s="7" t="inlineStr">
        <is>
          <t>game/blueprint.js</t>
        </is>
      </c>
      <c r="D82" s="7" t="inlineStr">
        <is>
          <t>비밀 도면</t>
        </is>
      </c>
      <c r="E82" s="7" t="inlineStr">
        <is>
          <t>5종 × 1회 제작</t>
        </is>
      </c>
    </row>
    <row r="83">
      <c r="A83" s="8" t="inlineStr">
        <is>
          <t>v1.72</t>
        </is>
      </c>
      <c r="B83" s="8" t="inlineStr">
        <is>
          <t>희귀</t>
        </is>
      </c>
      <c r="C83" s="8" t="inlineStr">
        <is>
          <t>화염검 / 서리 갑옷</t>
        </is>
      </c>
      <c r="D83" s="8" t="inlineStr">
        <is>
          <t>용암/얼음 보스 드롭</t>
        </is>
      </c>
      <c r="E83" s="8" t="inlineStr">
        <is>
          <t>ATK 80 / DEF 70</t>
        </is>
      </c>
    </row>
    <row r="84">
      <c r="A84" s="7" t="inlineStr">
        <is>
          <t>v1.72</t>
        </is>
      </c>
      <c r="B84" s="7" t="inlineStr">
        <is>
          <t>영웅</t>
        </is>
      </c>
      <c r="C84" s="7" t="inlineStr">
        <is>
          <t>공허 단검 / 별의 활</t>
        </is>
      </c>
      <c r="D84" s="7" t="inlineStr">
        <is>
          <t>공허/천공 클리어</t>
        </is>
      </c>
      <c r="E84" s="7" t="inlineStr">
        <is>
          <t>ATK 100 / 90</t>
        </is>
      </c>
    </row>
    <row r="85">
      <c r="A85" s="8" t="inlineStr">
        <is>
          <t>v1.72</t>
        </is>
      </c>
      <c r="B85" s="8" t="inlineStr">
        <is>
          <t>전설</t>
        </is>
      </c>
      <c r="C85" s="8" t="inlineStr">
        <is>
          <t>태초의 구슬</t>
        </is>
      </c>
      <c r="D85" s="8" t="inlineStr">
        <is>
          <t>월드 보스 0.5%</t>
        </is>
      </c>
      <c r="E85" s="8" t="inlineStr">
        <is>
          <t>ATK 150 / 전스탯 +10%</t>
        </is>
      </c>
    </row>
    <row r="86">
      <c r="A86" s="7" t="inlineStr">
        <is>
          <t>v1.71</t>
        </is>
      </c>
      <c r="B86" s="7" t="inlineStr">
        <is>
          <t>신규+통합</t>
        </is>
      </c>
      <c r="C86" s="7" t="inlineStr">
        <is>
          <t>game/contracts.js</t>
        </is>
      </c>
      <c r="D86" s="7" t="inlineStr">
        <is>
          <t>계약 게시판</t>
        </is>
      </c>
      <c r="E86" s="7" t="inlineStr">
        <is>
          <t>8 종 × 6시간 갱신</t>
        </is>
      </c>
    </row>
    <row r="87">
      <c r="A87" s="8" t="inlineStr">
        <is>
          <t>v1.71</t>
        </is>
      </c>
      <c r="B87" s="8" t="inlineStr">
        <is>
          <t>easy</t>
        </is>
      </c>
      <c r="C87" s="8" t="inlineStr">
        <is>
          <t>일반 사냥 / 약초 수집</t>
        </is>
      </c>
      <c r="D87" s="8" t="inlineStr">
        <is>
          <t>30몹 / 약초 20개</t>
        </is>
      </c>
      <c r="E87" s="8" t="inlineStr">
        <is>
          <t>800G / 1500G</t>
        </is>
      </c>
    </row>
    <row r="88">
      <c r="A88" s="7" t="inlineStr">
        <is>
          <t>v1.71</t>
        </is>
      </c>
      <c r="B88" s="7" t="inlineStr">
        <is>
          <t>hard</t>
        </is>
      </c>
      <c r="C88" s="7" t="inlineStr">
        <is>
          <t>레어 사냥 / 보스 토벌</t>
        </is>
      </c>
      <c r="D88" s="7" t="inlineStr">
        <is>
          <t>5레어 / 1보스</t>
        </is>
      </c>
      <c r="E88" s="7" t="inlineStr">
        <is>
          <t>5000G+영혼석 / 10000G+용재료</t>
        </is>
      </c>
    </row>
    <row r="89">
      <c r="A89" s="8" t="inlineStr">
        <is>
          <t>v1.71</t>
        </is>
      </c>
      <c r="B89" s="8" t="inlineStr">
        <is>
          <t>risky</t>
        </is>
      </c>
      <c r="C89" s="8" t="inlineStr">
        <is>
          <t>PvP 현상금</t>
        </is>
      </c>
      <c r="D89" s="8" t="inlineStr">
        <is>
          <t>3PK</t>
        </is>
      </c>
      <c r="E89" s="8" t="inlineStr">
        <is>
          <t>8000G + 30💎</t>
        </is>
      </c>
    </row>
    <row r="90">
      <c r="A90" s="7" t="inlineStr">
        <is>
          <t>v1.70</t>
        </is>
      </c>
      <c r="B90" s="7" t="inlineStr">
        <is>
          <t>🎯 마일스톤</t>
        </is>
      </c>
      <c r="C90" s="7" t="inlineStr">
        <is>
          <t>70번째 패치</t>
        </is>
      </c>
      <c r="D90" s="7" t="inlineStr">
        <is>
          <t>서버 뉴스 보드</t>
        </is>
      </c>
      <c r="E90" s="7" t="inlineStr">
        <is>
          <t>game/news_board.js</t>
        </is>
      </c>
    </row>
    <row r="91">
      <c r="A91" s="8" t="inlineStr">
        <is>
          <t>v1.70</t>
        </is>
      </c>
      <c r="B91" s="8" t="inlineStr">
        <is>
          <t>5 카테고리</t>
        </is>
      </c>
      <c r="C91" s="8" t="inlineStr">
        <is>
          <t>전투/경제/사회/월드/업적</t>
        </is>
      </c>
      <c r="D91" s="8" t="inlineStr">
        <is>
          <t>각자 색상/아이콘</t>
        </is>
      </c>
      <c r="E91" s="8" t="inlineStr">
        <is>
          <t>필터링 가능</t>
        </is>
      </c>
    </row>
    <row r="92">
      <c r="A92" s="7" t="inlineStr">
        <is>
          <t>v1.70</t>
        </is>
      </c>
      <c r="B92" s="7" t="inlineStr">
        <is>
          <t>18 템플릿</t>
        </is>
      </c>
      <c r="C92" s="7" t="inlineStr">
        <is>
          <t>월드보스/잭팟/길드전쟁/이벤트/칭호 등</t>
        </is>
      </c>
      <c r="D92" s="7" t="inlineStr">
        <is>
          <t>모든 모듈 이벤트 집계</t>
        </is>
      </c>
      <c r="E92" s="7" t="inlineStr">
        <is>
          <t>{player} {boss} 등 변수</t>
        </is>
      </c>
    </row>
    <row r="93">
      <c r="A93" s="8" t="inlineStr">
        <is>
          <t>v1.70</t>
        </is>
      </c>
      <c r="B93" s="8" t="inlineStr">
        <is>
          <t>보관 정책</t>
        </is>
      </c>
      <c r="C93" s="8" t="inlineStr">
        <is>
          <t>high 7일 / mid 3일 / low 1일</t>
        </is>
      </c>
      <c r="D93" s="8" t="inlineStr">
        <is>
          <t>자동 만료</t>
        </is>
      </c>
      <c r="E93" s="8" t="inlineStr">
        <is>
          <t>메모리 200개 한도</t>
        </is>
      </c>
    </row>
    <row r="94">
      <c r="A94" s="7" t="inlineStr">
        <is>
          <t>v1.69</t>
        </is>
      </c>
      <c r="B94" s="7" t="inlineStr">
        <is>
          <t>신규+통합</t>
        </is>
      </c>
      <c r="C94" s="7" t="inlineStr">
        <is>
          <t>game/blessing.js</t>
        </is>
      </c>
      <c r="D94" s="7" t="inlineStr">
        <is>
          <t>신의 축복</t>
        </is>
      </c>
      <c r="E94" s="7" t="inlineStr">
        <is>
          <t>6 신 + 신앙</t>
        </is>
      </c>
    </row>
    <row r="95">
      <c r="A95" s="8" t="inlineStr">
        <is>
          <t>v1.69</t>
        </is>
      </c>
      <c r="B95" s="8" t="inlineStr">
        <is>
          <t>⚔️ 아레스</t>
        </is>
      </c>
      <c r="C95" s="8" t="inlineStr">
        <is>
          <t>전쟁의 신</t>
        </is>
      </c>
      <c r="D95" s="8" t="inlineStr">
        <is>
          <t>ATK +15 / 크리 +3%</t>
        </is>
      </c>
      <c r="E95" s="8" t="inlineStr">
        <is>
          <t>-</t>
        </is>
      </c>
    </row>
    <row r="96">
      <c r="A96" s="7" t="inlineStr">
        <is>
          <t>v1.69</t>
        </is>
      </c>
      <c r="B96" s="7" t="inlineStr">
        <is>
          <t>🦉 아테나</t>
        </is>
      </c>
      <c r="C96" s="7" t="inlineStr">
        <is>
          <t>지혜의 여신</t>
        </is>
      </c>
      <c r="D96" s="7" t="inlineStr">
        <is>
          <t>EXP +10% / DEF +8</t>
        </is>
      </c>
      <c r="E96" s="7" t="inlineStr">
        <is>
          <t>-</t>
        </is>
      </c>
    </row>
    <row r="97">
      <c r="A97" s="8" t="inlineStr">
        <is>
          <t>v1.69</t>
        </is>
      </c>
      <c r="B97" s="8" t="inlineStr">
        <is>
          <t>👟 헤르메스</t>
        </is>
      </c>
      <c r="C97" s="8" t="inlineStr">
        <is>
          <t>여행의 신</t>
        </is>
      </c>
      <c r="D97" s="8" t="inlineStr">
        <is>
          <t>SPD +2 / GOLD +10%</t>
        </is>
      </c>
      <c r="E97" s="8" t="inlineStr">
        <is>
          <t>-</t>
        </is>
      </c>
    </row>
    <row r="98">
      <c r="A98" s="7" t="inlineStr">
        <is>
          <t>v1.69</t>
        </is>
      </c>
      <c r="B98" s="7" t="inlineStr">
        <is>
          <t>🏹 아르테미스</t>
        </is>
      </c>
      <c r="C98" s="7" t="inlineStr">
        <is>
          <t>사냥의 여신</t>
        </is>
      </c>
      <c r="D98" s="7" t="inlineStr">
        <is>
          <t>드롭 +10% / 회피 +4%</t>
        </is>
      </c>
      <c r="E98" s="7" t="inlineStr">
        <is>
          <t>-</t>
        </is>
      </c>
    </row>
    <row r="99">
      <c r="A99" s="8" t="inlineStr">
        <is>
          <t>v1.69</t>
        </is>
      </c>
      <c r="B99" s="8" t="inlineStr">
        <is>
          <t>🔨 헤파이스토스</t>
        </is>
      </c>
      <c r="C99" s="8" t="inlineStr">
        <is>
          <t>대장장이의 신</t>
        </is>
      </c>
      <c r="D99" s="8" t="inlineStr">
        <is>
          <t>제작 +10% / DEF ×1.05</t>
        </is>
      </c>
      <c r="E99" s="8" t="inlineStr">
        <is>
          <t>-</t>
        </is>
      </c>
    </row>
    <row r="100">
      <c r="A100" s="7" t="inlineStr">
        <is>
          <t>v1.69</t>
        </is>
      </c>
      <c r="B100" s="7" t="inlineStr">
        <is>
          <t>☀️ 아폴로</t>
        </is>
      </c>
      <c r="C100" s="7" t="inlineStr">
        <is>
          <t>빛의 신</t>
        </is>
      </c>
      <c r="D100" s="7" t="inlineStr">
        <is>
          <t>HP +100 / 재생 +20%</t>
        </is>
      </c>
      <c r="E100" s="7" t="inlineStr">
        <is>
          <t>-</t>
        </is>
      </c>
    </row>
    <row r="101">
      <c r="A101" s="8" t="inlineStr">
        <is>
          <t>v1.68</t>
        </is>
      </c>
      <c r="B101" s="8" t="inlineStr">
        <is>
          <t>신규+통합</t>
        </is>
      </c>
      <c r="C101" s="8" t="inlineStr">
        <is>
          <t>game/library.js</t>
        </is>
      </c>
      <c r="D101" s="8" t="inlineStr">
        <is>
          <t>도서관</t>
        </is>
      </c>
      <c r="E101" s="8" t="inlineStr">
        <is>
          <t>8권 × 영구 보너스</t>
        </is>
      </c>
    </row>
    <row r="102">
      <c r="A102" s="7" t="inlineStr">
        <is>
          <t>v1.68</t>
        </is>
      </c>
      <c r="B102" s="7" t="inlineStr">
        <is>
          <t>전설책</t>
        </is>
      </c>
      <c r="C102" s="7" t="inlineStr">
        <is>
          <t>태초의 문서 (세계수)</t>
        </is>
      </c>
      <c r="D102" s="7" t="inlineStr">
        <is>
          <t>ATK+20 DEF+20 HP+200 EXP+15%</t>
        </is>
      </c>
      <c r="E102" s="7" t="inlineStr">
        <is>
          <t>-</t>
        </is>
      </c>
    </row>
    <row r="103">
      <c r="A103" s="8" t="inlineStr">
        <is>
          <t>v1.68</t>
        </is>
      </c>
      <c r="B103" s="8" t="inlineStr">
        <is>
          <t>전설책</t>
        </is>
      </c>
      <c r="C103" s="8" t="inlineStr">
        <is>
          <t>금단의 마도서 (마왕성)</t>
        </is>
      </c>
      <c r="D103" s="8" t="inlineStr">
        <is>
          <t>ATK+15 크리+8% 전스탯+5%</t>
        </is>
      </c>
      <c r="E103" s="8" t="inlineStr">
        <is>
          <t>-</t>
        </is>
      </c>
    </row>
    <row r="104">
      <c r="A104" s="7" t="inlineStr">
        <is>
          <t>v1.67</t>
        </is>
      </c>
      <c r="B104" s="7" t="inlineStr">
        <is>
          <t>신규+통합</t>
        </is>
      </c>
      <c r="C104" s="7" t="inlineStr">
        <is>
          <t>game/dungeon_keys.js</t>
        </is>
      </c>
      <c r="D104" s="7" t="inlineStr">
        <is>
          <t>던전 열쇠</t>
        </is>
      </c>
      <c r="E104" s="7" t="inlineStr">
        <is>
          <t>4등급 × 주간 한도</t>
        </is>
      </c>
    </row>
    <row r="105">
      <c r="A105" s="8" t="inlineStr">
        <is>
          <t>v1.67</t>
        </is>
      </c>
      <c r="B105" s="8" t="inlineStr">
        <is>
          <t>🔑 청동</t>
        </is>
      </c>
      <c r="C105" s="8" t="inlineStr">
        <is>
          <t>일반 던전 (ruins/cave)</t>
        </is>
      </c>
      <c r="D105" s="8" t="inlineStr">
        <is>
          <t>주 7개 / 보상 1.5x</t>
        </is>
      </c>
      <c r="E105" s="8" t="inlineStr">
        <is>
          <t>일일 퀘/3일 출석</t>
        </is>
      </c>
    </row>
    <row r="106">
      <c r="A106" s="7" t="inlineStr">
        <is>
          <t>v1.67</t>
        </is>
      </c>
      <c r="B106" s="7" t="inlineStr">
        <is>
          <t>🔐 황금</t>
        </is>
      </c>
      <c r="C106" s="7" t="inlineStr">
        <is>
          <t>고급 던전 (dragon/shadow)</t>
        </is>
      </c>
      <c r="D106" s="7" t="inlineStr">
        <is>
          <t>주 2개 / 보상 3x</t>
        </is>
      </c>
      <c r="E106" s="7" t="inlineStr">
        <is>
          <t>아레나 TOP10/월간</t>
        </is>
      </c>
    </row>
    <row r="107">
      <c r="A107" s="8" t="inlineStr">
        <is>
          <t>v1.67</t>
        </is>
      </c>
      <c r="B107" s="8" t="inlineStr">
        <is>
          <t>🌀 공허</t>
        </is>
      </c>
      <c r="C107" s="8" t="inlineStr">
        <is>
          <t>엔드게임 (void_abyss)</t>
        </is>
      </c>
      <c r="D107" s="8" t="inlineStr">
        <is>
          <t>주 1개 / 보상 5x</t>
        </is>
      </c>
      <c r="E107" s="8" t="inlineStr">
        <is>
          <t>레이드 MVP/시즌 만렙</t>
        </is>
      </c>
    </row>
    <row r="108">
      <c r="A108" s="7" t="inlineStr">
        <is>
          <t>v1.66</t>
        </is>
      </c>
      <c r="B108" s="7" t="inlineStr">
        <is>
          <t>신규+통합</t>
        </is>
      </c>
      <c r="C108" s="7" t="inlineStr">
        <is>
          <t>game/lottery_jackpot.js</t>
        </is>
      </c>
      <c r="D108" s="7" t="inlineStr">
        <is>
          <t>주간 잭팟 복권</t>
        </is>
      </c>
      <c r="E108" s="7" t="inlineStr">
        <is>
          <t>서버 누적 풀</t>
        </is>
      </c>
    </row>
    <row r="109">
      <c r="A109" s="8" t="inlineStr">
        <is>
          <t>v1.66</t>
        </is>
      </c>
      <c r="B109" s="8" t="inlineStr">
        <is>
          <t>검증</t>
        </is>
      </c>
      <c r="C109" s="8" t="inlineStr">
        <is>
          <t>5명 39티켓</t>
        </is>
      </c>
      <c r="D109" s="8" t="inlineStr">
        <is>
          <t>잭팟 81200G</t>
        </is>
      </c>
      <c r="E109" s="8" t="inlineStr">
        <is>
          <t>Bob 당첨 64960G + 위로상 4명</t>
        </is>
      </c>
    </row>
    <row r="110">
      <c r="A110" s="7" t="inlineStr">
        <is>
          <t>v1.66</t>
        </is>
      </c>
      <c r="B110" s="7" t="inlineStr">
        <is>
          <t>v1.22 차이</t>
        </is>
      </c>
      <c r="C110" s="7" t="inlineStr">
        <is>
          <t>즉시 보상 vs 누적 잭팟</t>
        </is>
      </c>
      <c r="D110" s="7" t="inlineStr">
        <is>
          <t>일일 vs 주간</t>
        </is>
      </c>
      <c r="E110" s="7" t="inlineStr">
        <is>
          <t>개인 vs 서버</t>
        </is>
      </c>
    </row>
    <row r="111">
      <c r="A111" s="8" t="inlineStr">
        <is>
          <t>v1.65</t>
        </is>
      </c>
      <c r="B111" s="8" t="inlineStr">
        <is>
          <t>신규+통합</t>
        </is>
      </c>
      <c r="C111" s="8" t="inlineStr">
        <is>
          <t>game/title_collection.js</t>
        </is>
      </c>
      <c r="D111" s="8" t="inlineStr">
        <is>
          <t>칭호 컬렉션 메타</t>
        </is>
      </c>
      <c r="E111" s="8" t="inlineStr">
        <is>
          <t>8 마일스톤 + 4 카테고리</t>
        </is>
      </c>
    </row>
    <row r="112">
      <c r="A112" s="7" t="inlineStr">
        <is>
          <t>v1.65</t>
        </is>
      </c>
      <c r="B112" s="7" t="inlineStr">
        <is>
          <t>마일스톤</t>
        </is>
      </c>
      <c r="C112" s="7" t="inlineStr">
        <is>
          <t>3/5/8/12/16/20/25/30</t>
        </is>
      </c>
      <c r="D112" s="7" t="inlineStr">
        <is>
          <t>각 단계별 영구 보너스 누적</t>
        </is>
      </c>
      <c r="E112" s="7" t="inlineStr">
        <is>
          <t>30개: +100 ATK/DEF, +30% EXP, allMulti +5%</t>
        </is>
      </c>
    </row>
    <row r="113">
      <c r="A113" s="8" t="inlineStr">
        <is>
          <t>v1.65</t>
        </is>
      </c>
      <c r="B113" s="8" t="inlineStr">
        <is>
          <t>카테고리</t>
        </is>
      </c>
      <c r="C113" s="8" t="inlineStr">
        <is>
          <t>전투(5)/경제(3)/소셜(3)/전설(3)</t>
        </is>
      </c>
      <c r="D113" s="8" t="inlineStr">
        <is>
          <t>완성 시 추가 보너스</t>
        </is>
      </c>
      <c r="E113" s="8" t="inlineStr">
        <is>
          <t>전투: ATK+30 크리+5%</t>
        </is>
      </c>
    </row>
    <row r="114">
      <c r="A114" s="7" t="inlineStr">
        <is>
          <t>v1.64</t>
        </is>
      </c>
      <c r="B114" s="7" t="inlineStr">
        <is>
          <t>신규+통합</t>
        </is>
      </c>
      <c r="C114" s="7" t="inlineStr">
        <is>
          <t>game/guild_war.js</t>
        </is>
      </c>
      <c r="D114" s="7" t="inlineStr">
        <is>
          <t>길드 전쟁</t>
        </is>
      </c>
      <c r="E114" s="7" t="inlineStr">
        <is>
          <t>7일 시즌</t>
        </is>
      </c>
    </row>
    <row r="115">
      <c r="A115" s="8" t="inlineStr">
        <is>
          <t>v1.64</t>
        </is>
      </c>
      <c r="B115" s="8" t="inlineStr">
        <is>
          <t>승리 보상</t>
        </is>
      </c>
      <c r="C115" s="8" t="inlineStr">
        <is>
          <t>100000G + 500💎 + war_victor 칭호</t>
        </is>
      </c>
      <c r="D115" s="8" t="inlineStr">
        <is>
          <t>패배: 20000G + 50💎</t>
        </is>
      </c>
      <c r="E115" s="8" t="inlineStr">
        <is>
          <t>무승부: 50000G + 200💎</t>
        </is>
      </c>
    </row>
    <row r="116">
      <c r="A116" s="7" t="inlineStr">
        <is>
          <t>v1.64</t>
        </is>
      </c>
      <c r="B116" s="7" t="inlineStr">
        <is>
          <t>검증</t>
        </is>
      </c>
      <c r="C116" s="7" t="inlineStr">
        <is>
          <t>Phoenix vs Dragons</t>
        </is>
      </c>
      <c r="D116" s="7" t="inlineStr">
        <is>
          <t>3킬+1거점=80점 vs 1킬=10점</t>
        </is>
      </c>
      <c r="E116" s="7" t="inlineStr">
        <is>
          <t>Phoenix 승리</t>
        </is>
      </c>
    </row>
    <row r="117">
      <c r="A117" s="8" t="inlineStr">
        <is>
          <t>v1.63</t>
        </is>
      </c>
      <c r="B117" s="8" t="inlineStr">
        <is>
          <t>신규+통합</t>
        </is>
      </c>
      <c r="C117" s="8" t="inlineStr">
        <is>
          <t>game/pvp_tournament.js</t>
        </is>
      </c>
      <c r="D117" s="8" t="inlineStr">
        <is>
          <t>16강 토너먼트</t>
        </is>
      </c>
      <c r="E117" s="8" t="inlineStr">
        <is>
          <t>매일 3회 정각</t>
        </is>
      </c>
    </row>
    <row r="118">
      <c r="A118" s="7" t="inlineStr">
        <is>
          <t>v1.63</t>
        </is>
      </c>
      <c r="B118" s="7" t="inlineStr">
        <is>
          <t>상금</t>
        </is>
      </c>
      <c r="C118" s="7" t="inlineStr">
        <is>
          <t>1위 50000G+500💎+칭호</t>
        </is>
      </c>
      <c r="D118" s="7" t="inlineStr">
        <is>
          <t>2위 25000G+250💎</t>
        </is>
      </c>
      <c r="E118" s="7" t="inlineStr">
        <is>
          <t>3-4위 15000G+150💎</t>
        </is>
      </c>
    </row>
    <row r="119">
      <c r="A119" s="8" t="inlineStr">
        <is>
          <t>v1.63</t>
        </is>
      </c>
      <c r="B119" s="8" t="inlineStr">
        <is>
          <t>검증</t>
        </is>
      </c>
      <c r="C119" s="8" t="inlineStr">
        <is>
          <t>4명 → 2매치 → 결승</t>
        </is>
      </c>
      <c r="D119" s="8" t="inlineStr">
        <is>
          <t>Player1 우승</t>
        </is>
      </c>
      <c r="E119" s="8" t="inlineStr">
        <is>
          <t>4명 순위 산출</t>
        </is>
      </c>
    </row>
    <row r="120">
      <c r="A120" s="7" t="inlineStr">
        <is>
          <t>v1.62</t>
        </is>
      </c>
      <c r="B120" s="7" t="inlineStr">
        <is>
          <t>신규+통합</t>
        </is>
      </c>
      <c r="C120" s="7" t="inlineStr">
        <is>
          <t>game/wisdom.js</t>
        </is>
      </c>
      <c r="D120" s="7" t="inlineStr">
        <is>
          <t>지혜 시스템</t>
        </is>
      </c>
      <c r="E120" s="7" t="inlineStr">
        <is>
          <t>5 브랜치 × Lv30</t>
        </is>
      </c>
    </row>
    <row r="121">
      <c r="A121" s="8" t="inlineStr">
        <is>
          <t>v1.62</t>
        </is>
      </c>
      <c r="B121" s="8" t="inlineStr">
        <is>
          <t>📚 학자</t>
        </is>
      </c>
      <c r="C121" s="8" t="inlineStr">
        <is>
          <t>NPC대화/책 → expBonus</t>
        </is>
      </c>
      <c r="D121" s="8" t="inlineStr">
        <is>
          <t>+0.5%/Lv</t>
        </is>
      </c>
      <c r="E121" s="8" t="inlineStr">
        <is>
          <t>만렙 +14.5%</t>
        </is>
      </c>
    </row>
    <row r="122">
      <c r="A122" s="7" t="inlineStr">
        <is>
          <t>v1.62</t>
        </is>
      </c>
      <c r="B122" s="7" t="inlineStr">
        <is>
          <t>🗺️ 탐험가</t>
        </is>
      </c>
      <c r="C122" s="7" t="inlineStr">
        <is>
          <t>지역발견/보물 → speed</t>
        </is>
      </c>
      <c r="D122" s="7" t="inlineStr">
        <is>
          <t>+0.1/Lv</t>
        </is>
      </c>
      <c r="E122" s="7" t="inlineStr">
        <is>
          <t>만렙 +2.9</t>
        </is>
      </c>
    </row>
    <row r="123">
      <c r="A123" s="8" t="inlineStr">
        <is>
          <t>v1.62</t>
        </is>
      </c>
      <c r="B123" s="8" t="inlineStr">
        <is>
          <t>🐟 박물학자</t>
        </is>
      </c>
      <c r="C123" s="8" t="inlineStr">
        <is>
          <t>도감/낚시/펫 → dropRate</t>
        </is>
      </c>
      <c r="D123" s="8" t="inlineStr">
        <is>
          <t>+0.5%/Lv</t>
        </is>
      </c>
      <c r="E123" s="8" t="inlineStr">
        <is>
          <t>만렙 +14.5%</t>
        </is>
      </c>
    </row>
    <row r="124">
      <c r="A124" s="7" t="inlineStr">
        <is>
          <t>v1.62</t>
        </is>
      </c>
      <c r="B124" s="7" t="inlineStr">
        <is>
          <t>🔨 장인</t>
        </is>
      </c>
      <c r="C124" s="7" t="inlineStr">
        <is>
          <t>제작/강화/변환 → craftSuccess</t>
        </is>
      </c>
      <c r="D124" s="7" t="inlineStr">
        <is>
          <t>+0.5%/Lv</t>
        </is>
      </c>
      <c r="E124" s="7" t="inlineStr">
        <is>
          <t>만렙 +14.5%</t>
        </is>
      </c>
    </row>
    <row r="125">
      <c r="A125" s="8" t="inlineStr">
        <is>
          <t>v1.62</t>
        </is>
      </c>
      <c r="B125" s="8" t="inlineStr">
        <is>
          <t>🤝 외교관</t>
        </is>
      </c>
      <c r="C125" s="8" t="inlineStr">
        <is>
          <t>교역/호감도/길드 → tradeBonus</t>
        </is>
      </c>
      <c r="D125" s="8" t="inlineStr">
        <is>
          <t>+0.5%/Lv</t>
        </is>
      </c>
      <c r="E125" s="8" t="inlineStr">
        <is>
          <t>만렙 +14.5%</t>
        </is>
      </c>
    </row>
    <row r="126">
      <c r="A126" s="7" t="inlineStr">
        <is>
          <t>v1.61</t>
        </is>
      </c>
      <c r="B126" s="7" t="inlineStr">
        <is>
          <t>신규+통합</t>
        </is>
      </c>
      <c r="C126" s="7" t="inlineStr">
        <is>
          <t>game/companion.js</t>
        </is>
      </c>
      <c r="D126" s="7" t="inlineStr">
        <is>
          <t>동료 시스템</t>
        </is>
      </c>
      <c r="E126" s="7" t="inlineStr">
        <is>
          <t>6 NPC + 호감도</t>
        </is>
      </c>
    </row>
    <row r="127">
      <c r="A127" s="8" t="inlineStr">
        <is>
          <t>v1.61</t>
        </is>
      </c>
      <c r="B127" s="8" t="inlineStr">
        <is>
          <t>🎵 아리아</t>
        </is>
      </c>
      <c r="C127" s="8" t="inlineStr">
        <is>
          <t>음유시인 / Lv10+</t>
        </is>
      </c>
      <c r="D127" s="8" t="inlineStr">
        <is>
          <t>EXP +10% / 공속 +5%</t>
        </is>
      </c>
      <c r="E127" s="8" t="inlineStr">
        <is>
          <t>최애: 비단</t>
        </is>
      </c>
    </row>
    <row r="128">
      <c r="A128" s="7" t="inlineStr">
        <is>
          <t>v1.61</t>
        </is>
      </c>
      <c r="B128" s="7" t="inlineStr">
        <is>
          <t>⚔️ 브루투스</t>
        </is>
      </c>
      <c r="C128" s="7" t="inlineStr">
        <is>
          <t>검사 / Lv20+</t>
        </is>
      </c>
      <c r="D128" s="7" t="inlineStr">
        <is>
          <t>ATK +25 / 크리 +5%</t>
        </is>
      </c>
      <c r="E128" s="7" t="inlineStr">
        <is>
          <t>최애: 철광석</t>
        </is>
      </c>
    </row>
    <row r="129">
      <c r="A129" s="8" t="inlineStr">
        <is>
          <t>v1.61</t>
        </is>
      </c>
      <c r="B129" s="8" t="inlineStr">
        <is>
          <t>✨ 셀레스테</t>
        </is>
      </c>
      <c r="C129" s="8" t="inlineStr">
        <is>
          <t>마법사 / Lv25+</t>
        </is>
      </c>
      <c r="D129" s="8" t="inlineStr">
        <is>
          <t>크리DMG +20% / EXP +15%</t>
        </is>
      </c>
      <c r="E129" s="8" t="inlineStr">
        <is>
          <t>최애: 마법수정</t>
        </is>
      </c>
    </row>
    <row r="130">
      <c r="A130" s="7" t="inlineStr">
        <is>
          <t>v1.61</t>
        </is>
      </c>
      <c r="B130" s="7" t="inlineStr">
        <is>
          <t>🐲 드라고</t>
        </is>
      </c>
      <c r="C130" s="7" t="inlineStr">
        <is>
          <t>용의 후예</t>
        </is>
      </c>
      <c r="D130" s="7" t="inlineStr">
        <is>
          <t>ATK +30 / 화염 +20%</t>
        </is>
      </c>
      <c r="E130" s="7" t="inlineStr">
        <is>
          <t>최애: 용재료</t>
        </is>
      </c>
    </row>
    <row r="131">
      <c r="A131" s="8" t="inlineStr">
        <is>
          <t>v1.61</t>
        </is>
      </c>
      <c r="B131" s="8" t="inlineStr">
        <is>
          <t>🔥 엠버</t>
        </is>
      </c>
      <c r="C131" s="8" t="inlineStr">
        <is>
          <t>도둑</t>
        </is>
      </c>
      <c r="D131" s="8" t="inlineStr">
        <is>
          <t>GOLD +20% / 드롭 +10%</t>
        </is>
      </c>
      <c r="E131" s="8" t="inlineStr">
        <is>
          <t>최애: 보석</t>
        </is>
      </c>
    </row>
    <row r="132">
      <c r="A132" s="7" t="inlineStr">
        <is>
          <t>v1.61</t>
        </is>
      </c>
      <c r="B132" s="7" t="inlineStr">
        <is>
          <t>👼 세라피나</t>
        </is>
      </c>
      <c r="C132" s="7" t="inlineStr">
        <is>
          <t>사제</t>
        </is>
      </c>
      <c r="D132" s="7" t="inlineStr">
        <is>
          <t>HP +200 / HP재생 +30% / 피해 -5%</t>
        </is>
      </c>
      <c r="E132" s="7" t="inlineStr">
        <is>
          <t>최애: 왕의 연회</t>
        </is>
      </c>
    </row>
    <row r="133">
      <c r="A133" s="8" t="inlineStr">
        <is>
          <t>v1.60</t>
        </is>
      </c>
      <c r="B133" s="8" t="inlineStr">
        <is>
          <t>🎯 마일스톤</t>
        </is>
      </c>
      <c r="C133" s="8" t="inlineStr">
        <is>
          <t>60번째 패치</t>
        </is>
      </c>
      <c r="D133" s="8" t="inlineStr">
        <is>
          <t>월드 이벤트 시스템</t>
        </is>
      </c>
      <c r="E133" s="8" t="inlineStr">
        <is>
          <t>game/world_event.js</t>
        </is>
      </c>
    </row>
    <row r="134">
      <c r="A134" s="7" t="inlineStr">
        <is>
          <t>v1.60</t>
        </is>
      </c>
      <c r="B134" s="7" t="inlineStr">
        <is>
          <t>💰 황금시간</t>
        </is>
      </c>
      <c r="C134" s="7" t="inlineStr">
        <is>
          <t>30분 / 30%</t>
        </is>
      </c>
      <c r="D134" s="7" t="inlineStr">
        <is>
          <t>전 서버 골드 ×2</t>
        </is>
      </c>
      <c r="E134" s="7" t="inlineStr">
        <is>
          <t>goldBonus +100%</t>
        </is>
      </c>
    </row>
    <row r="135">
      <c r="A135" s="8" t="inlineStr">
        <is>
          <t>v1.60</t>
        </is>
      </c>
      <c r="B135" s="8" t="inlineStr">
        <is>
          <t>⭐ EXP폭발</t>
        </is>
      </c>
      <c r="C135" s="8" t="inlineStr">
        <is>
          <t>30분 / 30%</t>
        </is>
      </c>
      <c r="D135" s="8" t="inlineStr">
        <is>
          <t>전 서버 EXP ×2</t>
        </is>
      </c>
      <c r="E135" s="8" t="inlineStr">
        <is>
          <t>expBonus +100%</t>
        </is>
      </c>
    </row>
    <row r="136">
      <c r="A136" s="7" t="inlineStr">
        <is>
          <t>v1.60</t>
        </is>
      </c>
      <c r="B136" s="7" t="inlineStr">
        <is>
          <t>🐉 드래곤 침공</t>
        </is>
      </c>
      <c r="C136" s="7" t="inlineStr">
        <is>
          <t>20분 / 15%</t>
        </is>
      </c>
      <c r="D136" s="7" t="inlineStr">
        <is>
          <t>전 지역 드래곤 출현</t>
        </is>
      </c>
      <c r="E136" s="7" t="inlineStr">
        <is>
          <t>특별 드롭</t>
        </is>
      </c>
    </row>
    <row r="137">
      <c r="A137" s="8" t="inlineStr">
        <is>
          <t>v1.60</t>
        </is>
      </c>
      <c r="B137" s="8" t="inlineStr">
        <is>
          <t>☄️ 운석우</t>
        </is>
      </c>
      <c r="C137" s="8" t="inlineStr">
        <is>
          <t>15분 / 10%</t>
        </is>
      </c>
      <c r="D137" s="8" t="inlineStr">
        <is>
          <t>희귀 재료 드롭</t>
        </is>
      </c>
      <c r="E137" s="8" t="inlineStr">
        <is>
          <t>용재료/영혼석/별가루</t>
        </is>
      </c>
    </row>
    <row r="138">
      <c r="A138" s="7" t="inlineStr">
        <is>
          <t>v1.60</t>
        </is>
      </c>
      <c r="B138" s="7" t="inlineStr">
        <is>
          <t>🌟 보물 비</t>
        </is>
      </c>
      <c r="C138" s="7" t="inlineStr">
        <is>
          <t>15분 / 10%</t>
        </is>
      </c>
      <c r="D138" s="7" t="inlineStr">
        <is>
          <t>맵 곳곳 보물 50개</t>
        </is>
      </c>
      <c r="E138" s="7" t="inlineStr">
        <is>
          <t>common 등급</t>
        </is>
      </c>
    </row>
    <row r="139">
      <c r="A139" s="8" t="inlineStr">
        <is>
          <t>v1.60</t>
        </is>
      </c>
      <c r="B139" s="8" t="inlineStr">
        <is>
          <t>🌙 혈월</t>
        </is>
      </c>
      <c r="C139" s="8" t="inlineStr">
        <is>
          <t>60분 / 5%</t>
        </is>
      </c>
      <c r="D139" s="8" t="inlineStr">
        <is>
          <t>PvP ×3 / 몬스터 강화</t>
        </is>
      </c>
      <c r="E139" s="8" t="inlineStr">
        <is>
          <t>가장 희귀</t>
        </is>
      </c>
    </row>
    <row r="140">
      <c r="A140" s="7" t="inlineStr">
        <is>
          <t>v1.59</t>
        </is>
      </c>
      <c r="B140" s="7" t="inlineStr">
        <is>
          <t>신규+통합</t>
        </is>
      </c>
      <c r="C140" s="7" t="inlineStr">
        <is>
          <t>game/postoffice.js</t>
        </is>
      </c>
      <c r="D140" s="7" t="inlineStr">
        <is>
          <t>택배 운송</t>
        </is>
      </c>
      <c r="E140" s="7" t="inlineStr">
        <is>
          <t>5종 패키지</t>
        </is>
      </c>
    </row>
    <row r="141">
      <c r="A141" s="8" t="inlineStr">
        <is>
          <t>v1.59</t>
        </is>
      </c>
      <c r="B141" s="8" t="inlineStr">
        <is>
          <t>왕실 봉인</t>
        </is>
      </c>
      <c r="C141" s="8" t="inlineStr">
        <is>
          <t>5000G 베이스</t>
        </is>
      </c>
      <c r="D141" s="8" t="inlineStr">
        <is>
          <t>거리당 10% 보너스</t>
        </is>
      </c>
      <c r="E141" s="8" t="inlineStr">
        <is>
          <t>최대 ~2만G 가능</t>
        </is>
      </c>
    </row>
    <row r="142">
      <c r="A142" s="7" t="inlineStr">
        <is>
          <t>v1.59</t>
        </is>
      </c>
      <c r="B142" s="7" t="inlineStr">
        <is>
          <t>data/zones 의존</t>
        </is>
      </c>
      <c r="C142" s="7" t="inlineStr">
        <is>
          <t>마을 (safe:true) 자동 추출</t>
        </is>
      </c>
      <c r="D142" s="7" t="inlineStr">
        <is>
          <t>거리 기반 보상</t>
        </is>
      </c>
      <c r="E142" s="7" t="inlineStr">
        <is>
          <t>30분 제한</t>
        </is>
      </c>
    </row>
    <row r="143">
      <c r="A143" s="8" t="inlineStr">
        <is>
          <t>v1.58</t>
        </is>
      </c>
      <c r="B143" s="8" t="inlineStr">
        <is>
          <t>신규+통합</t>
        </is>
      </c>
      <c r="C143" s="8" t="inlineStr">
        <is>
          <t>game/transmog.js</t>
        </is>
      </c>
      <c r="D143" s="8" t="inlineStr">
        <is>
          <t>외형 변환</t>
        </is>
      </c>
      <c r="E143" s="8" t="inlineStr">
        <is>
          <t>12종 스킨</t>
        </is>
      </c>
    </row>
    <row r="144">
      <c r="A144" s="7" t="inlineStr">
        <is>
          <t>v1.58</t>
        </is>
      </c>
      <c r="B144" s="7" t="inlineStr">
        <is>
          <t>신화 스킨</t>
        </is>
      </c>
      <c r="C144" s="7" t="inlineStr">
        <is>
          <t>태초의 오라</t>
        </is>
      </c>
      <c r="D144" s="7" t="inlineStr">
        <is>
          <t>모든 카테고리 1위 + 태초 구슬</t>
        </is>
      </c>
      <c r="E144" s="7" t="inlineStr">
        <is>
          <t>#ff00ff cosmic</t>
        </is>
      </c>
    </row>
    <row r="145">
      <c r="A145" s="8" t="inlineStr">
        <is>
          <t>v1.58</t>
        </is>
      </c>
      <c r="B145" s="8" t="inlineStr">
        <is>
          <t>전설 스킨</t>
        </is>
      </c>
      <c r="C145" s="8" t="inlineStr">
        <is>
          <t>천공의 검 / 왕의 왕관</t>
        </is>
      </c>
      <c r="D145" s="8" t="inlineStr">
        <is>
          <t>레이드 MVP / 주간 1위</t>
        </is>
      </c>
      <c r="E145" s="8" t="inlineStr">
        <is>
          <t>금색 effects</t>
        </is>
      </c>
    </row>
    <row r="146">
      <c r="A146" s="7" t="inlineStr">
        <is>
          <t>v1.57</t>
        </is>
      </c>
      <c r="B146" s="7" t="inlineStr">
        <is>
          <t>신규+통합</t>
        </is>
      </c>
      <c r="C146" s="7" t="inlineStr">
        <is>
          <t>game/fortune.js</t>
        </is>
      </c>
      <c r="D146" s="7" t="inlineStr">
        <is>
          <t>일일 운세</t>
        </is>
      </c>
      <c r="E146" s="7" t="inlineStr">
        <is>
          <t>8종 × 24시간 버프</t>
        </is>
      </c>
    </row>
    <row r="147">
      <c r="A147" s="8" t="inlineStr">
        <is>
          <t>v1.57</t>
        </is>
      </c>
      <c r="B147" s="8" t="inlineStr">
        <is>
          <t>대길 (5%)</t>
        </is>
      </c>
      <c r="C147" s="8" t="inlineStr">
        <is>
          <t>goldBonus +30% / expBonus +30% / drop +20% / 크리 +5%</t>
        </is>
      </c>
      <c r="D147" s="8" t="inlineStr">
        <is>
          <t>희귀 운세</t>
        </is>
      </c>
      <c r="E147" s="8" t="inlineStr">
        <is>
          <t>전 서버 알림</t>
        </is>
      </c>
    </row>
    <row r="148">
      <c r="A148" s="7" t="inlineStr">
        <is>
          <t>v1.57</t>
        </is>
      </c>
      <c r="B148" s="7" t="inlineStr">
        <is>
          <t>스트릭</t>
        </is>
      </c>
      <c r="C148" s="7" t="inlineStr">
        <is>
          <t>3일 +5% / 7일 +10% / 14일 +20% / 30일 +30%</t>
        </is>
      </c>
      <c r="D148" s="7" t="inlineStr">
        <is>
          <t>효과 배수 + 골드/다이아 보상</t>
        </is>
      </c>
      <c r="E148" s="7" t="inlineStr">
        <is>
          <t>-</t>
        </is>
      </c>
    </row>
    <row r="149">
      <c r="A149" s="8" t="inlineStr">
        <is>
          <t>v1.56</t>
        </is>
      </c>
      <c r="B149" s="8" t="inlineStr">
        <is>
          <t>신규+통합</t>
        </is>
      </c>
      <c r="C149" s="8" t="inlineStr">
        <is>
          <t>game/insurance.js</t>
        </is>
      </c>
      <c r="D149" s="8" t="inlineStr">
        <is>
          <t>장비 보험</t>
        </is>
      </c>
      <c r="E149" s="8" t="inlineStr">
        <is>
          <t>5등급 × 7일</t>
        </is>
      </c>
    </row>
    <row r="150">
      <c r="A150" s="7" t="inlineStr">
        <is>
          <t>v1.56</t>
        </is>
      </c>
      <c r="B150" s="7" t="inlineStr">
        <is>
          <t>프리미엄</t>
        </is>
      </c>
      <c r="C150" s="7" t="inlineStr">
        <is>
          <t>일반 100G / 고급 500G / 희귀 2000G</t>
        </is>
      </c>
      <c r="D150" s="7" t="inlineStr">
        <is>
          <t>영웅 8000G / 전설 30000G</t>
        </is>
      </c>
      <c r="E150" s="7" t="inlineStr">
        <is>
          <t>자동갱신 -10%</t>
        </is>
      </c>
    </row>
    <row r="151">
      <c r="A151" s="8" t="inlineStr">
        <is>
          <t>v1.56</t>
        </is>
      </c>
      <c r="B151" s="8" t="inlineStr">
        <is>
          <t>보장</t>
        </is>
      </c>
      <c r="C151" s="8" t="inlineStr">
        <is>
          <t>사망: 장비 환급 / 강화 실패: 골드 50%</t>
        </is>
      </c>
      <c r="D151" s="8" t="inlineStr">
        <is>
          <t>만료된 비자동 정책 자동 청소</t>
        </is>
      </c>
      <c r="E151" s="8" t="inlineStr">
        <is>
          <t>data/equipment.js 의존</t>
        </is>
      </c>
    </row>
    <row r="152">
      <c r="A152" s="7" t="inlineStr">
        <is>
          <t>v1.55</t>
        </is>
      </c>
      <c r="B152" s="7" t="inlineStr">
        <is>
          <t>신규+통합</t>
        </is>
      </c>
      <c r="C152" s="7" t="inlineStr">
        <is>
          <t>game/expedition.js</t>
        </is>
      </c>
      <c r="D152" s="7" t="inlineStr">
        <is>
          <t>멀티 스테이지 원정</t>
        </is>
      </c>
      <c r="E152" s="7" t="inlineStr">
        <is>
          <t>3종 × 5~7 단계</t>
        </is>
      </c>
    </row>
    <row r="153">
      <c r="A153" s="8" t="inlineStr">
        <is>
          <t>v1.55</t>
        </is>
      </c>
      <c r="B153" s="8" t="inlineStr">
        <is>
          <t>드래곤 슬레이어</t>
        </is>
      </c>
      <c r="C153" s="8" t="inlineStr">
        <is>
          <t>7단계 / Lv30+</t>
        </is>
      </c>
      <c r="D153" s="8" t="inlineStr">
        <is>
          <t>단서→유적→둥지→분기→격파→전리품→귀환</t>
        </is>
      </c>
      <c r="E153" s="8" t="inlineStr">
        <is>
          <t>드래곤 소드 + 칭호</t>
        </is>
      </c>
    </row>
    <row r="154">
      <c r="A154" s="7" t="inlineStr">
        <is>
          <t>v1.55</t>
        </is>
      </c>
      <c r="B154" s="7" t="inlineStr">
        <is>
          <t>보물 사냥꾼</t>
        </is>
      </c>
      <c r="C154" s="7" t="inlineStr">
        <is>
          <t>5단계 / Lv15+</t>
        </is>
      </c>
      <c r="D154" s="7" t="inlineStr">
        <is>
          <t>지도→함정→분기→발굴→귀환</t>
        </is>
      </c>
      <c r="E154" s="7" t="inlineStr">
        <is>
          <t>신화 유물 상자</t>
        </is>
      </c>
    </row>
    <row r="155">
      <c r="A155" s="8" t="inlineStr">
        <is>
          <t>v1.55</t>
        </is>
      </c>
      <c r="B155" s="8" t="inlineStr">
        <is>
          <t>공허의 탐험가</t>
        </is>
      </c>
      <c r="C155" s="8" t="inlineStr">
        <is>
          <t>7단계 / Lv40+</t>
        </is>
      </c>
      <c r="D155" s="8" t="inlineStr">
        <is>
          <t>균열→안정화→지식→분기→격파→봉인→귀환</t>
        </is>
      </c>
      <c r="E155" s="8" t="inlineStr">
        <is>
          <t>태초의 구슬 + void_walker 칭호</t>
        </is>
      </c>
    </row>
    <row r="156">
      <c r="A156" s="7" t="inlineStr">
        <is>
          <t>v1.54</t>
        </is>
      </c>
      <c r="B156" s="7" t="inlineStr">
        <is>
          <t>신규+통합</t>
        </is>
      </c>
      <c r="C156" s="7" t="inlineStr">
        <is>
          <t>game/raid.js</t>
        </is>
      </c>
      <c r="D156" s="7" t="inlineStr">
        <is>
          <t>대규모 레이드</t>
        </is>
      </c>
      <c r="E156" s="7" t="inlineStr">
        <is>
          <t>3 보스 × 3~5 페이즈</t>
        </is>
      </c>
    </row>
    <row r="157">
      <c r="A157" s="8" t="inlineStr">
        <is>
          <t>v1.54</t>
        </is>
      </c>
      <c r="B157" s="8" t="inlineStr">
        <is>
          <t>지옥불 군주</t>
        </is>
      </c>
      <c r="C157" s="8" t="inlineStr">
        <is>
          <t>60만 HP / 3페이즈</t>
        </is>
      </c>
      <c r="D157" s="8" t="inlineStr">
        <is>
          <t>MVP: 30000G + 200💎 + 망토</t>
        </is>
      </c>
      <c r="E157" s="8" t="inlineStr">
        <is>
          <t>Lv30+, 10~30인</t>
        </is>
      </c>
    </row>
    <row r="158">
      <c r="A158" s="7" t="inlineStr">
        <is>
          <t>v1.54</t>
        </is>
      </c>
      <c r="B158" s="7" t="inlineStr">
        <is>
          <t>심연의 거인</t>
        </is>
      </c>
      <c r="C158" s="7" t="inlineStr">
        <is>
          <t>140만 HP / 4페이즈</t>
        </is>
      </c>
      <c r="D158" s="7" t="inlineStr">
        <is>
          <t>MVP: 60000G + 400💎 + 구슬</t>
        </is>
      </c>
      <c r="E158" s="7" t="inlineStr">
        <is>
          <t>Lv40+, 15~30인</t>
        </is>
      </c>
    </row>
    <row r="159">
      <c r="A159" s="8" t="inlineStr">
        <is>
          <t>v1.54</t>
        </is>
      </c>
      <c r="B159" s="8" t="inlineStr">
        <is>
          <t>천공의 수호자</t>
        </is>
      </c>
      <c r="C159" s="8" t="inlineStr">
        <is>
          <t>310만 HP / 5페이즈</t>
        </is>
      </c>
      <c r="D159" s="8" t="inlineStr">
        <is>
          <t>MVP: 150000G + 1000💎 + 검</t>
        </is>
      </c>
      <c r="E159" s="8" t="inlineStr">
        <is>
          <t>Lv50+, 20~30인</t>
        </is>
      </c>
    </row>
    <row r="160">
      <c r="A160" s="7" t="inlineStr">
        <is>
          <t>v1.53</t>
        </is>
      </c>
      <c r="B160" s="7" t="inlineStr">
        <is>
          <t>신규+통합</t>
        </is>
      </c>
      <c r="C160" s="7" t="inlineStr">
        <is>
          <t>game/transmutation.js</t>
        </is>
      </c>
      <c r="D160" s="7" t="inlineStr">
        <is>
          <t>변환 시스템</t>
        </is>
      </c>
      <c r="E160" s="7" t="inlineStr">
        <is>
          <t>분해/정제/압축/업그레이드</t>
        </is>
      </c>
    </row>
    <row r="161">
      <c r="A161" s="8" t="inlineStr">
        <is>
          <t>v1.53</t>
        </is>
      </c>
      <c r="B161" s="8" t="inlineStr">
        <is>
          <t>분해</t>
        </is>
      </c>
      <c r="C161" s="8" t="inlineStr">
        <is>
          <t>5등급별 yield</t>
        </is>
      </c>
      <c r="D161" s="8" t="inlineStr">
        <is>
          <t>일반:마법재료1 / 전설:용재료1+영혼석5+보석2</t>
        </is>
      </c>
      <c r="E161" s="8" t="inlineStr">
        <is>
          <t>귀속 장비 제외</t>
        </is>
      </c>
    </row>
    <row r="162">
      <c r="A162" s="7" t="inlineStr">
        <is>
          <t>v1.53</t>
        </is>
      </c>
      <c r="B162" s="7" t="inlineStr">
        <is>
          <t>업그레이드</t>
        </is>
      </c>
      <c r="C162" s="7" t="inlineStr">
        <is>
          <t>mat_magic 10 → mat_soul 1</t>
        </is>
      </c>
      <c r="D162" s="7" t="inlineStr">
        <is>
          <t>70% 성공률 / 1000G</t>
        </is>
      </c>
      <c r="E162" s="7" t="inlineStr">
        <is>
          <t>실패 시 재료 소실</t>
        </is>
      </c>
    </row>
    <row r="163">
      <c r="A163" s="8" t="inlineStr">
        <is>
          <t>v1.52</t>
        </is>
      </c>
      <c r="B163" s="8" t="inlineStr">
        <is>
          <t>신규+통합</t>
        </is>
      </c>
      <c r="C163" s="8" t="inlineStr">
        <is>
          <t>game/jobs.js</t>
        </is>
      </c>
      <c r="D163" s="8" t="inlineStr">
        <is>
          <t>부직업 시스템</t>
        </is>
      </c>
      <c r="E163" s="8" t="inlineStr">
        <is>
          <t>5직업 × Lv50</t>
        </is>
      </c>
    </row>
    <row r="164">
      <c r="A164" s="7" t="inlineStr">
        <is>
          <t>v1.52</t>
        </is>
      </c>
      <c r="B164" s="7" t="inlineStr">
        <is>
          <t>대장장이</t>
        </is>
      </c>
      <c r="C164" s="7" t="inlineStr">
        <is>
          <t>enchantSuccess</t>
        </is>
      </c>
      <c r="D164" s="7" t="inlineStr">
        <is>
          <t>강화 성공률 +0.5%/Lv</t>
        </is>
      </c>
      <c r="E164" s="7" t="inlineStr">
        <is>
          <t>일일 5회 제작</t>
        </is>
      </c>
    </row>
    <row r="165">
      <c r="A165" s="8" t="inlineStr">
        <is>
          <t>v1.52</t>
        </is>
      </c>
      <c r="B165" s="8" t="inlineStr">
        <is>
          <t>연금술사</t>
        </is>
      </c>
      <c r="C165" s="8" t="inlineStr">
        <is>
          <t>buffDuration</t>
        </is>
      </c>
      <c r="D165" s="8" t="inlineStr">
        <is>
          <t>버프 지속 +1%/Lv</t>
        </is>
      </c>
      <c r="E165" s="8" t="inlineStr">
        <is>
          <t>일일 3회 엘릭서</t>
        </is>
      </c>
    </row>
    <row r="166">
      <c r="A166" s="7" t="inlineStr">
        <is>
          <t>v1.52</t>
        </is>
      </c>
      <c r="B166" s="7" t="inlineStr">
        <is>
          <t>약초학자</t>
        </is>
      </c>
      <c r="C166" s="7" t="inlineStr">
        <is>
          <t>farmSpeed</t>
        </is>
      </c>
      <c r="D166" s="7" t="inlineStr">
        <is>
          <t>농장 시간 -0.5%/Lv</t>
        </is>
      </c>
      <c r="E166" s="7" t="inlineStr">
        <is>
          <t>일일 5회 수확</t>
        </is>
      </c>
    </row>
    <row r="167">
      <c r="A167" s="8" t="inlineStr">
        <is>
          <t>v1.52</t>
        </is>
      </c>
      <c r="B167" s="8" t="inlineStr">
        <is>
          <t>광부</t>
        </is>
      </c>
      <c r="C167" s="8" t="inlineStr">
        <is>
          <t>goldFromMonster</t>
        </is>
      </c>
      <c r="D167" s="8" t="inlineStr">
        <is>
          <t>몬스터 골드 +0.5%/Lv</t>
        </is>
      </c>
      <c r="E167" s="8" t="inlineStr">
        <is>
          <t>일일 30 처치</t>
        </is>
      </c>
    </row>
    <row r="168">
      <c r="A168" s="7" t="inlineStr">
        <is>
          <t>v1.52</t>
        </is>
      </c>
      <c r="B168" s="7" t="inlineStr">
        <is>
          <t>인첸터</t>
        </is>
      </c>
      <c r="C168" s="7" t="inlineStr">
        <is>
          <t>runePower</t>
        </is>
      </c>
      <c r="D168" s="7" t="inlineStr">
        <is>
          <t>룬 효과 +0.5%/Lv</t>
        </is>
      </c>
      <c r="E168" s="7" t="inlineStr">
        <is>
          <t>일일 2회 룬 제작</t>
        </is>
      </c>
    </row>
    <row r="169">
      <c r="A169" s="8" t="inlineStr">
        <is>
          <t>v1.51</t>
        </is>
      </c>
      <c r="B169" s="8" t="inlineStr">
        <is>
          <t>신규+통합</t>
        </is>
      </c>
      <c r="C169" s="8" t="inlineStr">
        <is>
          <t>game/black_market.js</t>
        </is>
      </c>
      <c r="D169" s="8" t="inlineStr">
        <is>
          <t>6시간 갱신 미스터리 상점</t>
        </is>
      </c>
      <c r="E169" s="8" t="inlineStr">
        <is>
          <t>13종 풀 / 4슬롯</t>
        </is>
      </c>
    </row>
    <row r="170">
      <c r="A170" s="7" t="inlineStr">
        <is>
          <t>v1.51</t>
        </is>
      </c>
      <c r="B170" s="7" t="inlineStr">
        <is>
          <t>등급 분포</t>
        </is>
      </c>
      <c r="C170" s="7" t="inlineStr">
        <is>
          <t>희귀 70% / 영웅 25% / 전설 5%</t>
        </is>
      </c>
      <c r="D170" s="7" t="inlineStr">
        <is>
          <t>가중치 RNG</t>
        </is>
      </c>
      <c r="E170" s="7" t="inlineStr">
        <is>
          <t>결정적 시드 (모두 동일 상품)</t>
        </is>
      </c>
    </row>
    <row r="171">
      <c r="A171" s="8" t="inlineStr">
        <is>
          <t>v1.51</t>
        </is>
      </c>
      <c r="B171" s="8" t="inlineStr">
        <is>
          <t>한정 상품</t>
        </is>
      </c>
      <c r="C171" s="8" t="inlineStr">
        <is>
          <t>신화 펫 / 시즌 패스 스킵</t>
        </is>
      </c>
      <c r="D171" s="8" t="inlineStr">
        <is>
          <t>환생 축복 / 시간 결정</t>
        </is>
      </c>
      <c r="E171" s="8" t="inlineStr">
        <is>
          <t>다이아 4000~8000</t>
        </is>
      </c>
    </row>
    <row r="172">
      <c r="A172" s="7" t="inlineStr">
        <is>
          <t>v1.50</t>
        </is>
      </c>
      <c r="B172" s="7" t="inlineStr">
        <is>
          <t>🎉 마일스톤</t>
        </is>
      </c>
      <c r="C172" s="7" t="inlineStr">
        <is>
          <t>50번째 패치</t>
        </is>
      </c>
      <c r="D172" s="7" t="inlineStr">
        <is>
          <t>종합 랭킹 시스템</t>
        </is>
      </c>
      <c r="E172" s="7" t="inlineStr">
        <is>
          <t>game/leaderboard.js (200줄)</t>
        </is>
      </c>
    </row>
    <row r="173">
      <c r="A173" s="8" t="inlineStr">
        <is>
          <t>v1.50</t>
        </is>
      </c>
      <c r="B173" s="8" t="inlineStr">
        <is>
          <t>카테고리 10종</t>
        </is>
      </c>
      <c r="C173" s="8" t="inlineStr">
        <is>
          <t>레벨/골드/PvP/사냥꾼/월드보스</t>
        </is>
      </c>
      <c r="D173" s="8" t="inlineStr">
        <is>
          <t>+ 시즌/보스러시/보물/낚시/펫배틀</t>
        </is>
      </c>
      <c r="E173" s="8" t="inlineStr">
        <is>
          <t>v1.20+ 모듈 모두 연계</t>
        </is>
      </c>
    </row>
    <row r="174">
      <c r="A174" s="7" t="inlineStr">
        <is>
          <t>v1.50</t>
        </is>
      </c>
      <c r="B174" s="7" t="inlineStr">
        <is>
          <t>주간 보상</t>
        </is>
      </c>
      <c r="C174" s="7" t="inlineStr">
        <is>
          <t>TOP3 × 10 카테고리 = 30 보상</t>
        </is>
      </c>
      <c r="D174" s="7" t="inlineStr">
        <is>
          <t>1위: 10000G+200💎+칭호</t>
        </is>
      </c>
      <c r="E174" s="7" t="inlineStr">
        <is>
          <t>2위 5000/100, 3위 3000/50</t>
        </is>
      </c>
    </row>
    <row r="175">
      <c r="A175" s="8" t="inlineStr">
        <is>
          <t>v1.49</t>
        </is>
      </c>
      <c r="B175" s="8" t="inlineStr">
        <is>
          <t>신규+통합</t>
        </is>
      </c>
      <c r="C175" s="8" t="inlineStr">
        <is>
          <t>game/runes.js</t>
        </is>
      </c>
      <c r="D175" s="8" t="inlineStr">
        <is>
          <t>룬 시스템</t>
        </is>
      </c>
      <c r="E175" s="8" t="inlineStr">
        <is>
          <t>12종 × 3등급 / 슬롯당 3개</t>
        </is>
      </c>
    </row>
    <row r="176">
      <c r="A176" s="7" t="inlineStr">
        <is>
          <t>v1.49</t>
        </is>
      </c>
      <c r="B176" s="7" t="inlineStr">
        <is>
          <t>룬 워드</t>
        </is>
      </c>
      <c r="C176" s="7" t="inlineStr">
        <is>
          <t>전사 / 수호자 / 학자 / 흡혈귀</t>
        </is>
      </c>
      <c r="D176" s="7" t="inlineStr">
        <is>
          <t>3룬 동시 장착 시 자동 활성</t>
        </is>
      </c>
      <c r="E176" s="7" t="inlineStr">
        <is>
          <t>+ ach_rune_word 업적 추적</t>
        </is>
      </c>
    </row>
    <row r="177">
      <c r="A177" s="8" t="inlineStr">
        <is>
          <t>v1.49</t>
        </is>
      </c>
      <c r="B177" s="8" t="inlineStr">
        <is>
          <t>검증</t>
        </is>
      </c>
      <c r="C177" s="8" t="inlineStr">
        <is>
          <t>전사 워드</t>
        </is>
      </c>
      <c r="D177" s="8" t="inlineStr">
        <is>
          <t>vigor+fury+haste 장착</t>
        </is>
      </c>
      <c r="E177" s="8" t="inlineStr">
        <is>
          <t>ATK +10/+30, 크리 +5%/+10%, 공속 +8%/+15%</t>
        </is>
      </c>
    </row>
    <row r="178">
      <c r="A178" s="7" t="inlineStr">
        <is>
          <t>v1.48</t>
        </is>
      </c>
      <c r="B178" s="7" t="inlineStr">
        <is>
          <t>신규+통합</t>
        </is>
      </c>
      <c r="C178" s="7" t="inlineStr">
        <is>
          <t>game/breeding.js</t>
        </is>
      </c>
      <c r="D178" s="7" t="inlineStr">
        <is>
          <t>펫 교배 시스템</t>
        </is>
      </c>
      <c r="E178" s="7" t="inlineStr">
        <is>
          <t>game/pet.js의 PETS import</t>
        </is>
      </c>
    </row>
    <row r="179">
      <c r="A179" s="8" t="inlineStr">
        <is>
          <t>v1.48</t>
        </is>
      </c>
      <c r="B179" s="8" t="inlineStr">
        <is>
          <t>특별 hybrid</t>
        </is>
      </c>
      <c r="C179" s="8" t="inlineStr">
        <is>
          <t>4종</t>
        </is>
      </c>
      <c r="D179" s="8" t="inlineStr">
        <is>
          <t>특정 부모 조합 시 30% 확률</t>
        </is>
      </c>
      <c r="E179" s="8" t="inlineStr">
        <is>
          <t>슬라임 늑대 등</t>
        </is>
      </c>
    </row>
    <row r="180">
      <c r="A180" s="7" t="inlineStr">
        <is>
          <t>v1.48</t>
        </is>
      </c>
      <c r="B180" s="7" t="inlineStr">
        <is>
          <t>변이</t>
        </is>
      </c>
      <c r="C180" s="7" t="inlineStr">
        <is>
          <t>10% 확률</t>
        </is>
      </c>
      <c r="D180" s="7" t="inlineStr">
        <is>
          <t>부모 효과 +50% 보너스</t>
        </is>
      </c>
      <c r="E180" s="7" t="inlineStr">
        <is>
          <t>일반 자손 대비</t>
        </is>
      </c>
    </row>
    <row r="181">
      <c r="A181" s="8" t="inlineStr">
        <is>
          <t>v1.47</t>
        </is>
      </c>
      <c r="B181" s="8" t="inlineStr">
        <is>
          <t>신규+통합</t>
        </is>
      </c>
      <c r="C181" s="8" t="inlineStr">
        <is>
          <t>game/relic.js</t>
        </is>
      </c>
      <c r="D181" s="8" t="inlineStr">
        <is>
          <t>유물 시스템</t>
        </is>
      </c>
      <c r="E181" s="8" t="inlineStr">
        <is>
          <t>10종 × 동시 3개 장착</t>
        </is>
      </c>
    </row>
    <row r="182">
      <c r="A182" s="7" t="inlineStr">
        <is>
          <t>v1.47</t>
        </is>
      </c>
      <c r="B182" s="7" t="inlineStr">
        <is>
          <t>신화 유물</t>
        </is>
      </c>
      <c r="C182" s="7" t="inlineStr">
        <is>
          <t>태초의 구슬</t>
        </is>
      </c>
      <c r="D182" s="7" t="inlineStr">
        <is>
          <t>신화의 크라켄 / 풀 클리어</t>
        </is>
      </c>
      <c r="E182" s="7" t="inlineStr">
        <is>
          <t>전 스탯 +10% / EXP +30%</t>
        </is>
      </c>
    </row>
    <row r="183">
      <c r="A183" s="8" t="inlineStr">
        <is>
          <t>v1.47</t>
        </is>
      </c>
      <c r="B183" s="8" t="inlineStr">
        <is>
          <t>전설 유물</t>
        </is>
      </c>
      <c r="C183" s="8" t="inlineStr">
        <is>
          <t>불사조 깃털 / 공허의 파편 / 운명의 별</t>
        </is>
      </c>
      <c r="D183" s="8" t="inlineStr">
        <is>
          <t>월드보스/심연/주간1위</t>
        </is>
      </c>
      <c r="E183" s="8" t="inlineStr">
        <is>
          <t>자동 부활 / 처형 / 전스탯 +5%</t>
        </is>
      </c>
    </row>
    <row r="184">
      <c r="A184" s="7" t="inlineStr">
        <is>
          <t>v1.46</t>
        </is>
      </c>
      <c r="B184" s="7" t="inlineStr">
        <is>
          <t>신규+통합</t>
        </is>
      </c>
      <c r="C184" s="7" t="inlineStr">
        <is>
          <t>game/treasure_map.js</t>
        </is>
      </c>
      <c r="D184" s="7" t="inlineStr">
        <is>
          <t>보물 지도 시스템</t>
        </is>
      </c>
      <c r="E184" s="7" t="inlineStr">
        <is>
          <t>5등급 × 무작위 좌표</t>
        </is>
      </c>
    </row>
    <row r="185">
      <c r="A185" s="8" t="inlineStr">
        <is>
          <t>v1.46</t>
        </is>
      </c>
      <c r="B185" s="8" t="inlineStr">
        <is>
          <t>등급</t>
        </is>
      </c>
      <c r="C185" s="8" t="inlineStr">
        <is>
          <t>일반/고급/희귀/영웅/전설</t>
        </is>
      </c>
      <c r="D185" s="8" t="inlineStr">
        <is>
          <t>각 등급별 보상 풀</t>
        </is>
      </c>
      <c r="E185" s="8" t="inlineStr">
        <is>
          <t>전설 80000G + 500💎</t>
        </is>
      </c>
    </row>
    <row r="186">
      <c r="A186" s="7" t="inlineStr">
        <is>
          <t>v1.46</t>
        </is>
      </c>
      <c r="B186" s="7" t="inlineStr">
        <is>
          <t>메커니즘</t>
        </is>
      </c>
      <c r="C186" s="7" t="inlineStr">
        <is>
          <t>거리 힌트</t>
        </is>
      </c>
      <c r="D186" s="7" t="inlineStr">
        <is>
          <t>🔥/🌡️/☀️/😐/❄️/🧊</t>
        </is>
      </c>
      <c r="E186" s="7" t="inlineStr">
        <is>
          <t>5유닛 이내 발굴 가능</t>
        </is>
      </c>
    </row>
    <row r="187">
      <c r="A187" s="8" t="inlineStr">
        <is>
          <t>v1.45</t>
        </is>
      </c>
      <c r="B187" s="8" t="inlineStr">
        <is>
          <t>신규+통합</t>
        </is>
      </c>
      <c r="C187" s="8" t="inlineStr">
        <is>
          <t>game/training.js</t>
        </is>
      </c>
      <c r="D187" s="8" t="inlineStr">
        <is>
          <t>일일 훈련 모듈</t>
        </is>
      </c>
      <c r="E187" s="8" t="inlineStr">
        <is>
          <t>5드릴 × 30랭크 + 임시 버프</t>
        </is>
      </c>
    </row>
    <row r="188">
      <c r="A188" s="7" t="inlineStr">
        <is>
          <t>v1.45</t>
        </is>
      </c>
      <c r="B188" s="7" t="inlineStr">
        <is>
          <t>드릴</t>
        </is>
      </c>
      <c r="C188" s="7" t="inlineStr">
        <is>
          <t>전투/방어/민첩/지혜/행운</t>
        </is>
      </c>
      <c r="D188" s="7" t="inlineStr">
        <is>
          <t>매일 5 스태미나</t>
        </is>
      </c>
      <c r="E188" s="7" t="inlineStr">
        <is>
          <t>각 영구 +0.5%~+1</t>
        </is>
      </c>
    </row>
    <row r="189">
      <c r="A189" s="8" t="inlineStr">
        <is>
          <t>v1.45</t>
        </is>
      </c>
      <c r="B189" s="8" t="inlineStr">
        <is>
          <t>보상</t>
        </is>
      </c>
      <c r="C189" s="8" t="inlineStr">
        <is>
          <t>회당 100G + 50EXP</t>
        </is>
      </c>
      <c r="D189" s="8" t="inlineStr">
        <is>
          <t>+ 1시간 임시 버프</t>
        </is>
      </c>
      <c r="E189" s="8" t="inlineStr">
        <is>
          <t>30💎 충전</t>
        </is>
      </c>
    </row>
    <row r="190">
      <c r="A190" s="7" t="inlineStr">
        <is>
          <t>v1.44</t>
        </is>
      </c>
      <c r="B190" s="7" t="inlineStr">
        <is>
          <t>함수 추출</t>
        </is>
      </c>
      <c r="C190" s="7" t="inlineStr">
        <is>
          <t>game/monster_spawn.js</t>
        </is>
      </c>
      <c r="D190" s="7" t="inlineStr">
        <is>
          <t>두 번째 함수 추출</t>
        </is>
      </c>
      <c r="E190" s="7" t="inlineStr">
        <is>
          <t>데이터 모듈 의존</t>
        </is>
      </c>
    </row>
    <row r="191">
      <c r="A191" s="8" t="inlineStr">
        <is>
          <t>v1.44</t>
        </is>
      </c>
      <c r="B191" s="8" t="inlineStr">
        <is>
          <t>검증</t>
        </is>
      </c>
      <c r="C191" s="8" t="inlineStr">
        <is>
          <t>1000 spawn</t>
        </is>
      </c>
      <c r="D191" s="8" t="inlineStr">
        <is>
          <t>normal 52% / elite 26% / rare 14% / boss 6% / leg 1%</t>
        </is>
      </c>
      <c r="E191" s="8" t="inlineStr">
        <is>
          <t>가중치 정상</t>
        </is>
      </c>
    </row>
    <row r="192">
      <c r="A192" s="7" t="inlineStr">
        <is>
          <t>v1.44</t>
        </is>
      </c>
      <c r="B192" s="7" t="inlineStr">
        <is>
          <t>검증</t>
        </is>
      </c>
      <c r="C192" s="7" t="inlineStr">
        <is>
          <t>scaleMonster</t>
        </is>
      </c>
      <c r="D192" s="7" t="inlineStr">
        <is>
          <t>Lv5: HP 80 / Lv25: HP 208</t>
        </is>
      </c>
      <c r="E192" s="7" t="inlineStr">
        <is>
          <t>2.6배 강화 정상</t>
        </is>
      </c>
    </row>
    <row r="193">
      <c r="A193" s="8" t="inlineStr">
        <is>
          <t>v1.43</t>
        </is>
      </c>
      <c r="B193" s="8" t="inlineStr">
        <is>
          <t>함수 추출</t>
        </is>
      </c>
      <c r="C193" s="8" t="inlineStr">
        <is>
          <t>game/helpers.js</t>
        </is>
      </c>
      <c r="D193" s="8" t="inlineStr">
        <is>
          <t>첫 함수 추출 모듈</t>
        </is>
      </c>
      <c r="E193" s="8" t="inlineStr">
        <is>
          <t>순수 유틸 6종</t>
        </is>
      </c>
    </row>
    <row r="194">
      <c r="A194" s="7" t="inlineStr">
        <is>
          <t>v1.43</t>
        </is>
      </c>
      <c r="B194" s="7" t="inlineStr">
        <is>
          <t>검증</t>
        </is>
      </c>
      <c r="C194" s="7" t="inlineStr">
        <is>
          <t>getExpRequired(50)</t>
        </is>
      </c>
      <c r="D194" s="7" t="inlineStr">
        <is>
          <t>25803</t>
        </is>
      </c>
      <c r="E194" s="7" t="inlineStr">
        <is>
          <t>지수 공식 정상</t>
        </is>
      </c>
    </row>
    <row r="195">
      <c r="A195" s="8" t="inlineStr">
        <is>
          <t>v1.43</t>
        </is>
      </c>
      <c r="B195" s="8" t="inlineStr">
        <is>
          <t>신규</t>
        </is>
      </c>
      <c r="C195" s="8" t="inlineStr">
        <is>
          <t>clamp / distance / getToday</t>
        </is>
      </c>
      <c r="D195" s="8" t="inlineStr">
        <is>
          <t>부가 헬퍼</t>
        </is>
      </c>
      <c r="E195" s="8" t="inlineStr">
        <is>
          <t>다음 추출 시 활용</t>
        </is>
      </c>
    </row>
    <row r="196">
      <c r="A196" s="7" t="inlineStr">
        <is>
          <t>v1.42</t>
        </is>
      </c>
      <c r="B196" s="7" t="inlineStr">
        <is>
          <t>신규+통합</t>
        </is>
      </c>
      <c r="C196" s="7" t="inlineStr">
        <is>
          <t>game/pet_battle.js</t>
        </is>
      </c>
      <c r="D196" s="7" t="inlineStr">
        <is>
          <t>펫 배틀 모듈 (PETS import)</t>
        </is>
      </c>
      <c r="E196" s="7" t="inlineStr">
        <is>
          <t>턴제 / 8강 토너먼트</t>
        </is>
      </c>
    </row>
    <row r="197">
      <c r="A197" s="8" t="inlineStr">
        <is>
          <t>v1.42</t>
        </is>
      </c>
      <c r="B197" s="8" t="inlineStr">
        <is>
          <t>검증</t>
        </is>
      </c>
      <c r="C197" s="8" t="inlineStr">
        <is>
          <t>pet_slime vs pet_dragon</t>
        </is>
      </c>
      <c r="D197" s="8" t="inlineStr">
        <is>
          <t>드래곤 4턴 승리</t>
        </is>
      </c>
      <c r="E197" s="8" t="inlineStr">
        <is>
          <t>시뮬레이션 정상</t>
        </is>
      </c>
    </row>
    <row r="198">
      <c r="A198" s="7" t="inlineStr">
        <is>
          <t>v1.42</t>
        </is>
      </c>
      <c r="B198" s="7" t="inlineStr">
        <is>
          <t>보상</t>
        </is>
      </c>
      <c r="C198" s="7" t="inlineStr">
        <is>
          <t>승리 시</t>
        </is>
      </c>
      <c r="D198" s="7" t="inlineStr">
        <is>
          <t>100G + 50EXP / 토너먼트 200💎+칭호</t>
        </is>
      </c>
      <c r="E198" s="7" t="inlineStr">
        <is>
          <t>일일 5회 무료</t>
        </is>
      </c>
    </row>
    <row r="199">
      <c r="A199" s="8" t="inlineStr">
        <is>
          <t>v1.41</t>
        </is>
      </c>
      <c r="B199" s="8" t="inlineStr">
        <is>
          <t>리팩토링</t>
        </is>
      </c>
      <c r="C199" s="8" t="inlineStr">
        <is>
          <t>Phase 5 (최종)</t>
        </is>
      </c>
      <c r="D199" s="8" t="inlineStr">
        <is>
          <t>game/data/economy.js 추출</t>
        </is>
      </c>
      <c r="E199" s="8" t="inlineStr">
        <is>
          <t>-172줄 (8868→8696)</t>
        </is>
      </c>
    </row>
    <row r="200">
      <c r="A200" s="7" t="inlineStr">
        <is>
          <t>v1.41</t>
        </is>
      </c>
      <c r="B200" s="7" t="inlineStr">
        <is>
          <t>분리</t>
        </is>
      </c>
      <c r="C200" s="7" t="inlineStr">
        <is>
          <t>경제 12종</t>
        </is>
      </c>
      <c r="D200" s="7" t="inlineStr">
        <is>
          <t>DIAMOND_PRODUCTS/NPCS/TRADE_GOODS/SHOP_ITEMS 등</t>
        </is>
      </c>
      <c r="E200" s="7" t="inlineStr">
        <is>
          <t>마지막 phase</t>
        </is>
      </c>
    </row>
    <row r="201">
      <c r="A201" s="8" t="inlineStr">
        <is>
          <t>v1.41</t>
        </is>
      </c>
      <c r="B201" s="8" t="inlineStr">
        <is>
          <t>마일스톤</t>
        </is>
      </c>
      <c r="C201" s="8" t="inlineStr">
        <is>
          <t>마스터 플랜 완료</t>
        </is>
      </c>
      <c r="D201" s="8" t="inlineStr">
        <is>
          <t>5단계 phase 모두 완료</t>
        </is>
      </c>
      <c r="E201" s="8" t="inlineStr">
        <is>
          <t>-926줄 / -9.6%</t>
        </is>
      </c>
    </row>
    <row r="202">
      <c r="A202" s="7" t="inlineStr">
        <is>
          <t>v1.41</t>
        </is>
      </c>
      <c r="B202" s="7" t="inlineStr">
        <is>
          <t>진척</t>
        </is>
      </c>
      <c r="C202" s="7" t="inlineStr">
        <is>
          <t>9622 → 8696</t>
        </is>
      </c>
      <c r="D202" s="7" t="inlineStr">
        <is>
          <t>game/data/ 5개 모듈 1082줄</t>
        </is>
      </c>
      <c r="E202" s="7" t="inlineStr">
        <is>
          <t>13개 → 17개 모듈</t>
        </is>
      </c>
    </row>
    <row r="203">
      <c r="A203" s="8" t="inlineStr">
        <is>
          <t>v1.40</t>
        </is>
      </c>
      <c r="B203" s="8" t="inlineStr">
        <is>
          <t>리팩토링</t>
        </is>
      </c>
      <c r="C203" s="8" t="inlineStr">
        <is>
          <t>Phase 4</t>
        </is>
      </c>
      <c r="D203" s="8" t="inlineStr">
        <is>
          <t>game/data/quests.js 추출</t>
        </is>
      </c>
      <c r="E203" s="8" t="inlineStr">
        <is>
          <t>-139줄 (9007→8868)</t>
        </is>
      </c>
    </row>
    <row r="204">
      <c r="A204" s="7" t="inlineStr">
        <is>
          <t>v1.40</t>
        </is>
      </c>
      <c r="B204" s="7" t="inlineStr">
        <is>
          <t>분리</t>
        </is>
      </c>
      <c r="C204" s="7" t="inlineStr">
        <is>
          <t>퀘스트 3종</t>
        </is>
      </c>
      <c r="D204" s="7" t="inlineStr">
        <is>
          <t>QUESTS / SKILLS / CLASS_ADVANCE</t>
        </is>
      </c>
      <c r="E204" s="7" t="inlineStr">
        <is>
          <t>전부 순수 데이터</t>
        </is>
      </c>
    </row>
    <row r="205">
      <c r="A205" s="8" t="inlineStr">
        <is>
          <t>v1.40</t>
        </is>
      </c>
      <c r="B205" s="8" t="inlineStr">
        <is>
          <t>진척</t>
        </is>
      </c>
      <c r="C205" s="8" t="inlineStr">
        <is>
          <t>-754줄 누적</t>
        </is>
      </c>
      <c r="D205" s="8" t="inlineStr">
        <is>
          <t>9622 → 8868</t>
        </is>
      </c>
      <c r="E205" s="8" t="inlineStr">
        <is>
          <t>-7.8%</t>
        </is>
      </c>
    </row>
    <row r="206">
      <c r="A206" s="7" t="inlineStr">
        <is>
          <t>v1.39</t>
        </is>
      </c>
      <c r="B206" s="7" t="inlineStr">
        <is>
          <t>리팩토링</t>
        </is>
      </c>
      <c r="C206" s="7" t="inlineStr">
        <is>
          <t>Phase 3</t>
        </is>
      </c>
      <c r="D206" s="7" t="inlineStr">
        <is>
          <t>game/data/equipment.js 추출</t>
        </is>
      </c>
      <c r="E206" s="7" t="inlineStr">
        <is>
          <t>-96줄 (9103→9007)</t>
        </is>
      </c>
    </row>
    <row r="207">
      <c r="A207" s="8" t="inlineStr">
        <is>
          <t>v1.39</t>
        </is>
      </c>
      <c r="B207" s="8" t="inlineStr">
        <is>
          <t>분리</t>
        </is>
      </c>
      <c r="C207" s="8" t="inlineStr">
        <is>
          <t>장비 6종</t>
        </is>
      </c>
      <c r="D207" s="8" t="inlineStr">
        <is>
          <t>SLOTS/SETS/GRADE/RAND/STATS/DESC</t>
        </is>
      </c>
      <c r="E207" s="8" t="inlineStr">
        <is>
          <t>generateRandomOptions 함수 유지</t>
        </is>
      </c>
    </row>
    <row r="208">
      <c r="A208" s="7" t="inlineStr">
        <is>
          <t>v1.39</t>
        </is>
      </c>
      <c r="B208" s="7" t="inlineStr">
        <is>
          <t>진척</t>
        </is>
      </c>
      <c r="C208" s="7" t="inlineStr">
        <is>
          <t>-615줄 누적</t>
        </is>
      </c>
      <c r="D208" s="7" t="inlineStr">
        <is>
          <t>9622 → 9007</t>
        </is>
      </c>
      <c r="E208" s="7" t="inlineStr">
        <is>
          <t>-6.4%</t>
        </is>
      </c>
    </row>
    <row r="209">
      <c r="A209" s="8" t="inlineStr">
        <is>
          <t>v1.38</t>
        </is>
      </c>
      <c r="B209" s="8" t="inlineStr">
        <is>
          <t>리팩토링</t>
        </is>
      </c>
      <c r="C209" s="8" t="inlineStr">
        <is>
          <t>Phase 2</t>
        </is>
      </c>
      <c r="D209" s="8" t="inlineStr">
        <is>
          <t>game/data/zones.js 추출</t>
        </is>
      </c>
      <c r="E209" s="8" t="inlineStr">
        <is>
          <t>-414줄 (9517→9103)</t>
        </is>
      </c>
    </row>
    <row r="210">
      <c r="A210" s="7" t="inlineStr">
        <is>
          <t>v1.38</t>
        </is>
      </c>
      <c r="B210" s="7" t="inlineStr">
        <is>
          <t>분리</t>
        </is>
      </c>
      <c r="C210" s="7" t="inlineStr">
        <is>
          <t>지역 8종</t>
        </is>
      </c>
      <c r="D210" s="7" t="inlineStr">
        <is>
          <t>ZONES/ZONE_AMBIENCE/MONSTER_LORE/등</t>
        </is>
      </c>
      <c r="E210" s="7" t="inlineStr">
        <is>
          <t>함수(isOnRoad/isBlocked) 유지</t>
        </is>
      </c>
    </row>
    <row r="211">
      <c r="A211" s="8" t="inlineStr">
        <is>
          <t>v1.38</t>
        </is>
      </c>
      <c r="B211" s="8" t="inlineStr">
        <is>
          <t>진척</t>
        </is>
      </c>
      <c r="C211" s="8" t="inlineStr">
        <is>
          <t>-519줄 누적</t>
        </is>
      </c>
      <c r="D211" s="8" t="inlineStr">
        <is>
          <t>9622 → 9103</t>
        </is>
      </c>
      <c r="E211" s="8" t="inlineStr">
        <is>
          <t>-5.4%</t>
        </is>
      </c>
    </row>
    <row r="212">
      <c r="A212" s="7" t="inlineStr">
        <is>
          <t>v1.37</t>
        </is>
      </c>
      <c r="B212" s="7" t="inlineStr">
        <is>
          <t>리팩토링</t>
        </is>
      </c>
      <c r="C212" s="7" t="inlineStr">
        <is>
          <t>Phase 1</t>
        </is>
      </c>
      <c r="D212" s="7" t="inlineStr">
        <is>
          <t>game/data/world_data.js 추출</t>
        </is>
      </c>
      <c r="E212" s="7" t="inlineStr">
        <is>
          <t>-105줄 (9622→9517)</t>
        </is>
      </c>
    </row>
    <row r="213">
      <c r="A213" s="8" t="inlineStr">
        <is>
          <t>v1.37</t>
        </is>
      </c>
      <c r="B213" s="8" t="inlineStr">
        <is>
          <t>마스터 플랜</t>
        </is>
      </c>
      <c r="C213" s="8" t="inlineStr">
        <is>
          <t>5단계 분리</t>
        </is>
      </c>
      <c r="D213" s="8" t="inlineStr">
        <is>
          <t>Phase 2: ZONES / 3: 장비 / 4: 퀘스트 / 5: 상점</t>
        </is>
      </c>
      <c r="E213" s="8" t="inlineStr">
        <is>
          <t>각 phase = 1 커밋</t>
        </is>
      </c>
    </row>
    <row r="214">
      <c r="A214" s="7" t="inlineStr">
        <is>
          <t>v1.37</t>
        </is>
      </c>
      <c r="B214" s="7" t="inlineStr">
        <is>
          <t>버그 수정</t>
        </is>
      </c>
      <c r="C214" s="7" t="inlineStr">
        <is>
          <t>MONSTER_TIERS</t>
        </is>
      </c>
      <c r="D214" s="7" t="inlineStr">
        <is>
          <t>깨진 한글 동시 수정</t>
        </is>
      </c>
      <c r="E214" s="7" t="inlineStr">
        <is>
          <t>드래곤 / 고대 드래곤</t>
        </is>
      </c>
    </row>
    <row r="215">
      <c r="A215" s="8" t="inlineStr">
        <is>
          <t>v1.36</t>
        </is>
      </c>
      <c r="B215" s="8" t="inlineStr">
        <is>
          <t>신규+통합</t>
        </is>
      </c>
      <c r="C215" s="8" t="inlineStr">
        <is>
          <t>game/farm.js</t>
        </is>
      </c>
      <c r="D215" s="8" t="inlineStr">
        <is>
          <t>농장 모듈 생성 + 즉시 통합</t>
        </is>
      </c>
      <c r="E215" s="8" t="inlineStr">
        <is>
          <t>7작물 / AFK 진행</t>
        </is>
      </c>
    </row>
    <row r="216">
      <c r="A216" s="7" t="inlineStr">
        <is>
          <t>v1.36</t>
        </is>
      </c>
      <c r="B216" s="7" t="inlineStr">
        <is>
          <t>작물 (전설)</t>
        </is>
      </c>
      <c r="C216" s="7" t="inlineStr">
        <is>
          <t>용 과일</t>
        </is>
      </c>
      <c r="D216" s="7" t="inlineStr">
        <is>
          <t>4시간 / 80💎</t>
        </is>
      </c>
      <c r="E216" s="7" t="inlineStr">
        <is>
          <t>용재료 ×1 + 영혼석 ×3 + 3000G</t>
        </is>
      </c>
    </row>
    <row r="217">
      <c r="A217" s="8" t="inlineStr">
        <is>
          <t>v1.36</t>
        </is>
      </c>
      <c r="B217" s="8" t="inlineStr">
        <is>
          <t>작물 (희귀)</t>
        </is>
      </c>
      <c r="C217" s="8" t="inlineStr">
        <is>
          <t>달꽃</t>
        </is>
      </c>
      <c r="D217" s="8" t="inlineStr">
        <is>
          <t>2시간 / 30💎</t>
        </is>
      </c>
      <c r="E217" s="8" t="inlineStr">
        <is>
          <t>마법재료 ×5 + 영혼석 ×1</t>
        </is>
      </c>
    </row>
    <row r="218">
      <c r="A218" s="7" t="inlineStr">
        <is>
          <t>v1.36</t>
        </is>
      </c>
      <c r="B218" s="7" t="inlineStr">
        <is>
          <t>시스템</t>
        </is>
      </c>
      <c r="C218" s="7" t="inlineStr">
        <is>
          <t>비료</t>
        </is>
      </c>
      <c r="D218" s="7" t="inlineStr">
        <is>
          <t>20💎 / 50% 시간 단축</t>
        </is>
      </c>
      <c r="E218" s="7" t="inlineStr">
        <is>
          <t>슬롯당 1회</t>
        </is>
      </c>
    </row>
    <row r="219">
      <c r="A219" s="8" t="inlineStr">
        <is>
          <t>v1.35</t>
        </is>
      </c>
      <c r="B219" s="8" t="inlineStr">
        <is>
          <t>신규+통합</t>
        </is>
      </c>
      <c r="C219" s="8" t="inlineStr">
        <is>
          <t>game/skill_tree.js</t>
        </is>
      </c>
      <c r="D219" s="8" t="inlineStr">
        <is>
          <t>특성 트리 모듈 생성 + 즉시 통합</t>
        </is>
      </c>
      <c r="E219" s="8" t="inlineStr">
        <is>
          <t>3브랜치 × 7노드</t>
        </is>
      </c>
    </row>
    <row r="220">
      <c r="A220" s="7" t="inlineStr">
        <is>
          <t>v1.35</t>
        </is>
      </c>
      <c r="B220" s="7" t="inlineStr">
        <is>
          <t>자동화</t>
        </is>
      </c>
      <c r="C220" s="7" t="inlineStr">
        <is>
          <t>레벨업 훅</t>
        </is>
      </c>
      <c r="D220" s="7" t="inlineStr">
        <is>
          <t>awardPoints(target, 1) 자동 호출</t>
        </is>
      </c>
      <c r="E220" s="7" t="inlineStr">
        <is>
          <t>별도 학습 불필요</t>
        </is>
      </c>
    </row>
    <row r="221">
      <c r="A221" s="8" t="inlineStr">
        <is>
          <t>v1.35</t>
        </is>
      </c>
      <c r="B221" s="8" t="inlineStr">
        <is>
          <t>마스터 노드</t>
        </is>
      </c>
      <c r="C221" s="8" t="inlineStr">
        <is>
          <t>off_master</t>
        </is>
      </c>
      <c r="D221" s="8" t="inlineStr">
        <is>
          <t>전쟁의 화신</t>
        </is>
      </c>
      <c r="E221" s="8" t="inlineStr">
        <is>
          <t>ATK +30 / 크리 +5%</t>
        </is>
      </c>
    </row>
    <row r="222">
      <c r="A222" s="7" t="inlineStr">
        <is>
          <t>v1.35</t>
        </is>
      </c>
      <c r="B222" s="7" t="inlineStr">
        <is>
          <t>마스터 노드</t>
        </is>
      </c>
      <c r="C222" s="7" t="inlineStr">
        <is>
          <t>def_master</t>
        </is>
      </c>
      <c r="D222" s="7" t="inlineStr">
        <is>
          <t>불멸의 의지</t>
        </is>
      </c>
      <c r="E222" s="7" t="inlineStr">
        <is>
          <t>DEF +30 / HP +300</t>
        </is>
      </c>
    </row>
    <row r="223">
      <c r="A223" s="8" t="inlineStr">
        <is>
          <t>v1.35</t>
        </is>
      </c>
      <c r="B223" s="8" t="inlineStr">
        <is>
          <t>마스터 노드</t>
        </is>
      </c>
      <c r="C223" s="8" t="inlineStr">
        <is>
          <t>util_master</t>
        </is>
      </c>
      <c r="D223" s="8" t="inlineStr">
        <is>
          <t>운명의 인도자</t>
        </is>
      </c>
      <c r="E223" s="8" t="inlineStr">
        <is>
          <t>EXP/GOLD +20% / 드롭 +10%</t>
        </is>
      </c>
    </row>
    <row r="224">
      <c r="A224" s="7" t="inlineStr">
        <is>
          <t>v1.34</t>
        </is>
      </c>
      <c r="B224" s="7" t="inlineStr">
        <is>
          <t>신규+통합</t>
        </is>
      </c>
      <c r="C224" s="7" t="inlineStr">
        <is>
          <t>game/mail.js</t>
        </is>
      </c>
      <c r="D224" s="7" t="inlineStr">
        <is>
          <t>우편함 모듈 생성 + 즉시 통합</t>
        </is>
      </c>
      <c r="E224" s="7" t="inlineStr">
        <is>
          <t>시스템/선물 + 첨부 + 만료</t>
        </is>
      </c>
    </row>
    <row r="225">
      <c r="A225" s="8" t="inlineStr">
        <is>
          <t>v1.34</t>
        </is>
      </c>
      <c r="B225" s="8" t="inlineStr">
        <is>
          <t>메일</t>
        </is>
      </c>
      <c r="C225" s="8" t="inlineStr">
        <is>
          <t>시스템 메일</t>
        </is>
      </c>
      <c r="D225" s="8" t="inlineStr">
        <is>
          <t>이벤트 보상/공지</t>
        </is>
      </c>
      <c r="E225" s="8" t="inlineStr">
        <is>
          <t>14일 만료</t>
        </is>
      </c>
    </row>
    <row r="226">
      <c r="A226" s="7" t="inlineStr">
        <is>
          <t>v1.34</t>
        </is>
      </c>
      <c r="B226" s="7" t="inlineStr">
        <is>
          <t>메일</t>
        </is>
      </c>
      <c r="C226" s="7" t="inlineStr">
        <is>
          <t>선물 메일</t>
        </is>
      </c>
      <c r="D226" s="7" t="inlineStr">
        <is>
          <t>플레이어 간 / 일일 10회</t>
        </is>
      </c>
      <c r="E226" s="7" t="inlineStr">
        <is>
          <t>7일 만료, 수수료 2%</t>
        </is>
      </c>
    </row>
    <row r="227">
      <c r="A227" s="8" t="inlineStr">
        <is>
          <t>v1.34</t>
        </is>
      </c>
      <c r="B227" s="8" t="inlineStr">
        <is>
          <t>검증</t>
        </is>
      </c>
      <c r="C227" s="8" t="inlineStr">
        <is>
          <t>발송 시 자원 차감</t>
        </is>
      </c>
      <c r="D227" s="8" t="inlineStr">
        <is>
          <t>수신자 우편함 가득 → 거부</t>
        </is>
      </c>
      <c r="E227" s="8" t="inlineStr">
        <is>
          <t>첨부 미수령 메일 삭제 거부</t>
        </is>
      </c>
    </row>
    <row r="228">
      <c r="A228" s="7" t="inlineStr">
        <is>
          <t>v1.33</t>
        </is>
      </c>
      <c r="B228" s="7" t="inlineStr">
        <is>
          <t>신규+통합</t>
        </is>
      </c>
      <c r="C228" s="7" t="inlineStr">
        <is>
          <t>game/codex.js</t>
        </is>
      </c>
      <c r="D228" s="7" t="inlineStr">
        <is>
          <t>도감 모듈 생성 + 즉시 통합</t>
        </is>
      </c>
      <c r="E228" s="7" t="inlineStr">
        <is>
          <t>5카테고리 × 4마일스톤</t>
        </is>
      </c>
    </row>
    <row r="229">
      <c r="A229" s="8" t="inlineStr">
        <is>
          <t>v1.33</t>
        </is>
      </c>
      <c r="B229" s="8" t="inlineStr">
        <is>
          <t>자동화</t>
        </is>
      </c>
      <c r="C229" s="8" t="inlineStr">
        <is>
          <t>trackQuest 훅</t>
        </is>
      </c>
      <c r="D229" s="8" t="inlineStr">
        <is>
          <t>explore_count → zone 자동 등록</t>
        </is>
      </c>
      <c r="E229" s="8" t="inlineStr">
        <is>
          <t>별도 학습 불필요</t>
        </is>
      </c>
    </row>
    <row r="230">
      <c r="A230" s="7" t="inlineStr">
        <is>
          <t>v1.33</t>
        </is>
      </c>
      <c r="B230" s="7" t="inlineStr">
        <is>
          <t>자동화</t>
        </is>
      </c>
      <c r="C230" s="7" t="inlineStr">
        <is>
          <t>fishing_cast 훅</t>
        </is>
      </c>
      <c r="D230" s="7" t="inlineStr">
        <is>
          <t>어종 자동 등록</t>
        </is>
      </c>
      <c r="E230" s="7" t="inlineStr">
        <is>
          <t>v1.24와 자연 연동</t>
        </is>
      </c>
    </row>
    <row r="231">
      <c r="A231" s="8" t="inlineStr">
        <is>
          <t>v1.33</t>
        </is>
      </c>
      <c r="B231" s="8" t="inlineStr">
        <is>
          <t>보상</t>
        </is>
      </c>
      <c r="C231" s="8" t="inlineStr">
        <is>
          <t>영구 스탯 보너스</t>
        </is>
      </c>
      <c r="D231" s="8" t="inlineStr">
        <is>
          <t>마일스톤 달성 시 누적</t>
        </is>
      </c>
      <c r="E231" s="8" t="inlineStr">
        <is>
          <t>codexBonuses 객체</t>
        </is>
      </c>
    </row>
    <row r="232">
      <c r="A232" s="7" t="inlineStr">
        <is>
          <t>v1.32</t>
        </is>
      </c>
      <c r="B232" s="7" t="inlineStr">
        <is>
          <t>신규+통합</t>
        </is>
      </c>
      <c r="C232" s="7" t="inlineStr">
        <is>
          <t>game/dailyshop.js</t>
        </is>
      </c>
      <c r="D232" s="7" t="inlineStr">
        <is>
          <t>일일 상점 모듈 생성 + 즉시 통합</t>
        </is>
      </c>
      <c r="E232" s="7" t="inlineStr">
        <is>
          <t>15종 풀 / 6슬롯 / 10~50% 할인</t>
        </is>
      </c>
    </row>
    <row r="233">
      <c r="A233" s="8" t="inlineStr">
        <is>
          <t>v1.32</t>
        </is>
      </c>
      <c r="B233" s="8" t="inlineStr">
        <is>
          <t>결정적 랜덤</t>
        </is>
      </c>
      <c r="C233" s="8" t="inlineStr">
        <is>
          <t>날짜 시드</t>
        </is>
      </c>
      <c r="D233" s="8" t="inlineStr">
        <is>
          <t>모든 플레이어 동일 상품</t>
        </is>
      </c>
      <c r="E233" s="8" t="inlineStr">
        <is>
          <t>seededRandom + Fisher-Yates</t>
        </is>
      </c>
    </row>
    <row r="234">
      <c r="A234" s="7" t="inlineStr">
        <is>
          <t>v1.32</t>
        </is>
      </c>
      <c r="B234" s="7" t="inlineStr">
        <is>
          <t>개인 갱신</t>
        </is>
      </c>
      <c r="C234" s="7" t="inlineStr">
        <is>
          <t>30💎</t>
        </is>
      </c>
      <c r="D234" s="7" t="inlineStr">
        <is>
          <t>개인 시드 생성</t>
        </is>
      </c>
      <c r="E234" s="7" t="inlineStr">
        <is>
          <t>구매 기록 초기화</t>
        </is>
      </c>
    </row>
    <row r="235">
      <c r="A235" s="8" t="inlineStr">
        <is>
          <t>v1.31</t>
        </is>
      </c>
      <c r="B235" s="8" t="inlineStr">
        <is>
          <t>통합</t>
        </is>
      </c>
      <c r="C235" s="8" t="inlineStr">
        <is>
          <t>auction → server.js</t>
        </is>
      </c>
      <c r="D235" s="8" t="inlineStr">
        <is>
          <t>6번째 (마지막) 모듈 통합</t>
        </is>
      </c>
      <c r="E235" s="8" t="inlineStr">
        <is>
          <t>자동 정산 + 환불 + 양방향 지급</t>
        </is>
      </c>
    </row>
    <row r="236">
      <c r="A236" s="7" t="inlineStr">
        <is>
          <t>v1.31</t>
        </is>
      </c>
      <c r="B236" s="7" t="inlineStr">
        <is>
          <t>자동화</t>
        </is>
      </c>
      <c r="C236" s="7" t="inlineStr">
        <is>
          <t>tickAuctions</t>
        </is>
      </c>
      <c r="D236" s="7" t="inlineStr">
        <is>
          <t>10초마다 만료 정산</t>
        </is>
      </c>
      <c r="E236" s="7" t="inlineStr">
        <is>
          <t>setInterval 통합</t>
        </is>
      </c>
    </row>
    <row r="237">
      <c r="A237" s="8" t="inlineStr">
        <is>
          <t>v1.31</t>
        </is>
      </c>
      <c r="B237" s="8" t="inlineStr">
        <is>
          <t>소켓</t>
        </is>
      </c>
      <c r="C237" s="8" t="inlineStr">
        <is>
          <t>auction_create</t>
        </is>
      </c>
      <c r="D237" s="8" t="inlineStr">
        <is>
          <t>경매 등록 (등록 수수료 자동 차감)</t>
        </is>
      </c>
      <c r="E237" s="8" t="inlineStr">
        <is>
          <t>3가지 기간</t>
        </is>
      </c>
    </row>
    <row r="238">
      <c r="A238" s="7" t="inlineStr">
        <is>
          <t>v1.31</t>
        </is>
      </c>
      <c r="B238" s="7" t="inlineStr">
        <is>
          <t>소켓</t>
        </is>
      </c>
      <c r="C238" s="7" t="inlineStr">
        <is>
          <t>auction_bid</t>
        </is>
      </c>
      <c r="D238" s="7" t="inlineStr">
        <is>
          <t>입찰 + 이전 입찰자 자동 환불</t>
        </is>
      </c>
      <c r="E238" s="7" t="inlineStr">
        <is>
          <t>스나이핑 방지 연장</t>
        </is>
      </c>
    </row>
    <row r="239">
      <c r="A239" s="8" t="inlineStr">
        <is>
          <t>v1.31</t>
        </is>
      </c>
      <c r="B239" s="8" t="inlineStr">
        <is>
          <t>소켓</t>
        </is>
      </c>
      <c r="C239" s="8" t="inlineStr">
        <is>
          <t>auction_my</t>
        </is>
      </c>
      <c r="D239" s="8" t="inlineStr">
        <is>
          <t>내 등록/입찰 내역 조회</t>
        </is>
      </c>
      <c r="E239" s="8" t="inlineStr">
        <is>
          <t>-</t>
        </is>
      </c>
    </row>
    <row r="240">
      <c r="A240" s="7" t="inlineStr">
        <is>
          <t>v1.31</t>
        </is>
      </c>
      <c r="B240" s="7" t="inlineStr">
        <is>
          <t>마일스톤</t>
        </is>
      </c>
      <c r="C240" s="7" t="inlineStr">
        <is>
          <t>신규 모듈 6/6</t>
        </is>
      </c>
      <c r="D240" s="7" t="inlineStr">
        <is>
          <t>100% 통합 완료</t>
        </is>
      </c>
      <c r="E240" s="7" t="inlineStr">
        <is>
          <t>lottery/fishing/event/season/boss_rush/auction</t>
        </is>
      </c>
    </row>
    <row r="241">
      <c r="A241" s="8" t="inlineStr">
        <is>
          <t>v1.30</t>
        </is>
      </c>
      <c r="B241" s="8" t="inlineStr">
        <is>
          <t>통합</t>
        </is>
      </c>
      <c r="C241" s="8" t="inlineStr">
        <is>
          <t>boss_rush → server.js</t>
        </is>
      </c>
      <c r="D241" s="8" t="inlineStr">
        <is>
          <t>5번째 모듈 통합</t>
        </is>
      </c>
      <c r="E241" s="8" t="inlineStr">
        <is>
          <t>메모리 세션 기반</t>
        </is>
      </c>
    </row>
    <row r="242">
      <c r="A242" s="7" t="inlineStr">
        <is>
          <t>v1.30</t>
        </is>
      </c>
      <c r="B242" s="7" t="inlineStr">
        <is>
          <t>상태</t>
        </is>
      </c>
      <c r="C242" s="7" t="inlineStr">
        <is>
          <t>bossRushSessions</t>
        </is>
      </c>
      <c r="D242" s="7" t="inlineStr">
        <is>
          <t>진행 중 세션 저장</t>
        </is>
      </c>
      <c r="E242" s="7" t="inlineStr">
        <is>
          <t>currentWave/시간 추적</t>
        </is>
      </c>
    </row>
    <row r="243">
      <c r="A243" s="8" t="inlineStr">
        <is>
          <t>v1.30</t>
        </is>
      </c>
      <c r="B243" s="8" t="inlineStr">
        <is>
          <t>상태</t>
        </is>
      </c>
      <c r="C243" s="8" t="inlineStr">
        <is>
          <t>bossRushRanking</t>
        </is>
      </c>
      <c r="D243" s="8" t="inlineStr">
        <is>
          <t>글로벌 랭킹 TOP 100</t>
        </is>
      </c>
      <c r="E243" s="8" t="inlineStr">
        <is>
          <t>웨이브 → 시간 정렬</t>
        </is>
      </c>
    </row>
    <row r="244">
      <c r="A244" s="7" t="inlineStr">
        <is>
          <t>v1.30</t>
        </is>
      </c>
      <c r="B244" s="7" t="inlineStr">
        <is>
          <t>소켓</t>
        </is>
      </c>
      <c r="C244" s="7" t="inlineStr">
        <is>
          <t>boss_rush_enter</t>
        </is>
      </c>
      <c r="D244" s="7" t="inlineStr">
        <is>
          <t>무료/유료/다이아 입장</t>
        </is>
      </c>
      <c r="E244" s="7" t="inlineStr">
        <is>
          <t>동시 1개 세션 제한</t>
        </is>
      </c>
    </row>
    <row r="245">
      <c r="A245" s="8" t="inlineStr">
        <is>
          <t>v1.30</t>
        </is>
      </c>
      <c r="B245" s="8" t="inlineStr">
        <is>
          <t>소켓</t>
        </is>
      </c>
      <c r="C245" s="8" t="inlineStr">
        <is>
          <t>boss_rush_advance</t>
        </is>
      </c>
      <c r="D245" s="8" t="inlineStr">
        <is>
          <t>웨이브 클리어 보고</t>
        </is>
      </c>
      <c r="E245" s="8" t="inlineStr">
        <is>
          <t>시간 초과 검증</t>
        </is>
      </c>
    </row>
    <row r="246">
      <c r="A246" s="7" t="inlineStr">
        <is>
          <t>v1.30</t>
        </is>
      </c>
      <c r="B246" s="7" t="inlineStr">
        <is>
          <t>보상</t>
        </is>
      </c>
      <c r="C246" s="7" t="inlineStr">
        <is>
          <t>풀클리어 보상</t>
        </is>
      </c>
      <c r="D246" s="7" t="inlineStr">
        <is>
          <t>20웨이브 누적</t>
        </is>
      </c>
      <c r="E246" s="7" t="inlineStr">
        <is>
          <t>전 서버 알림</t>
        </is>
      </c>
    </row>
    <row r="247">
      <c r="A247" s="8" t="inlineStr">
        <is>
          <t>v1.29</t>
        </is>
      </c>
      <c r="B247" s="8" t="inlineStr">
        <is>
          <t>통합</t>
        </is>
      </c>
      <c r="C247" s="8" t="inlineStr">
        <is>
          <t>season → server.js</t>
        </is>
      </c>
      <c r="D247" s="8" t="inlineStr">
        <is>
          <t>4번째 모듈 통합</t>
        </is>
      </c>
      <c r="E247" s="8" t="inlineStr">
        <is>
          <t>XP 자동 적립 + 보상 수령</t>
        </is>
      </c>
    </row>
    <row r="248">
      <c r="A248" s="7" t="inlineStr">
        <is>
          <t>v1.29</t>
        </is>
      </c>
      <c r="B248" s="7" t="inlineStr">
        <is>
          <t>자동화</t>
        </is>
      </c>
      <c r="C248" s="7" t="inlineStr">
        <is>
          <t>trackQuest 훅</t>
        </is>
      </c>
      <c r="D248" s="7" t="inlineStr">
        <is>
          <t>PvP/보스/월드보스/던전/제작 → 시즌 XP</t>
        </is>
      </c>
      <c r="E248" s="7" t="inlineStr">
        <is>
          <t>SEASON_XP_MAP 매핑</t>
        </is>
      </c>
    </row>
    <row r="249">
      <c r="A249" s="8" t="inlineStr">
        <is>
          <t>v1.29</t>
        </is>
      </c>
      <c r="B249" s="8" t="inlineStr">
        <is>
          <t>소켓</t>
        </is>
      </c>
      <c r="C249" s="8" t="inlineStr">
        <is>
          <t>season_status</t>
        </is>
      </c>
      <c r="D249" s="8" t="inlineStr">
        <is>
          <t>XP/티어/구매여부/수령내역 조회</t>
        </is>
      </c>
      <c r="E249" s="8" t="inlineStr">
        <is>
          <t>15티어 전체</t>
        </is>
      </c>
    </row>
    <row r="250">
      <c r="A250" s="7" t="inlineStr">
        <is>
          <t>v1.29</t>
        </is>
      </c>
      <c r="B250" s="7" t="inlineStr">
        <is>
          <t>소켓</t>
        </is>
      </c>
      <c r="C250" s="7" t="inlineStr">
        <is>
          <t>season_buy_pass</t>
        </is>
      </c>
      <c r="D250" s="7" t="inlineStr">
        <is>
          <t>프리미엄 패스 구매 (1500💎)</t>
        </is>
      </c>
      <c r="E250" s="7" t="inlineStr">
        <is>
          <t>전 서버 알림</t>
        </is>
      </c>
    </row>
    <row r="251">
      <c r="A251" s="8" t="inlineStr">
        <is>
          <t>v1.29</t>
        </is>
      </c>
      <c r="B251" s="8" t="inlineStr">
        <is>
          <t>소켓</t>
        </is>
      </c>
      <c r="C251" s="8" t="inlineStr">
        <is>
          <t>season_claim</t>
        </is>
      </c>
      <c r="D251" s="8" t="inlineStr">
        <is>
          <t>티어 보상 수령 (free/premium)</t>
        </is>
      </c>
      <c r="E251" s="8" t="inlineStr">
        <is>
          <t>자동 인벤토리 적용</t>
        </is>
      </c>
    </row>
    <row r="252">
      <c r="A252" s="7" t="inlineStr">
        <is>
          <t>v1.28</t>
        </is>
      </c>
      <c r="B252" s="7" t="inlineStr">
        <is>
          <t>통합</t>
        </is>
      </c>
      <c r="C252" s="7" t="inlineStr">
        <is>
          <t>event → server.js</t>
        </is>
      </c>
      <c r="D252" s="7" t="inlineStr">
        <is>
          <t>3번째 모듈 통합</t>
        </is>
      </c>
      <c r="E252" s="7" t="inlineStr">
        <is>
          <t>축제 시스템 활성화</t>
        </is>
      </c>
    </row>
    <row r="253">
      <c r="A253" s="8" t="inlineStr">
        <is>
          <t>v1.28</t>
        </is>
      </c>
      <c r="B253" s="8" t="inlineStr">
        <is>
          <t>소켓</t>
        </is>
      </c>
      <c r="C253" s="8" t="inlineStr">
        <is>
          <t>event_status</t>
        </is>
      </c>
      <c r="D253" s="8" t="inlineStr">
        <is>
          <t>현재 활성 축제 조회</t>
        </is>
      </c>
      <c r="E253" s="8" t="inlineStr">
        <is>
          <t>이름/기간/버프/한정 보상</t>
        </is>
      </c>
    </row>
    <row r="254">
      <c r="A254" s="7" t="inlineStr">
        <is>
          <t>v1.28</t>
        </is>
      </c>
      <c r="B254" s="7" t="inlineStr">
        <is>
          <t>API</t>
        </is>
      </c>
      <c r="C254" s="7" t="inlineStr">
        <is>
          <t>/status JSON</t>
        </is>
      </c>
      <c r="D254" s="7" t="inlineStr">
        <is>
          <t>festival 필드 추가</t>
        </is>
      </c>
      <c r="E254" s="7" t="inlineStr">
        <is>
          <t>대시보드 확인용</t>
        </is>
      </c>
    </row>
    <row r="255">
      <c r="A255" s="8" t="inlineStr">
        <is>
          <t>v1.28</t>
        </is>
      </c>
      <c r="B255" s="8" t="inlineStr">
        <is>
          <t>NPC</t>
        </is>
      </c>
      <c r="C255" s="8" t="inlineStr">
        <is>
          <t>축제 인사</t>
        </is>
      </c>
      <c r="D255" s="8" t="inlineStr">
        <is>
          <t>30% 확률로 NPC가 축제 대사 출력</t>
        </is>
      </c>
      <c r="E255" s="8" t="inlineStr">
        <is>
          <t>spring_blossom 등 5종</t>
        </is>
      </c>
    </row>
    <row r="256">
      <c r="A256" s="7" t="inlineStr">
        <is>
          <t>v1.27</t>
        </is>
      </c>
      <c r="B256" s="7" t="inlineStr">
        <is>
          <t>통합</t>
        </is>
      </c>
      <c r="C256" s="7" t="inlineStr">
        <is>
          <t>fishing → server.js</t>
        </is>
      </c>
      <c r="D256" s="7" t="inlineStr">
        <is>
          <t>require + 소켓 핸들러 3종</t>
        </is>
      </c>
      <c r="E256" s="7" t="inlineStr">
        <is>
          <t>두 번째 모듈 통합</t>
        </is>
      </c>
    </row>
    <row r="257">
      <c r="A257" s="8" t="inlineStr">
        <is>
          <t>v1.27</t>
        </is>
      </c>
      <c r="B257" s="8" t="inlineStr">
        <is>
          <t>소켓</t>
        </is>
      </c>
      <c r="C257" s="8" t="inlineStr">
        <is>
          <t>fishing_status</t>
        </is>
      </c>
      <c r="D257" s="8" t="inlineStr">
        <is>
          <t>지역/낚싯대/미끼/시간대 조회</t>
        </is>
      </c>
      <c r="E257" s="8" t="inlineStr">
        <is>
          <t>클라이언트 표시용</t>
        </is>
      </c>
    </row>
    <row r="258">
      <c r="A258" s="7" t="inlineStr">
        <is>
          <t>v1.27</t>
        </is>
      </c>
      <c r="B258" s="7" t="inlineStr">
        <is>
          <t>소켓</t>
        </is>
      </c>
      <c r="C258" s="7" t="inlineStr">
        <is>
          <t>fishing_cast</t>
        </is>
      </c>
      <c r="D258" s="7" t="inlineStr">
        <is>
          <t>낚시 시도 (지역+낚싯대+미끼 검증)</t>
        </is>
      </c>
      <c r="E258" s="7" t="inlineStr">
        <is>
          <t>전설/신화 → 서버 알림</t>
        </is>
      </c>
    </row>
    <row r="259">
      <c r="A259" s="8" t="inlineStr">
        <is>
          <t>v1.27</t>
        </is>
      </c>
      <c r="B259" s="8" t="inlineStr">
        <is>
          <t>소켓</t>
        </is>
      </c>
      <c r="C259" s="8" t="inlineStr">
        <is>
          <t>fishing_buy_rod</t>
        </is>
      </c>
      <c r="D259" s="8" t="inlineStr">
        <is>
          <t>낚싯대 구매 (골드/다이아)</t>
        </is>
      </c>
      <c r="E259" s="8" t="inlineStr">
        <is>
          <t>5등급 모두</t>
        </is>
      </c>
    </row>
    <row r="260">
      <c r="A260" s="7" t="inlineStr">
        <is>
          <t>v1.26</t>
        </is>
      </c>
      <c r="B260" s="7" t="inlineStr">
        <is>
          <t>통합</t>
        </is>
      </c>
      <c r="C260" s="7" t="inlineStr">
        <is>
          <t>lottery → server.js</t>
        </is>
      </c>
      <c r="D260" s="7" t="inlineStr">
        <is>
          <t>require + 소켓 핸들러 3종</t>
        </is>
      </c>
      <c r="E260" s="7" t="inlineStr">
        <is>
          <t>첫 모듈 통합 마일스톤</t>
        </is>
      </c>
    </row>
    <row r="261">
      <c r="A261" s="8" t="inlineStr">
        <is>
          <t>v1.26</t>
        </is>
      </c>
      <c r="B261" s="8" t="inlineStr">
        <is>
          <t>소켓 이벤트</t>
        </is>
      </c>
      <c r="C261" s="8" t="inlineStr">
        <is>
          <t>lottery_status</t>
        </is>
      </c>
      <c r="D261" s="8" t="inlineStr">
        <is>
          <t>상태/가격/상품 풀 조회</t>
        </is>
      </c>
      <c r="E261" s="8" t="inlineStr">
        <is>
          <t>클라이언트 표시용</t>
        </is>
      </c>
    </row>
    <row r="262">
      <c r="A262" s="7" t="inlineStr">
        <is>
          <t>v1.26</t>
        </is>
      </c>
      <c r="B262" s="7" t="inlineStr">
        <is>
          <t>소켓 이벤트</t>
        </is>
      </c>
      <c r="C262" s="7" t="inlineStr">
        <is>
          <t>lottery_free_spin</t>
        </is>
      </c>
      <c r="D262" s="7" t="inlineStr">
        <is>
          <t>매일 무료 1회 스핀</t>
        </is>
      </c>
      <c r="E262" s="7" t="inlineStr">
        <is>
          <t>자정 초기화</t>
        </is>
      </c>
    </row>
    <row r="263">
      <c r="A263" s="8" t="inlineStr">
        <is>
          <t>v1.26</t>
        </is>
      </c>
      <c r="B263" s="8" t="inlineStr">
        <is>
          <t>소켓 이벤트</t>
        </is>
      </c>
      <c r="C263" s="8" t="inlineStr">
        <is>
          <t>lottery_paid_spin</t>
        </is>
      </c>
      <c r="D263" s="8" t="inlineStr">
        <is>
          <t>유료 1회 / 10연속</t>
        </is>
      </c>
      <c r="E263" s="8" t="inlineStr">
        <is>
          <t>count: 1 또는 10</t>
        </is>
      </c>
    </row>
    <row r="264">
      <c r="A264" s="7" t="inlineStr">
        <is>
          <t>v1.25</t>
        </is>
      </c>
      <c r="B264" s="7" t="inlineStr">
        <is>
          <t>경매장</t>
        </is>
      </c>
      <c r="C264" s="7" t="inlineStr">
        <is>
          <t>game/auction.js 신규</t>
        </is>
      </c>
      <c r="D264" s="7" t="inlineStr">
        <is>
          <t>입찰식 / 3기간 / 5% 인상 / 스나이핑 방지</t>
        </is>
      </c>
      <c r="E264" s="7" t="inlineStr">
        <is>
          <t>등록 2% + 낙찰 5%</t>
        </is>
      </c>
    </row>
    <row r="265">
      <c r="A265" s="8" t="inlineStr">
        <is>
          <t>v1.25</t>
        </is>
      </c>
      <c r="B265" s="8" t="inlineStr">
        <is>
          <t>경매장</t>
        </is>
      </c>
      <c r="C265" s="8" t="inlineStr">
        <is>
          <t>활성 한도</t>
        </is>
      </c>
      <c r="D265" s="8" t="inlineStr">
        <is>
          <t>플레이어당 10개</t>
        </is>
      </c>
      <c r="E265" s="8" t="inlineStr">
        <is>
          <t>자기 입찰 금지</t>
        </is>
      </c>
    </row>
    <row r="266">
      <c r="A266" s="7" t="inlineStr">
        <is>
          <t>v1.24</t>
        </is>
      </c>
      <c r="B266" s="7" t="inlineStr">
        <is>
          <t>낚시</t>
        </is>
      </c>
      <c r="C266" s="7" t="inlineStr">
        <is>
          <t>game/fishing.js 신규</t>
        </is>
      </c>
      <c r="D266" s="7" t="inlineStr">
        <is>
          <t>11종 어종 / 5등급 낚싯대 / 4종 미끼</t>
        </is>
      </c>
      <c r="E266" s="7" t="inlineStr">
        <is>
          <t>신화 크라켄 = 20000G + 칭호</t>
        </is>
      </c>
    </row>
    <row r="267">
      <c r="A267" s="8" t="inlineStr">
        <is>
          <t>v1.24</t>
        </is>
      </c>
      <c r="B267" s="8" t="inlineStr">
        <is>
          <t>낚시</t>
        </is>
      </c>
      <c r="C267" s="8" t="inlineStr">
        <is>
          <t>전설의 비단잉어</t>
        </is>
      </c>
      <c r="D267" s="8" t="inlineStr">
        <is>
          <t>드래곤 낚싯대 + 가중치 1</t>
        </is>
      </c>
      <c r="E267" s="8" t="inlineStr">
        <is>
          <t>5000G + 평생 행운 +5%</t>
        </is>
      </c>
    </row>
    <row r="268">
      <c r="A268" s="7" t="inlineStr">
        <is>
          <t>v1.23</t>
        </is>
      </c>
      <c r="B268" s="7" t="inlineStr">
        <is>
          <t>보스 러시</t>
        </is>
      </c>
      <c r="C268" s="7" t="inlineStr">
        <is>
          <t>game/boss_rush.js 신규</t>
        </is>
      </c>
      <c r="D268" s="7" t="inlineStr">
        <is>
          <t>20웨이브 / HP ×1.35 스케일링</t>
        </is>
      </c>
      <c r="E268" s="7" t="inlineStr">
        <is>
          <t>최종 보상: 200💎 + 용재료 ×5</t>
        </is>
      </c>
    </row>
    <row r="269">
      <c r="A269" s="8" t="inlineStr">
        <is>
          <t>v1.23</t>
        </is>
      </c>
      <c r="B269" s="8" t="inlineStr">
        <is>
          <t>보스 러시</t>
        </is>
      </c>
      <c r="C269" s="8" t="inlineStr">
        <is>
          <t>입장</t>
        </is>
      </c>
      <c r="D269" s="8" t="inlineStr">
        <is>
          <t>매일 무료 3회 / 1000G / 30💎</t>
        </is>
      </c>
      <c r="E269" s="8" t="inlineStr">
        <is>
          <t>랭킹 시스템</t>
        </is>
      </c>
    </row>
    <row r="270">
      <c r="A270" s="7" t="inlineStr">
        <is>
          <t>v1.23</t>
        </is>
      </c>
      <c r="B270" s="7" t="inlineStr">
        <is>
          <t>보스 러시</t>
        </is>
      </c>
      <c r="C270" s="7" t="inlineStr">
        <is>
          <t>챔피언 보상</t>
        </is>
      </c>
      <c r="D270" s="7" t="inlineStr">
        <is>
          <t>1위: 500💎 + 칭호 / 2위: 300💎 / 3위: 200💎</t>
        </is>
      </c>
      <c r="E270" s="7" t="inlineStr">
        <is>
          <t>-</t>
        </is>
      </c>
    </row>
    <row r="271">
      <c r="A271" s="8" t="inlineStr">
        <is>
          <t>v1.22</t>
        </is>
      </c>
      <c r="B271" s="8" t="inlineStr">
        <is>
          <t>행운의 룰렛</t>
        </is>
      </c>
      <c r="C271" s="8" t="inlineStr">
        <is>
          <t>game/lottery.js 신규</t>
        </is>
      </c>
      <c r="D271" s="8" t="inlineStr">
        <is>
          <t>10종 보상 / 가중치 1000</t>
        </is>
      </c>
      <c r="E271" s="8" t="inlineStr">
        <is>
          <t>매일 무료 1회 + 유료</t>
        </is>
      </c>
    </row>
    <row r="272">
      <c r="A272" s="7" t="inlineStr">
        <is>
          <t>v1.22</t>
        </is>
      </c>
      <c r="B272" s="7" t="inlineStr">
        <is>
          <t>룰렛 (전설)</t>
        </is>
      </c>
      <c r="C272" s="7" t="inlineStr">
        <is>
          <t>영웅 장비 상자</t>
        </is>
      </c>
      <c r="D272" s="7" t="inlineStr">
        <is>
          <t>확률 0.2% (가장 희귀)</t>
        </is>
      </c>
      <c r="E272" s="7" t="inlineStr">
        <is>
          <t>전설 보상</t>
        </is>
      </c>
    </row>
    <row r="273">
      <c r="A273" s="8" t="inlineStr">
        <is>
          <t>v1.22</t>
        </is>
      </c>
      <c r="B273" s="8" t="inlineStr">
        <is>
          <t>룰렛 (전설)</t>
        </is>
      </c>
      <c r="C273" s="8" t="inlineStr">
        <is>
          <t>200 다이아</t>
        </is>
      </c>
      <c r="D273" s="8" t="inlineStr">
        <is>
          <t>확률 0.8%</t>
        </is>
      </c>
      <c r="E273" s="8" t="inlineStr">
        <is>
          <t>잭팟</t>
        </is>
      </c>
    </row>
    <row r="274">
      <c r="A274" s="7" t="inlineStr">
        <is>
          <t>v1.21</t>
        </is>
      </c>
      <c r="B274" s="7" t="inlineStr">
        <is>
          <t>축제 이벤트</t>
        </is>
      </c>
      <c r="C274" s="7" t="inlineStr">
        <is>
          <t>신년 축제</t>
        </is>
      </c>
      <c r="D274" s="7" t="inlineStr">
        <is>
          <t>1/1 ~ 1/7</t>
        </is>
      </c>
      <c r="E274" s="7" t="inlineStr">
        <is>
          <t>골드 +50% / EXP +30%</t>
        </is>
      </c>
    </row>
    <row r="275">
      <c r="A275" s="8" t="inlineStr">
        <is>
          <t>v1.21</t>
        </is>
      </c>
      <c r="B275" s="8" t="inlineStr">
        <is>
          <t>축제 이벤트</t>
        </is>
      </c>
      <c r="C275" s="8" t="inlineStr">
        <is>
          <t>봄꽃 축제</t>
        </is>
      </c>
      <c r="D275" s="8" t="inlineStr">
        <is>
          <t>4/1 ~ 4/14</t>
        </is>
      </c>
      <c r="E275" s="8" t="inlineStr">
        <is>
          <t>HP재생 +30% / 드롭 +20%</t>
        </is>
      </c>
    </row>
    <row r="276">
      <c r="A276" s="7" t="inlineStr">
        <is>
          <t>v1.21</t>
        </is>
      </c>
      <c r="B276" s="7" t="inlineStr">
        <is>
          <t>축제 이벤트</t>
        </is>
      </c>
      <c r="C276" s="7" t="inlineStr">
        <is>
          <t>한여름 밤의 축제</t>
        </is>
      </c>
      <c r="D276" s="7" t="inlineStr">
        <is>
          <t>7/15 ~ 8/15</t>
        </is>
      </c>
      <c r="E276" s="7" t="inlineStr">
        <is>
          <t>화염 +30% / PvP 보상 +50%</t>
        </is>
      </c>
    </row>
    <row r="277">
      <c r="A277" s="8" t="inlineStr">
        <is>
          <t>v1.21</t>
        </is>
      </c>
      <c r="B277" s="8" t="inlineStr">
        <is>
          <t>축제 이벤트</t>
        </is>
      </c>
      <c r="C277" s="8" t="inlineStr">
        <is>
          <t>할로윈 축제</t>
        </is>
      </c>
      <c r="D277" s="8" t="inlineStr">
        <is>
          <t>10/25 ~ 11/1</t>
        </is>
      </c>
      <c r="E277" s="8" t="inlineStr">
        <is>
          <t>크리 +10% / 언데드 +50%</t>
        </is>
      </c>
    </row>
    <row r="278">
      <c r="A278" s="7" t="inlineStr">
        <is>
          <t>v1.21</t>
        </is>
      </c>
      <c r="B278" s="7" t="inlineStr">
        <is>
          <t>축제 이벤트</t>
        </is>
      </c>
      <c r="C278" s="7" t="inlineStr">
        <is>
          <t>겨울 축제</t>
        </is>
      </c>
      <c r="D278" s="7" t="inlineStr">
        <is>
          <t>12/20 ~ 12/31</t>
        </is>
      </c>
      <c r="E278" s="7" t="inlineStr">
        <is>
          <t>골드 +30% / EXP +30% / 드롭 +30%</t>
        </is>
      </c>
    </row>
    <row r="279">
      <c r="A279" s="8" t="inlineStr">
        <is>
          <t>v1.20</t>
        </is>
      </c>
      <c r="B279" s="8" t="inlineStr">
        <is>
          <t>시즌 패스</t>
        </is>
      </c>
      <c r="C279" s="8" t="inlineStr">
        <is>
          <t>game/season.js 신규</t>
        </is>
      </c>
      <c r="D279" s="8" t="inlineStr">
        <is>
          <t>15티어 / 30일 / 무료+프리미엄</t>
        </is>
      </c>
      <c r="E279" s="8" t="inlineStr">
        <is>
          <t>만렙 보상: 태초 반지 + 시즌 칭호</t>
        </is>
      </c>
    </row>
    <row r="280">
      <c r="A280" s="7" t="inlineStr">
        <is>
          <t>v1.20</t>
        </is>
      </c>
      <c r="B280" s="7" t="inlineStr">
        <is>
          <t>시즌 패스</t>
        </is>
      </c>
      <c r="C280" s="7" t="inlineStr">
        <is>
          <t>XP 획득 7종</t>
        </is>
      </c>
      <c r="D280" s="7" t="inlineStr">
        <is>
          <t>퀘/보스/PvP/월드보스/던전/제작</t>
        </is>
      </c>
      <c r="E280" s="7" t="inlineStr">
        <is>
          <t>일일 +200 ~ 월드보스 +500</t>
        </is>
      </c>
    </row>
    <row r="281">
      <c r="A281" s="8" t="inlineStr">
        <is>
          <t>v1.20</t>
        </is>
      </c>
      <c r="B281" s="8" t="inlineStr">
        <is>
          <t>시즌 패스</t>
        </is>
      </c>
      <c r="C281" s="8" t="inlineStr">
        <is>
          <t>프리미엄 가격</t>
        </is>
      </c>
      <c r="D281" s="8" t="inlineStr">
        <is>
          <t>1500 다이아</t>
        </is>
      </c>
      <c r="E281" s="8" t="inlineStr">
        <is>
          <t>시즌 당 1회</t>
        </is>
      </c>
    </row>
    <row r="282">
      <c r="A282" s="7" t="inlineStr">
        <is>
          <t>v1.19</t>
        </is>
      </c>
      <c r="B282" s="7" t="inlineStr">
        <is>
          <t>무료 다이아</t>
        </is>
      </c>
      <c r="C282" s="7" t="inlineStr">
        <is>
          <t>Lv.40 달성</t>
        </is>
      </c>
      <c r="D282" s="7" t="inlineStr">
        <is>
          <t>각성기 해금 마일스톤</t>
        </is>
      </c>
      <c r="E282" s="7" t="inlineStr">
        <is>
          <t>150💎</t>
        </is>
      </c>
    </row>
    <row r="283">
      <c r="A283" s="8" t="inlineStr">
        <is>
          <t>v1.19</t>
        </is>
      </c>
      <c r="B283" s="8" t="inlineStr">
        <is>
          <t>무료 다이아</t>
        </is>
      </c>
      <c r="C283" s="8" t="inlineStr">
        <is>
          <t>Lv.50 달성</t>
        </is>
      </c>
      <c r="D283" s="8" t="inlineStr">
        <is>
          <t>환생 가능 마일스톤</t>
        </is>
      </c>
      <c r="E283" s="8" t="inlineStr">
        <is>
          <t>250💎</t>
        </is>
      </c>
    </row>
    <row r="284">
      <c r="A284" s="7" t="inlineStr">
        <is>
          <t>v1.19</t>
        </is>
      </c>
      <c r="B284" s="7" t="inlineStr">
        <is>
          <t>무료 다이아</t>
        </is>
      </c>
      <c r="C284" s="7" t="inlineStr">
        <is>
          <t>첫 환생</t>
        </is>
      </c>
      <c r="D284" s="7" t="inlineStr">
        <is>
          <t>prestige 1차</t>
        </is>
      </c>
      <c r="E284" s="7" t="inlineStr">
        <is>
          <t>500💎</t>
        </is>
      </c>
    </row>
    <row r="285">
      <c r="A285" s="8" t="inlineStr">
        <is>
          <t>v1.19</t>
        </is>
      </c>
      <c r="B285" s="8" t="inlineStr">
        <is>
          <t>무료 다이아</t>
        </is>
      </c>
      <c r="C285" s="8" t="inlineStr">
        <is>
          <t>첫 월드 보스</t>
        </is>
      </c>
      <c r="D285" s="8" t="inlineStr">
        <is>
          <t>월드 보스 처치 보너스</t>
        </is>
      </c>
      <c r="E285" s="8" t="inlineStr">
        <is>
          <t>100💎</t>
        </is>
      </c>
    </row>
    <row r="286">
      <c r="A286" s="7" t="inlineStr">
        <is>
          <t>v1.19</t>
        </is>
      </c>
      <c r="B286" s="7" t="inlineStr">
        <is>
          <t>무료 다이아</t>
        </is>
      </c>
      <c r="C286" s="7" t="inlineStr">
        <is>
          <t>업적 50개</t>
        </is>
      </c>
      <c r="D286" s="7" t="inlineStr">
        <is>
          <t>업적 마일스톤</t>
        </is>
      </c>
      <c r="E286" s="7" t="inlineStr">
        <is>
          <t>200💎</t>
        </is>
      </c>
    </row>
    <row r="287">
      <c r="A287" s="8" t="inlineStr">
        <is>
          <t>v1.18</t>
        </is>
      </c>
      <c r="B287" s="8" t="inlineStr">
        <is>
          <t>상점 (스킨)</t>
        </is>
      </c>
      <c r="C287" s="8" t="inlineStr">
        <is>
          <t>불사조 스킨</t>
        </is>
      </c>
      <c r="D287" s="8" t="inlineStr">
        <is>
          <t>1200 다이아</t>
        </is>
      </c>
      <c r="E287" s="8" t="inlineStr">
        <is>
          <t>불사조 깃털 이펙트 (영구)</t>
        </is>
      </c>
    </row>
    <row r="288">
      <c r="A288" s="7" t="inlineStr">
        <is>
          <t>v1.18</t>
        </is>
      </c>
      <c r="B288" s="7" t="inlineStr">
        <is>
          <t>상점 (스킨)</t>
        </is>
      </c>
      <c r="C288" s="7" t="inlineStr">
        <is>
          <t>폭풍 스킨</t>
        </is>
      </c>
      <c r="D288" s="7" t="inlineStr">
        <is>
          <t>1200 다이아</t>
        </is>
      </c>
      <c r="E288" s="7" t="inlineStr">
        <is>
          <t>번개 오라 이펙트 (영구)</t>
        </is>
      </c>
    </row>
    <row r="289">
      <c r="A289" s="8" t="inlineStr">
        <is>
          <t>v1.18</t>
        </is>
      </c>
      <c r="B289" s="8" t="inlineStr">
        <is>
          <t>상점 (편의)</t>
        </is>
      </c>
      <c r="C289" s="8" t="inlineStr">
        <is>
          <t>프리미엄 자동물약</t>
        </is>
      </c>
      <c r="D289" s="8" t="inlineStr">
        <is>
          <t>500 다이아</t>
        </is>
      </c>
      <c r="E289" s="8" t="inlineStr">
        <is>
          <t>24시간 자동물약 무한</t>
        </is>
      </c>
    </row>
    <row r="290">
      <c r="A290" s="7" t="inlineStr">
        <is>
          <t>v1.18</t>
        </is>
      </c>
      <c r="B290" s="7" t="inlineStr">
        <is>
          <t>상점 (상자)</t>
        </is>
      </c>
      <c r="C290" s="7" t="inlineStr">
        <is>
          <t>프리미엄 보물 상자</t>
        </is>
      </c>
      <c r="D290" s="7" t="inlineStr">
        <is>
          <t>300 다이아</t>
        </is>
      </c>
      <c r="E290" s="7" t="inlineStr">
        <is>
          <t>전설 장비 확정 + 다이아</t>
        </is>
      </c>
    </row>
    <row r="291">
      <c r="A291" s="8" t="inlineStr">
        <is>
          <t>v1.18</t>
        </is>
      </c>
      <c r="B291" s="8" t="inlineStr">
        <is>
          <t>상점 (재료)</t>
        </is>
      </c>
      <c r="C291" s="8" t="inlineStr">
        <is>
          <t>전설 재료 패키지</t>
        </is>
      </c>
      <c r="D291" s="8" t="inlineStr">
        <is>
          <t>600 다이아</t>
        </is>
      </c>
      <c r="E291" s="8" t="inlineStr">
        <is>
          <t>용재료×10 + 영혼석×20 + 마법재료×20</t>
        </is>
      </c>
    </row>
    <row r="292">
      <c r="A292" s="7" t="inlineStr">
        <is>
          <t>v1.17</t>
        </is>
      </c>
      <c r="B292" s="7" t="inlineStr">
        <is>
          <t>혈맹 Lv.6</t>
        </is>
      </c>
      <c r="C292" s="7" t="inlineStr">
        <is>
          <t>혈맹의 분노</t>
        </is>
      </c>
      <c r="D292" s="7" t="inlineStr">
        <is>
          <t>크리티컬 +5%</t>
        </is>
      </c>
      <c r="E292" s="7" t="inlineStr">
        <is>
          <t>60명 정원</t>
        </is>
      </c>
    </row>
    <row r="293">
      <c r="A293" s="8" t="inlineStr">
        <is>
          <t>v1.17</t>
        </is>
      </c>
      <c r="B293" s="8" t="inlineStr">
        <is>
          <t>혈맹 Lv.7</t>
        </is>
      </c>
      <c r="C293" s="8" t="inlineStr">
        <is>
          <t>혈맹의 신속</t>
        </is>
      </c>
      <c r="D293" s="8" t="inlineStr">
        <is>
          <t>이동속도 +10%</t>
        </is>
      </c>
      <c r="E293" s="8" t="inlineStr">
        <is>
          <t>70명 정원</t>
        </is>
      </c>
    </row>
    <row r="294">
      <c r="A294" s="7" t="inlineStr">
        <is>
          <t>v1.17</t>
        </is>
      </c>
      <c r="B294" s="7" t="inlineStr">
        <is>
          <t>혈맹 Lv.8</t>
        </is>
      </c>
      <c r="C294" s="7" t="inlineStr">
        <is>
          <t>혈맹의 회복</t>
        </is>
      </c>
      <c r="D294" s="7" t="inlineStr">
        <is>
          <t>HP 재생 +50%</t>
        </is>
      </c>
      <c r="E294" s="7" t="inlineStr">
        <is>
          <t>80명 정원</t>
        </is>
      </c>
    </row>
    <row r="295">
      <c r="A295" s="8" t="inlineStr">
        <is>
          <t>v1.17</t>
        </is>
      </c>
      <c r="B295" s="8" t="inlineStr">
        <is>
          <t>혈맹 Lv.9</t>
        </is>
      </c>
      <c r="C295" s="8" t="inlineStr">
        <is>
          <t>혈맹의 운명</t>
        </is>
      </c>
      <c r="D295" s="8" t="inlineStr">
        <is>
          <t>회피 +5%</t>
        </is>
      </c>
      <c r="E295" s="8" t="inlineStr">
        <is>
          <t>90명 정원</t>
        </is>
      </c>
    </row>
    <row r="296">
      <c r="A296" s="7" t="inlineStr">
        <is>
          <t>v1.17</t>
        </is>
      </c>
      <c r="B296" s="7" t="inlineStr">
        <is>
          <t>혈맹 Lv.10</t>
        </is>
      </c>
      <c r="C296" s="7" t="inlineStr">
        <is>
          <t>혈맹의 전설</t>
        </is>
      </c>
      <c r="D296" s="7" t="inlineStr">
        <is>
          <t>전 스탯 +5%</t>
        </is>
      </c>
      <c r="E296" s="7" t="inlineStr">
        <is>
          <t>100명 정원 — 최종</t>
        </is>
      </c>
    </row>
    <row r="297">
      <c r="A297" s="8" t="inlineStr">
        <is>
          <t>v1.16</t>
        </is>
      </c>
      <c r="B297" s="8" t="inlineStr">
        <is>
          <t>신규 NPC</t>
        </is>
      </c>
      <c r="C297" s="8" t="inlineStr">
        <is>
          <t>점쟁이</t>
        </is>
      </c>
      <c r="D297" s="8" t="inlineStr">
        <is>
          <t>운세 / 행운 버프 (밤·카르마 반응)</t>
        </is>
      </c>
      <c r="E297" s="8" t="inlineStr">
        <is>
          <t>상황 대사 4종</t>
        </is>
      </c>
    </row>
    <row r="298">
      <c r="A298" s="7" t="inlineStr">
        <is>
          <t>v1.16</t>
        </is>
      </c>
      <c r="B298" s="7" t="inlineStr">
        <is>
          <t>신규 NPC</t>
        </is>
      </c>
      <c r="C298" s="7" t="inlineStr">
        <is>
          <t>감정사</t>
        </is>
      </c>
      <c r="D298" s="7" t="inlineStr">
        <is>
          <t>미감정 장비 감정 (Lv.30+ 특수)</t>
        </is>
      </c>
      <c r="E298" s="7" t="inlineStr">
        <is>
          <t>상황 대사 4종</t>
        </is>
      </c>
    </row>
    <row r="299">
      <c r="A299" s="8" t="inlineStr">
        <is>
          <t>v1.16</t>
        </is>
      </c>
      <c r="B299" s="8" t="inlineStr">
        <is>
          <t>신규 NPC</t>
        </is>
      </c>
      <c r="C299" s="8" t="inlineStr">
        <is>
          <t>수집가</t>
        </is>
      </c>
      <c r="D299" s="8" t="inlineStr">
        <is>
          <t>희귀 아이템 매입 (골드 50000+ 특별)</t>
        </is>
      </c>
      <c r="E299" s="8" t="inlineStr">
        <is>
          <t>상황 대사 4종</t>
        </is>
      </c>
    </row>
    <row r="300">
      <c r="A300" s="7" t="inlineStr">
        <is>
          <t>v1.15</t>
        </is>
      </c>
      <c r="B300" s="7" t="inlineStr">
        <is>
          <t>각성기 (어쌔신)</t>
        </is>
      </c>
      <c r="C300" s="7" t="inlineStr">
        <is>
          <t>천 개의 칼날</t>
        </is>
      </c>
      <c r="D300" s="7" t="inlineStr">
        <is>
          <t>3.5배 × 7타 / 광역 / 쿨150초</t>
        </is>
      </c>
      <c r="E300" s="7" t="inlineStr">
        <is>
          <t>Lv.40</t>
        </is>
      </c>
    </row>
    <row r="301">
      <c r="A301" s="8" t="inlineStr">
        <is>
          <t>v1.15</t>
        </is>
      </c>
      <c r="B301" s="8" t="inlineStr">
        <is>
          <t>각성기 (워리어)</t>
        </is>
      </c>
      <c r="C301" s="8" t="inlineStr">
        <is>
          <t>대지 가르기</t>
        </is>
      </c>
      <c r="D301" s="8" t="inlineStr">
        <is>
          <t>6.0배 / 광역 5범위 / 스턴 2초</t>
        </is>
      </c>
      <c r="E301" s="8" t="inlineStr">
        <is>
          <t>Lv.40</t>
        </is>
      </c>
    </row>
    <row r="302">
      <c r="A302" s="7" t="inlineStr">
        <is>
          <t>v1.15</t>
        </is>
      </c>
      <c r="B302" s="7" t="inlineStr">
        <is>
          <t>각성기 (나이트)</t>
        </is>
      </c>
      <c r="C302" s="7" t="inlineStr">
        <is>
          <t>불멸의 수호자</t>
        </is>
      </c>
      <c r="D302" s="7" t="inlineStr">
        <is>
          <t>피해 90% 감소 / 도발 / 10초</t>
        </is>
      </c>
      <c r="E302" s="7" t="inlineStr">
        <is>
          <t>Lv.40</t>
        </is>
      </c>
    </row>
    <row r="303">
      <c r="A303" s="8" t="inlineStr">
        <is>
          <t>v1.15</t>
        </is>
      </c>
      <c r="B303" s="8" t="inlineStr">
        <is>
          <t>각성기 (메이지)</t>
        </is>
      </c>
      <c r="C303" s="8" t="inlineStr">
        <is>
          <t>시간 정지</t>
        </is>
      </c>
      <c r="D303" s="8" t="inlineStr">
        <is>
          <t>12.0배 / 광역 6범위 / 슬로우 90%</t>
        </is>
      </c>
      <c r="E303" s="8" t="inlineStr">
        <is>
          <t>Lv.40</t>
        </is>
      </c>
    </row>
    <row r="304">
      <c r="A304" s="7" t="inlineStr">
        <is>
          <t>v1.15</t>
        </is>
      </c>
      <c r="B304" s="7" t="inlineStr">
        <is>
          <t>각성기 (클레릭)</t>
        </is>
      </c>
      <c r="C304" s="7" t="inlineStr">
        <is>
          <t>신의 은총</t>
        </is>
      </c>
      <c r="D304" s="7" t="inlineStr">
        <is>
          <t>HP 100% 회복 / 전스탯 +50%</t>
        </is>
      </c>
      <c r="E304" s="7" t="inlineStr">
        <is>
          <t>Lv.40</t>
        </is>
      </c>
    </row>
    <row r="305">
      <c r="A305" s="8" t="inlineStr">
        <is>
          <t>v1.14</t>
        </is>
      </c>
      <c r="B305" s="8" t="inlineStr">
        <is>
          <t>업적</t>
        </is>
      </c>
      <c r="C305" s="8" t="inlineStr">
        <is>
          <t>폭풍 정복자</t>
        </is>
      </c>
      <c r="D305" s="8" t="inlineStr">
        <is>
          <t>폭풍의 거인 처치</t>
        </is>
      </c>
      <c r="E305" s="8" t="inlineStr">
        <is>
          <t>10,000G + 150다이아</t>
        </is>
      </c>
    </row>
    <row r="306">
      <c r="A306" s="7" t="inlineStr">
        <is>
          <t>v1.14</t>
        </is>
      </c>
      <c r="B306" s="7" t="inlineStr">
        <is>
          <t>업적</t>
        </is>
      </c>
      <c r="C306" s="7" t="inlineStr">
        <is>
          <t>연금술사</t>
        </is>
      </c>
      <c r="D306" s="7" t="inlineStr">
        <is>
          <t>엘릭서 10회 제작</t>
        </is>
      </c>
      <c r="E306" s="7" t="inlineStr">
        <is>
          <t>5,000G + 80다이아</t>
        </is>
      </c>
    </row>
    <row r="307">
      <c r="A307" s="8" t="inlineStr">
        <is>
          <t>v1.14</t>
        </is>
      </c>
      <c r="B307" s="8" t="inlineStr">
        <is>
          <t>업적</t>
        </is>
      </c>
      <c r="C307" s="8" t="inlineStr">
        <is>
          <t>그림자 정복자</t>
        </is>
      </c>
      <c r="D307" s="8" t="inlineStr">
        <is>
          <t>그림자 미궁 클리어</t>
        </is>
      </c>
      <c r="E307" s="8" t="inlineStr">
        <is>
          <t>8,000G + 120다이아</t>
        </is>
      </c>
    </row>
    <row r="308">
      <c r="A308" s="7" t="inlineStr">
        <is>
          <t>v1.14</t>
        </is>
      </c>
      <c r="B308" s="7" t="inlineStr">
        <is>
          <t>업적</t>
        </is>
      </c>
      <c r="C308" s="7" t="inlineStr">
        <is>
          <t>전설의 동반자</t>
        </is>
      </c>
      <c r="D308" s="7" t="inlineStr">
        <is>
          <t>전설급 펫 진화</t>
        </is>
      </c>
      <c r="E308" s="7" t="inlineStr">
        <is>
          <t>6,000G + 100다이아</t>
        </is>
      </c>
    </row>
    <row r="309">
      <c r="A309" s="8" t="inlineStr">
        <is>
          <t>v1.14</t>
        </is>
      </c>
      <c r="B309" s="8" t="inlineStr">
        <is>
          <t>업적</t>
        </is>
      </c>
      <c r="C309" s="8" t="inlineStr">
        <is>
          <t>이국의 상인</t>
        </is>
      </c>
      <c r="D309" s="8" t="inlineStr">
        <is>
          <t>사치품 교역 5회</t>
        </is>
      </c>
      <c r="E309" s="8" t="inlineStr">
        <is>
          <t>4,000G + 60다이아</t>
        </is>
      </c>
    </row>
    <row r="310">
      <c r="A310" s="7" t="inlineStr">
        <is>
          <t>v1.13</t>
        </is>
      </c>
      <c r="B310" s="7" t="inlineStr">
        <is>
          <t>월드 보스</t>
        </is>
      </c>
      <c r="C310" s="7" t="inlineStr">
        <is>
          <t>폭풍의 거인</t>
        </is>
      </c>
      <c r="D310" s="7" t="inlineStr">
        <is>
          <t>HP 100,000 / ATK 140 / DEF 90</t>
        </is>
      </c>
      <c r="E310" s="7" t="inlineStr">
        <is>
          <t>EXP 10000 + 6000G</t>
        </is>
      </c>
    </row>
    <row r="311">
      <c r="A311" s="8" t="inlineStr">
        <is>
          <t>v1.13</t>
        </is>
      </c>
      <c r="B311" s="8" t="inlineStr">
        <is>
          <t>월드 보스</t>
        </is>
      </c>
      <c r="C311" s="8" t="inlineStr">
        <is>
          <t>시간의 수호자</t>
        </is>
      </c>
      <c r="D311" s="8" t="inlineStr">
        <is>
          <t>HP 70,000 / ATK 170 / DEF 60</t>
        </is>
      </c>
      <c r="E311" s="8" t="inlineStr">
        <is>
          <t>EXP 9000 + 7000G</t>
        </is>
      </c>
    </row>
    <row r="312">
      <c r="A312" s="7" t="inlineStr">
        <is>
          <t>v1.13</t>
        </is>
      </c>
      <c r="B312" s="7" t="inlineStr">
        <is>
          <t>교역품</t>
        </is>
      </c>
      <c r="C312" s="7" t="inlineStr">
        <is>
          <t>불사조 깃털 / 공허의 정수 / 천공의 비단</t>
        </is>
      </c>
      <c r="D312" s="7" t="inlineStr">
        <is>
          <t>이국의 사치품 3종</t>
        </is>
      </c>
      <c r="E312" s="7" t="inlineStr">
        <is>
          <t>기본가 600~900G</t>
        </is>
      </c>
    </row>
    <row r="313">
      <c r="A313" s="8" t="inlineStr">
        <is>
          <t>v1.12</t>
        </is>
      </c>
      <c r="B313" s="8" t="inlineStr">
        <is>
          <t>연금술</t>
        </is>
      </c>
      <c r="C313" s="8" t="inlineStr">
        <is>
          <t>타이탄의 엘릭서</t>
        </is>
      </c>
      <c r="D313" s="8" t="inlineStr">
        <is>
          <t>용재료×3 + 마법재료×10</t>
        </is>
      </c>
      <c r="E313" s="8" t="inlineStr">
        <is>
          <t>ATK ×1.5 / 30분</t>
        </is>
      </c>
    </row>
    <row r="314">
      <c r="A314" s="7" t="inlineStr">
        <is>
          <t>v1.12</t>
        </is>
      </c>
      <c r="B314" s="7" t="inlineStr">
        <is>
          <t>연금술</t>
        </is>
      </c>
      <c r="C314" s="7" t="inlineStr">
        <is>
          <t>강철 엘릭서</t>
        </is>
      </c>
      <c r="D314" s="7" t="inlineStr">
        <is>
          <t>철광석×30 + 마법재료×10</t>
        </is>
      </c>
      <c r="E314" s="7" t="inlineStr">
        <is>
          <t>DEF ×1.5 / 30분</t>
        </is>
      </c>
    </row>
    <row r="315">
      <c r="A315" s="8" t="inlineStr">
        <is>
          <t>v1.12</t>
        </is>
      </c>
      <c r="B315" s="8" t="inlineStr">
        <is>
          <t>연금술</t>
        </is>
      </c>
      <c r="C315" s="8" t="inlineStr">
        <is>
          <t>질풍 엘릭서</t>
        </is>
      </c>
      <c r="D315" s="8" t="inlineStr">
        <is>
          <t>약초×20 + 마법재료×8</t>
        </is>
      </c>
      <c r="E315" s="8" t="inlineStr">
        <is>
          <t>SPD ×1.4 / 20분</t>
        </is>
      </c>
    </row>
    <row r="316">
      <c r="A316" s="7" t="inlineStr">
        <is>
          <t>v1.12</t>
        </is>
      </c>
      <c r="B316" s="7" t="inlineStr">
        <is>
          <t>연금술</t>
        </is>
      </c>
      <c r="C316" s="7" t="inlineStr">
        <is>
          <t>지혜 엘릭서</t>
        </is>
      </c>
      <c r="D316" s="7" t="inlineStr">
        <is>
          <t>마법수정×5 + 영혼재료×5</t>
        </is>
      </c>
      <c r="E316" s="7" t="inlineStr">
        <is>
          <t>EXP ×2.5 / 15분</t>
        </is>
      </c>
    </row>
    <row r="317">
      <c r="A317" s="8" t="inlineStr">
        <is>
          <t>v1.12</t>
        </is>
      </c>
      <c r="B317" s="8" t="inlineStr">
        <is>
          <t>연금술</t>
        </is>
      </c>
      <c r="C317" s="8" t="inlineStr">
        <is>
          <t>행운 엘릭서</t>
        </is>
      </c>
      <c r="D317" s="8" t="inlineStr">
        <is>
          <t>보석×10 + 마법재료×5</t>
        </is>
      </c>
      <c r="E317" s="8" t="inlineStr">
        <is>
          <t>GOLD ×2.0 / 15분</t>
        </is>
      </c>
    </row>
    <row r="318">
      <c r="A318" s="7" t="inlineStr">
        <is>
          <t>v1.11</t>
        </is>
      </c>
      <c r="B318" s="7" t="inlineStr">
        <is>
          <t>신규 펫</t>
        </is>
      </c>
      <c r="C318" s="7" t="inlineStr">
        <is>
          <t>불사조 (pet_phoenix)</t>
        </is>
      </c>
      <c r="D318" s="7" t="inlineStr">
        <is>
          <t>불꽃산 보스 50처치</t>
        </is>
      </c>
      <c r="E318" s="7" t="inlineStr">
        <is>
          <t>화염 DMG +20% (진화 +40%)</t>
        </is>
      </c>
    </row>
    <row r="319">
      <c r="A319" s="8" t="inlineStr">
        <is>
          <t>v1.11</t>
        </is>
      </c>
      <c r="B319" s="8" t="inlineStr">
        <is>
          <t>신규 펫</t>
        </is>
      </c>
      <c r="C319" s="8" t="inlineStr">
        <is>
          <t>유니콘 (pet_unicorn)</t>
        </is>
      </c>
      <c r="D319" s="8" t="inlineStr">
        <is>
          <t>다이아 800개</t>
        </is>
      </c>
      <c r="E319" s="8" t="inlineStr">
        <is>
          <t>회피 +10% (진화 +20%)</t>
        </is>
      </c>
    </row>
    <row r="320">
      <c r="A320" s="7" t="inlineStr">
        <is>
          <t>v1.11</t>
        </is>
      </c>
      <c r="B320" s="7" t="inlineStr">
        <is>
          <t>신규 탈것</t>
        </is>
      </c>
      <c r="C320" s="7" t="inlineStr">
        <is>
          <t>페가수스 (mount_pegasus)</t>
        </is>
      </c>
      <c r="D320" s="7" t="inlineStr">
        <is>
          <t>다이아 1200개</t>
        </is>
      </c>
      <c r="E320" s="7" t="inlineStr">
        <is>
          <t>이동속도 +85% / 비행</t>
        </is>
      </c>
    </row>
    <row r="321">
      <c r="A321" s="8" t="inlineStr">
        <is>
          <t>v1.10</t>
        </is>
      </c>
      <c r="B321" s="8" t="inlineStr">
        <is>
          <t>신규 던전</t>
        </is>
      </c>
      <c r="C321" s="8" t="inlineStr">
        <is>
          <t>그림자 미궁</t>
        </is>
      </c>
      <c r="D321" s="8" t="inlineStr">
        <is>
          <t>Lv.38 / 8인 파티 / 7스테이지</t>
        </is>
      </c>
      <c r="E321" s="8" t="inlineStr">
        <is>
          <t>22000G + 32000EXP</t>
        </is>
      </c>
    </row>
    <row r="322">
      <c r="A322" s="7" t="inlineStr">
        <is>
          <t>v1.10</t>
        </is>
      </c>
      <c r="B322" s="7" t="inlineStr">
        <is>
          <t>드롭</t>
        </is>
      </c>
      <c r="C322" s="7" t="inlineStr">
        <is>
          <t>드래곤 검/망토/투구/장갑</t>
        </is>
      </c>
      <c r="D322" s="7" t="inlineStr">
        <is>
          <t>그림자 미궁 보스 드롭</t>
        </is>
      </c>
      <c r="E322" s="7" t="inlineStr">
        <is>
          <t>전설급</t>
        </is>
      </c>
    </row>
    <row r="323">
      <c r="A323" s="8" t="inlineStr">
        <is>
          <t>v1.9</t>
        </is>
      </c>
      <c r="B323" s="8" t="inlineStr">
        <is>
          <t>전설 칭호</t>
        </is>
      </c>
      <c r="C323" s="8" t="inlineStr">
        <is>
          <t>공허의 방랑자</t>
        </is>
      </c>
      <c r="D323" s="8" t="inlineStr">
        <is>
          <t>몬스터 10,000 처치</t>
        </is>
      </c>
      <c r="E323" s="8" t="inlineStr">
        <is>
          <t>ATK +7%</t>
        </is>
      </c>
    </row>
    <row r="324">
      <c r="A324" s="7" t="inlineStr">
        <is>
          <t>v1.9</t>
        </is>
      </c>
      <c r="B324" s="7" t="inlineStr">
        <is>
          <t>전설 칭호</t>
        </is>
      </c>
      <c r="C324" s="7" t="inlineStr">
        <is>
          <t>불멸자</t>
        </is>
      </c>
      <c r="D324" s="7" t="inlineStr">
        <is>
          <t>환생 5회</t>
        </is>
      </c>
      <c r="E324" s="7" t="inlineStr">
        <is>
          <t>EXP +25%</t>
        </is>
      </c>
    </row>
    <row r="325">
      <c r="A325" s="8" t="inlineStr">
        <is>
          <t>v1.9</t>
        </is>
      </c>
      <c r="B325" s="8" t="inlineStr">
        <is>
          <t>전설 칭호</t>
        </is>
      </c>
      <c r="C325" s="8" t="inlineStr">
        <is>
          <t>천공의 군주</t>
        </is>
      </c>
      <c r="D325" s="8" t="inlineStr">
        <is>
          <t>월드 보스 10회 처치</t>
        </is>
      </c>
      <c r="E325" s="8" t="inlineStr">
        <is>
          <t>보스DMG +15%</t>
        </is>
      </c>
    </row>
    <row r="326">
      <c r="A326" s="7" t="inlineStr">
        <is>
          <t>v1.9</t>
        </is>
      </c>
      <c r="B326" s="7" t="inlineStr">
        <is>
          <t>기획서</t>
        </is>
      </c>
      <c r="C326" s="7" t="inlineStr">
        <is>
          <t>지역 시트 갱신</t>
        </is>
      </c>
      <c r="D326" s="7" t="inlineStr">
        <is>
          <t>25→51개 지역 반영</t>
        </is>
      </c>
      <c r="E326" s="7" t="inlineStr">
        <is>
          <t>-</t>
        </is>
      </c>
    </row>
    <row r="327">
      <c r="A327" s="8" t="inlineStr">
        <is>
          <t>v1.9</t>
        </is>
      </c>
      <c r="B327" s="8" t="inlineStr">
        <is>
          <t>기획서</t>
        </is>
      </c>
      <c r="C327" s="8" t="inlineStr">
        <is>
          <t>칭호 시트 갱신</t>
        </is>
      </c>
      <c r="D327" s="8" t="inlineStr">
        <is>
          <t>7→16종 + 효과/색상 추가</t>
        </is>
      </c>
      <c r="E327" s="8" t="inlineStr">
        <is>
          <t>-</t>
        </is>
      </c>
    </row>
    <row r="328">
      <c r="A328" s="7" t="inlineStr">
        <is>
          <t>v1.9</t>
        </is>
      </c>
      <c r="B328" s="7" t="inlineStr">
        <is>
          <t>기획서</t>
        </is>
      </c>
      <c r="C328" s="7" t="inlineStr">
        <is>
          <t>출석 캘린더 시트</t>
        </is>
      </c>
      <c r="D328" s="7" t="inlineStr">
        <is>
          <t>신규 추가 (28일 사이클)</t>
        </is>
      </c>
      <c r="E328" s="7" t="inlineStr">
        <is>
          <t>-</t>
        </is>
      </c>
    </row>
    <row r="329">
      <c r="A329" s="8" t="inlineStr">
        <is>
          <t>v1.9</t>
        </is>
      </c>
      <c r="B329" s="8" t="inlineStr">
        <is>
          <t>기획서</t>
        </is>
      </c>
      <c r="C329" s="8" t="inlineStr">
        <is>
          <t>장비 세트 시트</t>
        </is>
      </c>
      <c r="D329" s="8" t="inlineStr">
        <is>
          <t>신규 추가 (드래곤/영웅/태초)</t>
        </is>
      </c>
      <c r="E329" s="8" t="inlineStr">
        <is>
          <t>-</t>
        </is>
      </c>
    </row>
    <row r="330">
      <c r="A330" s="7" t="inlineStr">
        <is>
          <t>v1.9</t>
        </is>
      </c>
      <c r="B330" s="7" t="inlineStr">
        <is>
          <t>기획서</t>
        </is>
      </c>
      <c r="C330" s="7" t="inlineStr">
        <is>
          <t>장비 등급 시트</t>
        </is>
      </c>
      <c r="D330" s="7" t="inlineStr">
        <is>
          <t>신규 추가 (5등급 + 랜덤 옵션 7종)</t>
        </is>
      </c>
      <c r="E330" s="7" t="inlineStr">
        <is>
          <t>-</t>
        </is>
      </c>
    </row>
    <row r="331">
      <c r="A331" s="8" t="inlineStr">
        <is>
          <t>v1.9</t>
        </is>
      </c>
      <c r="B331" s="8" t="inlineStr">
        <is>
          <t>기획서</t>
        </is>
      </c>
      <c r="C331" s="8" t="inlineStr">
        <is>
          <t>디버프 시트</t>
        </is>
      </c>
      <c r="D331" s="8" t="inlineStr">
        <is>
          <t>신규 추가 (10종, v1.7 5종 포함)</t>
        </is>
      </c>
      <c r="E331" s="8" t="inlineStr">
        <is>
          <t>-</t>
        </is>
      </c>
    </row>
    <row r="332">
      <c r="A332" s="7" t="inlineStr">
        <is>
          <t>v1.9</t>
        </is>
      </c>
      <c r="B332" s="7" t="inlineStr">
        <is>
          <t>기획서</t>
        </is>
      </c>
      <c r="C332" s="7" t="inlineStr">
        <is>
          <t>패치 노트 시트</t>
        </is>
      </c>
      <c r="D332" s="7" t="inlineStr">
        <is>
          <t>신규 추가 (히스토리)</t>
        </is>
      </c>
      <c r="E332" s="7" t="inlineStr">
        <is>
          <t>-</t>
        </is>
      </c>
    </row>
    <row r="333">
      <c r="A333" s="8" t="inlineStr">
        <is>
          <t>v1.10</t>
        </is>
      </c>
      <c r="B333" s="8" t="inlineStr">
        <is>
          <t>기획서</t>
        </is>
      </c>
      <c r="C333" s="8" t="inlineStr">
        <is>
          <t>던전 시트</t>
        </is>
      </c>
      <c r="D333" s="8" t="inlineStr">
        <is>
          <t>신규 추가 (7종 던전)</t>
        </is>
      </c>
      <c r="E333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6" customWidth="1" min="3" max="3"/>
    <col width="10" customWidth="1" min="4" max="4"/>
    <col width="14" customWidth="1" min="5" max="5"/>
    <col width="20" customWidth="1" min="6" max="6"/>
    <col width="14" customWidth="1" min="7" max="7"/>
    <col width="8" customWidth="1" min="8" max="8"/>
    <col width="25" customWidth="1" min="9" max="9"/>
    <col width="16" customWidth="1" min="10" max="10"/>
    <col width="10" customWidth="1" min="11" max="11"/>
  </cols>
  <sheetData>
    <row r="1">
      <c r="A1" s="5" t="inlineStr">
        <is>
          <t>메인 스토리 퀘스트 체인 (5챕터 30퀘스트)</t>
        </is>
      </c>
    </row>
    <row r="3">
      <c r="A3" s="6" t="inlineStr">
        <is>
          <t>챕터</t>
        </is>
      </c>
      <c r="B3" s="6" t="inlineStr">
        <is>
          <t>퀘스트ID</t>
        </is>
      </c>
      <c r="C3" s="6" t="inlineStr">
        <is>
          <t>퀘스트명</t>
        </is>
      </c>
      <c r="D3" s="6" t="inlineStr">
        <is>
          <t>요구 레벨</t>
        </is>
      </c>
      <c r="E3" s="6" t="inlineStr">
        <is>
          <t>선행 조건</t>
        </is>
      </c>
      <c r="F3" s="6" t="inlineStr">
        <is>
          <t>목표</t>
        </is>
      </c>
      <c r="G3" s="6" t="inlineStr">
        <is>
          <t>추적 타겟</t>
        </is>
      </c>
      <c r="H3" s="6" t="inlineStr">
        <is>
          <t>목표량</t>
        </is>
      </c>
      <c r="I3" s="6" t="inlineStr">
        <is>
          <t>보상</t>
        </is>
      </c>
      <c r="J3" s="6" t="inlineStr">
        <is>
          <t>설계 의도</t>
        </is>
      </c>
      <c r="K3" s="6" t="inlineStr">
        <is>
          <t>유형</t>
        </is>
      </c>
    </row>
    <row r="4">
      <c r="A4" s="7" t="inlineStr">
        <is>
          <t>CH1</t>
        </is>
      </c>
      <c r="B4" s="7" t="inlineStr">
        <is>
          <t>1-1</t>
        </is>
      </c>
      <c r="C4" s="7" t="inlineStr">
        <is>
          <t>첫 발걸음</t>
        </is>
      </c>
      <c r="D4" s="7" t="inlineStr">
        <is>
          <t>Lv.1</t>
        </is>
      </c>
      <c r="E4" s="7" t="inlineStr">
        <is>
          <t>없음</t>
        </is>
      </c>
      <c r="F4" s="7" t="inlineStr">
        <is>
          <t>몬스터 3마리 처치</t>
        </is>
      </c>
      <c r="G4" s="7" t="inlineStr">
        <is>
          <t>kill_monster</t>
        </is>
      </c>
      <c r="H4" s="7" t="inlineStr">
        <is>
          <t>3</t>
        </is>
      </c>
      <c r="I4" s="7" t="inlineStr">
        <is>
          <t>골드 200, EXP 100</t>
        </is>
      </c>
      <c r="J4" s="7" t="inlineStr">
        <is>
          <t>전투 기본 학습</t>
        </is>
      </c>
      <c r="K4" s="7" t="inlineStr">
        <is>
          <t>일반</t>
        </is>
      </c>
    </row>
    <row r="5">
      <c r="A5" s="8" t="inlineStr">
        <is>
          <t>CH1</t>
        </is>
      </c>
      <c r="B5" s="8" t="inlineStr">
        <is>
          <t>1-2</t>
        </is>
      </c>
      <c r="C5" s="8" t="inlineStr">
        <is>
          <t>장비의 중요성</t>
        </is>
      </c>
      <c r="D5" s="8" t="inlineStr">
        <is>
          <t>Lv.3</t>
        </is>
      </c>
      <c r="E5" s="8" t="inlineStr">
        <is>
          <t>1-1 완료</t>
        </is>
      </c>
      <c r="F5" s="8" t="inlineStr">
        <is>
          <t>장비 1개 장착</t>
        </is>
      </c>
      <c r="G5" s="8" t="inlineStr">
        <is>
          <t>equip_item</t>
        </is>
      </c>
      <c r="H5" s="8" t="inlineStr">
        <is>
          <t>1</t>
        </is>
      </c>
      <c r="I5" s="8" t="inlineStr">
        <is>
          <t>철제 검 지급, 골드 300</t>
        </is>
      </c>
      <c r="J5" s="8" t="inlineStr">
        <is>
          <t>장비 시스템 학습</t>
        </is>
      </c>
      <c r="K5" s="8" t="inlineStr">
        <is>
          <t>일반</t>
        </is>
      </c>
    </row>
    <row r="6">
      <c r="A6" s="7" t="inlineStr">
        <is>
          <t>CH1</t>
        </is>
      </c>
      <c r="B6" s="7" t="inlineStr">
        <is>
          <t>1-3</t>
        </is>
      </c>
      <c r="C6" s="7" t="inlineStr">
        <is>
          <t>마을 탐험</t>
        </is>
      </c>
      <c r="D6" s="7" t="inlineStr">
        <is>
          <t>Lv.5</t>
        </is>
      </c>
      <c r="E6" s="7" t="inlineStr">
        <is>
          <t>1-2 완료</t>
        </is>
      </c>
      <c r="F6" s="7" t="inlineStr">
        <is>
          <t>아덴 마을 NPC 3명 대화</t>
        </is>
      </c>
      <c r="G6" s="7" t="inlineStr">
        <is>
          <t>npc_talk</t>
        </is>
      </c>
      <c r="H6" s="7" t="inlineStr">
        <is>
          <t>3</t>
        </is>
      </c>
      <c r="I6" s="7" t="inlineStr">
        <is>
          <t>물약 x5, 골드 500</t>
        </is>
      </c>
      <c r="J6" s="7" t="inlineStr">
        <is>
          <t>NPC/상점 학습</t>
        </is>
      </c>
      <c r="K6" s="7" t="inlineStr">
        <is>
          <t>일반</t>
        </is>
      </c>
    </row>
    <row r="7">
      <c r="A7" s="8" t="inlineStr">
        <is>
          <t>CH1</t>
        </is>
      </c>
      <c r="B7" s="8" t="inlineStr">
        <is>
          <t>1-4</t>
        </is>
      </c>
      <c r="C7" s="8" t="inlineStr">
        <is>
          <t>더 강한 적</t>
        </is>
      </c>
      <c r="D7" s="8" t="inlineStr">
        <is>
          <t>Lv.7</t>
        </is>
      </c>
      <c r="E7" s="8" t="inlineStr">
        <is>
          <t>1-3 완료</t>
        </is>
      </c>
      <c r="F7" s="8" t="inlineStr">
        <is>
          <t>엘리트 몬스터 1마리 처치</t>
        </is>
      </c>
      <c r="G7" s="8" t="inlineStr">
        <is>
          <t>kill_elite</t>
        </is>
      </c>
      <c r="H7" s="8" t="inlineStr">
        <is>
          <t>1</t>
        </is>
      </c>
      <c r="I7" s="8" t="inlineStr">
        <is>
          <t>장비 상자, 골드 800</t>
        </is>
      </c>
      <c r="J7" s="8" t="inlineStr">
        <is>
          <t>엘리트 몬스터 인지</t>
        </is>
      </c>
      <c r="K7" s="8" t="inlineStr">
        <is>
          <t>일반</t>
        </is>
      </c>
    </row>
    <row r="8">
      <c r="A8" s="7" t="inlineStr">
        <is>
          <t>CH1</t>
        </is>
      </c>
      <c r="B8" s="7" t="inlineStr">
        <is>
          <t>1-5</t>
        </is>
      </c>
      <c r="C8" s="7" t="inlineStr">
        <is>
          <t>10킬 스트릭</t>
        </is>
      </c>
      <c r="D8" s="7" t="inlineStr">
        <is>
          <t>Lv.8</t>
        </is>
      </c>
      <c r="E8" s="7" t="inlineStr">
        <is>
          <t>1-4 완료</t>
        </is>
      </c>
      <c r="F8" s="7" t="inlineStr">
        <is>
          <t>10킬 스트릭 달성</t>
        </is>
      </c>
      <c r="G8" s="7" t="inlineStr">
        <is>
          <t>kill_streak</t>
        </is>
      </c>
      <c r="H8" s="7" t="inlineStr">
        <is>
          <t>10</t>
        </is>
      </c>
      <c r="I8" s="7" t="inlineStr">
        <is>
          <t>칭호: 신입 전사, 다이아 20</t>
        </is>
      </c>
      <c r="J8" s="7" t="inlineStr">
        <is>
          <t>연속 전투 학습</t>
        </is>
      </c>
      <c r="K8" s="7" t="inlineStr">
        <is>
          <t>일반</t>
        </is>
      </c>
    </row>
    <row r="9">
      <c r="A9" s="8" t="inlineStr">
        <is>
          <t>CH1</t>
        </is>
      </c>
      <c r="B9" s="8" t="inlineStr">
        <is>
          <t>1-6</t>
        </is>
      </c>
      <c r="C9" s="8" t="inlineStr">
        <is>
          <t>첫 번째 전직</t>
        </is>
      </c>
      <c r="D9" s="8" t="inlineStr">
        <is>
          <t>Lv.10</t>
        </is>
      </c>
      <c r="E9" s="8" t="inlineStr">
        <is>
          <t>1-5 완료</t>
        </is>
      </c>
      <c r="F9" s="8" t="inlineStr">
        <is>
          <t>전직 완료</t>
        </is>
      </c>
      <c r="G9" s="8" t="inlineStr">
        <is>
          <t>class_advance</t>
        </is>
      </c>
      <c r="H9" s="8" t="inlineStr">
        <is>
          <t>1</t>
        </is>
      </c>
      <c r="I9" s="8" t="inlineStr">
        <is>
          <t>스킬 포인트 5, 다이아 50</t>
        </is>
      </c>
      <c r="J9" s="8" t="inlineStr">
        <is>
          <t>전직 시스템 학습</t>
        </is>
      </c>
      <c r="K9" s="8" t="inlineStr">
        <is>
          <t>일반</t>
        </is>
      </c>
    </row>
    <row r="10">
      <c r="A10" s="7" t="inlineStr">
        <is>
          <t>CH2</t>
        </is>
      </c>
      <c r="B10" s="7" t="inlineStr">
        <is>
          <t>2-1</t>
        </is>
      </c>
      <c r="C10" s="7" t="inlineStr">
        <is>
          <t>던전의 부름</t>
        </is>
      </c>
      <c r="D10" s="7" t="inlineStr">
        <is>
          <t>Lv.10</t>
        </is>
      </c>
      <c r="E10" s="7" t="inlineStr">
        <is>
          <t>1-6 완료</t>
        </is>
      </c>
      <c r="F10" s="7" t="inlineStr">
        <is>
          <t>던전 1회 클리어</t>
        </is>
      </c>
      <c r="G10" s="7" t="inlineStr">
        <is>
          <t>dungeon_clear</t>
        </is>
      </c>
      <c r="H10" s="7" t="inlineStr">
        <is>
          <t>1</t>
        </is>
      </c>
      <c r="I10" s="7" t="inlineStr">
        <is>
          <t>유물 조각 x3, 골드 2000</t>
        </is>
      </c>
      <c r="J10" s="7" t="inlineStr">
        <is>
          <t>던전 시스템 학습</t>
        </is>
      </c>
      <c r="K10" s="7" t="inlineStr">
        <is>
          <t>일반</t>
        </is>
      </c>
    </row>
    <row r="11">
      <c r="A11" s="8" t="inlineStr">
        <is>
          <t>CH2</t>
        </is>
      </c>
      <c r="B11" s="8" t="inlineStr">
        <is>
          <t>2-2</t>
        </is>
      </c>
      <c r="C11" s="8" t="inlineStr">
        <is>
          <t>동료를 구해라</t>
        </is>
      </c>
      <c r="D11" s="8" t="inlineStr">
        <is>
          <t>Lv.12</t>
        </is>
      </c>
      <c r="E11" s="8" t="inlineStr">
        <is>
          <t>2-1 완료</t>
        </is>
      </c>
      <c r="F11" s="8" t="inlineStr">
        <is>
          <t>몬스터 테이밍 1회</t>
        </is>
      </c>
      <c r="G11" s="8" t="inlineStr">
        <is>
          <t>tame_count</t>
        </is>
      </c>
      <c r="H11" s="8" t="inlineStr">
        <is>
          <t>1</t>
        </is>
      </c>
      <c r="I11" s="8" t="inlineStr">
        <is>
          <t>테이밍 비용 50% 할인권, 골드 1500</t>
        </is>
      </c>
      <c r="J11" s="8" t="inlineStr">
        <is>
          <t>테이밍 학습</t>
        </is>
      </c>
      <c r="K11" s="8" t="inlineStr">
        <is>
          <t>일반</t>
        </is>
      </c>
    </row>
    <row r="12">
      <c r="A12" s="7" t="inlineStr">
        <is>
          <t>CH2</t>
        </is>
      </c>
      <c r="B12" s="7" t="inlineStr">
        <is>
          <t>2-3</t>
        </is>
      </c>
      <c r="C12" s="7" t="inlineStr">
        <is>
          <t>대장장이의 부탁</t>
        </is>
      </c>
      <c r="D12" s="7" t="inlineStr">
        <is>
          <t>Lv.13</t>
        </is>
      </c>
      <c r="E12" s="7" t="inlineStr">
        <is>
          <t>2-2 완료</t>
        </is>
      </c>
      <c r="F12" s="7" t="inlineStr">
        <is>
          <t>장비 강화 +5 달성</t>
        </is>
      </c>
      <c r="G12" s="7" t="inlineStr">
        <is>
          <t>enchant_level</t>
        </is>
      </c>
      <c r="H12" s="7" t="inlineStr">
        <is>
          <t>5</t>
        </is>
      </c>
      <c r="I12" s="7" t="inlineStr">
        <is>
          <t>강화석 x10, 골드 3000</t>
        </is>
      </c>
      <c r="J12" s="7" t="inlineStr">
        <is>
          <t>강화 시스템 학습</t>
        </is>
      </c>
      <c r="K12" s="7" t="inlineStr">
        <is>
          <t>일반</t>
        </is>
      </c>
    </row>
    <row r="13">
      <c r="A13" s="8" t="inlineStr">
        <is>
          <t>CH2</t>
        </is>
      </c>
      <c r="B13" s="8" t="inlineStr">
        <is>
          <t>2-4</t>
        </is>
      </c>
      <c r="C13" s="8" t="inlineStr">
        <is>
          <t>펫 사육사</t>
        </is>
      </c>
      <c r="D13" s="8" t="inlineStr">
        <is>
          <t>Lv.15</t>
        </is>
      </c>
      <c r="E13" s="8" t="inlineStr">
        <is>
          <t>2-3 완료</t>
        </is>
      </c>
      <c r="F13" s="8" t="inlineStr">
        <is>
          <t>펫 1마리 구매</t>
        </is>
      </c>
      <c r="G13" s="8" t="inlineStr">
        <is>
          <t>pet_count</t>
        </is>
      </c>
      <c r="H13" s="8" t="inlineStr">
        <is>
          <t>1</t>
        </is>
      </c>
      <c r="I13" s="8" t="inlineStr">
        <is>
          <t>펫 먹이 x20, 다이아 30</t>
        </is>
      </c>
      <c r="J13" s="8" t="inlineStr">
        <is>
          <t>펫 시스템 학습</t>
        </is>
      </c>
      <c r="K13" s="8" t="inlineStr">
        <is>
          <t>일반</t>
        </is>
      </c>
    </row>
    <row r="14">
      <c r="A14" s="7" t="inlineStr">
        <is>
          <t>CH2</t>
        </is>
      </c>
      <c r="B14" s="7" t="inlineStr">
        <is>
          <t>2-5</t>
        </is>
      </c>
      <c r="C14" s="7" t="inlineStr">
        <is>
          <t>혈맹 가입</t>
        </is>
      </c>
      <c r="D14" s="7" t="inlineStr">
        <is>
          <t>Lv.15</t>
        </is>
      </c>
      <c r="E14" s="7" t="inlineStr">
        <is>
          <t>2-4 완료</t>
        </is>
      </c>
      <c r="F14" s="7" t="inlineStr">
        <is>
          <t>혈맹 가입 또는 창설</t>
        </is>
      </c>
      <c r="G14" s="7" t="inlineStr">
        <is>
          <t>join_clan</t>
        </is>
      </c>
      <c r="H14" s="7" t="inlineStr">
        <is>
          <t>1</t>
        </is>
      </c>
      <c r="I14" s="7" t="inlineStr">
        <is>
          <t>혈맹 기부 보너스, 골드 5000</t>
        </is>
      </c>
      <c r="J14" s="7" t="inlineStr">
        <is>
          <t>길드 시스템 학습</t>
        </is>
      </c>
      <c r="K14" s="7" t="inlineStr">
        <is>
          <t>일반</t>
        </is>
      </c>
    </row>
    <row r="15">
      <c r="A15" s="8" t="inlineStr">
        <is>
          <t>CH2</t>
        </is>
      </c>
      <c r="B15" s="8" t="inlineStr">
        <is>
          <t>2-6</t>
        </is>
      </c>
      <c r="C15" s="8" t="inlineStr">
        <is>
          <t>탑의 도전</t>
        </is>
      </c>
      <c r="D15" s="8" t="inlineStr">
        <is>
          <t>Lv.18</t>
        </is>
      </c>
      <c r="E15" s="8" t="inlineStr">
        <is>
          <t>2-5 완료</t>
        </is>
      </c>
      <c r="F15" s="8" t="inlineStr">
        <is>
          <t>무한의 탑 5층 클리어</t>
        </is>
      </c>
      <c r="G15" s="8" t="inlineStr">
        <is>
          <t>tower_floor</t>
        </is>
      </c>
      <c r="H15" s="8" t="inlineStr">
        <is>
          <t>5</t>
        </is>
      </c>
      <c r="I15" s="8" t="inlineStr">
        <is>
          <t>전설 장비 상자, 다이아 80</t>
        </is>
      </c>
      <c r="J15" s="8" t="inlineStr">
        <is>
          <t>무한의 탑 학습</t>
        </is>
      </c>
      <c r="K15" s="8" t="inlineStr">
        <is>
          <t>일반</t>
        </is>
      </c>
    </row>
    <row r="16">
      <c r="A16" s="7" t="inlineStr">
        <is>
          <t>CH2</t>
        </is>
      </c>
      <c r="B16" s="7" t="inlineStr">
        <is>
          <t>2-7</t>
        </is>
      </c>
      <c r="C16" s="7" t="inlineStr">
        <is>
          <t>낚시의 여유</t>
        </is>
      </c>
      <c r="D16" s="7" t="inlineStr">
        <is>
          <t>Lv.20</t>
        </is>
      </c>
      <c r="E16" s="7" t="inlineStr">
        <is>
          <t>2-6 완료</t>
        </is>
      </c>
      <c r="F16" s="7" t="inlineStr">
        <is>
          <t>물고기 10마리 낚기</t>
        </is>
      </c>
      <c r="G16" s="7" t="inlineStr">
        <is>
          <t>fish_catch</t>
        </is>
      </c>
      <c r="H16" s="7" t="inlineStr">
        <is>
          <t>10</t>
        </is>
      </c>
      <c r="I16" s="7" t="inlineStr">
        <is>
          <t>황금 낚싯대, 골드 3000</t>
        </is>
      </c>
      <c r="J16" s="7" t="inlineStr">
        <is>
          <t>낚시 시스템 학습</t>
        </is>
      </c>
      <c r="K16" s="7" t="inlineStr">
        <is>
          <t>일반</t>
        </is>
      </c>
    </row>
    <row r="17">
      <c r="A17" s="8" t="inlineStr">
        <is>
          <t>CH3</t>
        </is>
      </c>
      <c r="B17" s="8" t="inlineStr">
        <is>
          <t>3-1</t>
        </is>
      </c>
      <c r="C17" s="8" t="inlineStr">
        <is>
          <t>미지의 존 발견</t>
        </is>
      </c>
      <c r="D17" s="8" t="inlineStr">
        <is>
          <t>Lv.20</t>
        </is>
      </c>
      <c r="E17" s="8" t="inlineStr">
        <is>
          <t>2-7 완료</t>
        </is>
      </c>
      <c r="F17" s="8" t="inlineStr">
        <is>
          <t>5개 존 탐험</t>
        </is>
      </c>
      <c r="G17" s="8" t="inlineStr">
        <is>
          <t>explore_count</t>
        </is>
      </c>
      <c r="H17" s="8" t="inlineStr">
        <is>
          <t>5</t>
        </is>
      </c>
      <c r="I17" s="8" t="inlineStr">
        <is>
          <t>월드맵 확장, 골드 5000</t>
        </is>
      </c>
      <c r="J17" s="8" t="inlineStr">
        <is>
          <t>탐험 동기</t>
        </is>
      </c>
      <c r="K17" s="8" t="inlineStr">
        <is>
          <t>일반</t>
        </is>
      </c>
    </row>
    <row r="18">
      <c r="A18" s="7" t="inlineStr">
        <is>
          <t>CH3</t>
        </is>
      </c>
      <c r="B18" s="7" t="inlineStr">
        <is>
          <t>3-2</t>
        </is>
      </c>
      <c r="C18" s="7" t="inlineStr">
        <is>
          <t>교역의 길</t>
        </is>
      </c>
      <c r="D18" s="7" t="inlineStr">
        <is>
          <t>Lv.22</t>
        </is>
      </c>
      <c r="E18" s="7" t="inlineStr">
        <is>
          <t>3-1 완료</t>
        </is>
      </c>
      <c r="F18" s="7" t="inlineStr">
        <is>
          <t>교역 3회 완료</t>
        </is>
      </c>
      <c r="G18" s="7" t="inlineStr">
        <is>
          <t>trade_count</t>
        </is>
      </c>
      <c r="H18" s="7" t="inlineStr">
        <is>
          <t>3</t>
        </is>
      </c>
      <c r="I18" s="7" t="inlineStr">
        <is>
          <t>교역 상인 할인, 골드 8000</t>
        </is>
      </c>
      <c r="J18" s="7" t="inlineStr">
        <is>
          <t>교역 학습</t>
        </is>
      </c>
      <c r="K18" s="7" t="inlineStr">
        <is>
          <t>일반</t>
        </is>
      </c>
    </row>
    <row r="19">
      <c r="A19" s="8" t="inlineStr">
        <is>
          <t>CH3</t>
        </is>
      </c>
      <c r="B19" s="8" t="inlineStr">
        <is>
          <t>3-3</t>
        </is>
      </c>
      <c r="C19" s="8" t="inlineStr">
        <is>
          <t>진영 선택</t>
        </is>
      </c>
      <c r="D19" s="8" t="inlineStr">
        <is>
          <t>Lv.25</t>
        </is>
      </c>
      <c r="E19" s="8" t="inlineStr">
        <is>
          <t>3-2 완료</t>
        </is>
      </c>
      <c r="F19" s="8" t="inlineStr">
        <is>
          <t>진영 가입</t>
        </is>
      </c>
      <c r="G19" s="8" t="inlineStr">
        <is>
          <t>faction_join</t>
        </is>
      </c>
      <c r="H19" s="8" t="inlineStr">
        <is>
          <t>1</t>
        </is>
      </c>
      <c r="I19" s="8" t="inlineStr">
        <is>
          <t>진영 전용 무기, 다이아 100</t>
        </is>
      </c>
      <c r="J19" s="8" t="inlineStr">
        <is>
          <t>분기</t>
        </is>
      </c>
      <c r="K19" s="8" t="inlineStr">
        <is>
          <t>분기</t>
        </is>
      </c>
    </row>
    <row r="20">
      <c r="A20" s="7" t="inlineStr">
        <is>
          <t>CH3</t>
        </is>
      </c>
      <c r="B20" s="7" t="inlineStr">
        <is>
          <t>3-3A</t>
        </is>
      </c>
      <c r="C20" s="7" t="inlineStr">
        <is>
          <t>태양의 맹세</t>
        </is>
      </c>
      <c r="D20" s="7" t="inlineStr">
        <is>
          <t>Lv.25</t>
        </is>
      </c>
      <c r="E20" s="7" t="inlineStr">
        <is>
          <t>3-3 태양 선택</t>
        </is>
      </c>
      <c r="F20" s="7" t="inlineStr">
        <is>
          <t>태양 진영 기여 50</t>
        </is>
      </c>
      <c r="G20" s="7" t="inlineStr">
        <is>
          <t>faction_rep</t>
        </is>
      </c>
      <c r="H20" s="7" t="inlineStr">
        <is>
          <t>50</t>
        </is>
      </c>
      <c r="I20" s="7" t="inlineStr">
        <is>
          <t>태양의 검 (ATK+50), 골드 10000</t>
        </is>
      </c>
      <c r="J20" s="7" t="inlineStr">
        <is>
          <t>태양 루트</t>
        </is>
      </c>
      <c r="K20" s="7" t="inlineStr">
        <is>
          <t>분기-태양</t>
        </is>
      </c>
    </row>
    <row r="21">
      <c r="A21" s="8" t="inlineStr">
        <is>
          <t>CH3</t>
        </is>
      </c>
      <c r="B21" s="8" t="inlineStr">
        <is>
          <t>3-3B</t>
        </is>
      </c>
      <c r="C21" s="8" t="inlineStr">
        <is>
          <t>달빛의 서약</t>
        </is>
      </c>
      <c r="D21" s="8" t="inlineStr">
        <is>
          <t>Lv.25</t>
        </is>
      </c>
      <c r="E21" s="8" t="inlineStr">
        <is>
          <t>3-3 달 선택</t>
        </is>
      </c>
      <c r="F21" s="8" t="inlineStr">
        <is>
          <t>달 진영 기여 50</t>
        </is>
      </c>
      <c r="G21" s="8" t="inlineStr">
        <is>
          <t>faction_rep</t>
        </is>
      </c>
      <c r="H21" s="8" t="inlineStr">
        <is>
          <t>50</t>
        </is>
      </c>
      <c r="I21" s="8" t="inlineStr">
        <is>
          <t>달빛 갑옷 (DEF+50), 골드 10000</t>
        </is>
      </c>
      <c r="J21" s="8" t="inlineStr">
        <is>
          <t>달 루트</t>
        </is>
      </c>
      <c r="K21" s="8" t="inlineStr">
        <is>
          <t>분기-달</t>
        </is>
      </c>
    </row>
    <row r="22">
      <c r="A22" s="7" t="inlineStr">
        <is>
          <t>CH3</t>
        </is>
      </c>
      <c r="B22" s="7" t="inlineStr">
        <is>
          <t>3-3C</t>
        </is>
      </c>
      <c r="C22" s="7" t="inlineStr">
        <is>
          <t>별의 길</t>
        </is>
      </c>
      <c r="D22" s="7" t="inlineStr">
        <is>
          <t>Lv.25</t>
        </is>
      </c>
      <c r="E22" s="7" t="inlineStr">
        <is>
          <t>3-3 별 선택</t>
        </is>
      </c>
      <c r="F22" s="7" t="inlineStr">
        <is>
          <t>별 진영 기여 50</t>
        </is>
      </c>
      <c r="G22" s="7" t="inlineStr">
        <is>
          <t>faction_rep</t>
        </is>
      </c>
      <c r="H22" s="7" t="inlineStr">
        <is>
          <t>50</t>
        </is>
      </c>
      <c r="I22" s="7" t="inlineStr">
        <is>
          <t>별의 반지 (CRIT+10%), 골드 10000</t>
        </is>
      </c>
      <c r="J22" s="7" t="inlineStr">
        <is>
          <t>별 루트</t>
        </is>
      </c>
      <c r="K22" s="7" t="inlineStr">
        <is>
          <t>분기-별</t>
        </is>
      </c>
    </row>
    <row r="23">
      <c r="A23" s="8" t="inlineStr">
        <is>
          <t>CH3</t>
        </is>
      </c>
      <c r="B23" s="8" t="inlineStr">
        <is>
          <t>3-4</t>
        </is>
      </c>
      <c r="C23" s="8" t="inlineStr">
        <is>
          <t>제작의 달인</t>
        </is>
      </c>
      <c r="D23" s="8" t="inlineStr">
        <is>
          <t>Lv.28</t>
        </is>
      </c>
      <c r="E23" s="8" t="inlineStr">
        <is>
          <t>3-3 완료</t>
        </is>
      </c>
      <c r="F23" s="8" t="inlineStr">
        <is>
          <t>제작 5회 성공</t>
        </is>
      </c>
      <c r="G23" s="8" t="inlineStr">
        <is>
          <t>craft_count</t>
        </is>
      </c>
      <c r="H23" s="8" t="inlineStr">
        <is>
          <t>5</t>
        </is>
      </c>
      <c r="I23" s="8" t="inlineStr">
        <is>
          <t>전설 레시피, 다이아 50</t>
        </is>
      </c>
      <c r="J23" s="8" t="inlineStr">
        <is>
          <t>제작 심화</t>
        </is>
      </c>
      <c r="K23" s="8" t="inlineStr">
        <is>
          <t>일반</t>
        </is>
      </c>
    </row>
    <row r="24">
      <c r="A24" s="7" t="inlineStr">
        <is>
          <t>CH3</t>
        </is>
      </c>
      <c r="B24" s="7" t="inlineStr">
        <is>
          <t>3-5</t>
        </is>
      </c>
      <c r="C24" s="7" t="inlineStr">
        <is>
          <t>레이드 도전</t>
        </is>
      </c>
      <c r="D24" s="7" t="inlineStr">
        <is>
          <t>Lv.30</t>
        </is>
      </c>
      <c r="E24" s="7" t="inlineStr">
        <is>
          <t>3-4 완료</t>
        </is>
      </c>
      <c r="F24" s="7" t="inlineStr">
        <is>
          <t>혈맹 레이드 1회 클리어</t>
        </is>
      </c>
      <c r="G24" s="7" t="inlineStr">
        <is>
          <t>guild_raid</t>
        </is>
      </c>
      <c r="H24" s="7" t="inlineStr">
        <is>
          <t>1</t>
        </is>
      </c>
      <c r="I24" s="7" t="inlineStr">
        <is>
          <t>레이드 전용 장비, 골드 15000</t>
        </is>
      </c>
      <c r="J24" s="7" t="inlineStr">
        <is>
          <t>레이드 학습</t>
        </is>
      </c>
      <c r="K24" s="7" t="inlineStr">
        <is>
          <t>일반</t>
        </is>
      </c>
    </row>
    <row r="25">
      <c r="A25" s="8" t="inlineStr">
        <is>
          <t>CH3</t>
        </is>
      </c>
      <c r="B25" s="8" t="inlineStr">
        <is>
          <t>3-6</t>
        </is>
      </c>
      <c r="C25" s="8" t="inlineStr">
        <is>
          <t>PvP 세례</t>
        </is>
      </c>
      <c r="D25" s="8" t="inlineStr">
        <is>
          <t>Lv.32</t>
        </is>
      </c>
      <c r="E25" s="8" t="inlineStr">
        <is>
          <t>3-5 완료</t>
        </is>
      </c>
      <c r="F25" s="8" t="inlineStr">
        <is>
          <t>아레나 실버 티어 달성</t>
        </is>
      </c>
      <c r="G25" s="8" t="inlineStr">
        <is>
          <t>arena_tier</t>
        </is>
      </c>
      <c r="H25" s="8" t="inlineStr">
        <is>
          <t>2</t>
        </is>
      </c>
      <c r="I25" s="8" t="inlineStr">
        <is>
          <t>PvP 전용 스킨, 다이아 150</t>
        </is>
      </c>
      <c r="J25" s="8" t="inlineStr">
        <is>
          <t>PvP 심화</t>
        </is>
      </c>
      <c r="K25" s="8" t="inlineStr">
        <is>
          <t>일반</t>
        </is>
      </c>
    </row>
    <row r="26">
      <c r="A26" s="7" t="inlineStr">
        <is>
          <t>CH4</t>
        </is>
      </c>
      <c r="B26" s="7" t="inlineStr">
        <is>
          <t>4-1</t>
        </is>
      </c>
      <c r="C26" s="7" t="inlineStr">
        <is>
          <t>월드 보스 토벌</t>
        </is>
      </c>
      <c r="D26" s="7" t="inlineStr">
        <is>
          <t>Lv.35</t>
        </is>
      </c>
      <c r="E26" s="7" t="inlineStr">
        <is>
          <t>3-6 완료</t>
        </is>
      </c>
      <c r="F26" s="7" t="inlineStr">
        <is>
          <t>월드 보스 3회 처치</t>
        </is>
      </c>
      <c r="G26" s="7" t="inlineStr">
        <is>
          <t>worldboss_kill</t>
        </is>
      </c>
      <c r="H26" s="7" t="inlineStr">
        <is>
          <t>3</t>
        </is>
      </c>
      <c r="I26" s="7" t="inlineStr">
        <is>
          <t>드래곤 비늘 x10, 골드 20000</t>
        </is>
      </c>
      <c r="J26" s="7" t="inlineStr">
        <is>
          <t>고난도 보스</t>
        </is>
      </c>
      <c r="K26" s="7" t="inlineStr">
        <is>
          <t>일반</t>
        </is>
      </c>
    </row>
    <row r="27">
      <c r="A27" s="8" t="inlineStr">
        <is>
          <t>CH4</t>
        </is>
      </c>
      <c r="B27" s="8" t="inlineStr">
        <is>
          <t>4-2</t>
        </is>
      </c>
      <c r="C27" s="8" t="inlineStr">
        <is>
          <t>전설의 강화</t>
        </is>
      </c>
      <c r="D27" s="8" t="inlineStr">
        <is>
          <t>Lv.38</t>
        </is>
      </c>
      <c r="E27" s="8" t="inlineStr">
        <is>
          <t>4-1 완료</t>
        </is>
      </c>
      <c r="F27" s="8" t="inlineStr">
        <is>
          <t>장비 강화 +10 달성</t>
        </is>
      </c>
      <c r="G27" s="8" t="inlineStr">
        <is>
          <t>enchant_level</t>
        </is>
      </c>
      <c r="H27" s="8" t="inlineStr">
        <is>
          <t>10</t>
        </is>
      </c>
      <c r="I27" s="8" t="inlineStr">
        <is>
          <t>축복의 강화석, 다이아 200</t>
        </is>
      </c>
      <c r="J27" s="8" t="inlineStr">
        <is>
          <t>강화 마스터</t>
        </is>
      </c>
      <c r="K27" s="8" t="inlineStr">
        <is>
          <t>일반</t>
        </is>
      </c>
    </row>
    <row r="28">
      <c r="A28" s="7" t="inlineStr">
        <is>
          <t>CH4</t>
        </is>
      </c>
      <c r="B28" s="7" t="inlineStr">
        <is>
          <t>4-3</t>
        </is>
      </c>
      <c r="C28" s="7" t="inlineStr">
        <is>
          <t>세트 효과</t>
        </is>
      </c>
      <c r="D28" s="7" t="inlineStr">
        <is>
          <t>Lv.40</t>
        </is>
      </c>
      <c r="E28" s="7" t="inlineStr">
        <is>
          <t>4-2 완료</t>
        </is>
      </c>
      <c r="F28" s="7" t="inlineStr">
        <is>
          <t>장비 세트 보너스 활성</t>
        </is>
      </c>
      <c r="G28" s="7" t="inlineStr">
        <is>
          <t>set_bonus</t>
        </is>
      </c>
      <c r="H28" s="7" t="inlineStr">
        <is>
          <t>1</t>
        </is>
      </c>
      <c r="I28" s="7" t="inlineStr">
        <is>
          <t>세트 전용 룬, 골드 25000</t>
        </is>
      </c>
      <c r="J28" s="7" t="inlineStr">
        <is>
          <t>세트 수집</t>
        </is>
      </c>
      <c r="K28" s="7" t="inlineStr">
        <is>
          <t>일반</t>
        </is>
      </c>
    </row>
    <row r="29">
      <c r="A29" s="8" t="inlineStr">
        <is>
          <t>CH4</t>
        </is>
      </c>
      <c r="B29" s="8" t="inlineStr">
        <is>
          <t>4-4</t>
        </is>
      </c>
      <c r="C29" s="8" t="inlineStr">
        <is>
          <t>보스 러시</t>
        </is>
      </c>
      <c r="D29" s="8" t="inlineStr">
        <is>
          <t>Lv.42</t>
        </is>
      </c>
      <c r="E29" s="8" t="inlineStr">
        <is>
          <t>4-3 완료</t>
        </is>
      </c>
      <c r="F29" s="8" t="inlineStr">
        <is>
          <t>보스 러시 10웨이브</t>
        </is>
      </c>
      <c r="G29" s="8" t="inlineStr">
        <is>
          <t>boss_rush_wave</t>
        </is>
      </c>
      <c r="H29" s="8" t="inlineStr">
        <is>
          <t>10</t>
        </is>
      </c>
      <c r="I29" s="8" t="inlineStr">
        <is>
          <t>보스 러시 전용 칭호, 다이아 300</t>
        </is>
      </c>
      <c r="J29" s="8" t="inlineStr">
        <is>
          <t>극한 도전</t>
        </is>
      </c>
      <c r="K29" s="8" t="inlineStr">
        <is>
          <t>일반</t>
        </is>
      </c>
    </row>
    <row r="30">
      <c r="A30" s="7" t="inlineStr">
        <is>
          <t>CH4</t>
        </is>
      </c>
      <c r="B30" s="7" t="inlineStr">
        <is>
          <t>4-5</t>
        </is>
      </c>
      <c r="C30" s="7" t="inlineStr">
        <is>
          <t>차원의 균열</t>
        </is>
      </c>
      <c r="D30" s="7" t="inlineStr">
        <is>
          <t>Lv.45</t>
        </is>
      </c>
      <c r="E30" s="7" t="inlineStr">
        <is>
          <t>4-4 완료</t>
        </is>
      </c>
      <c r="F30" s="7" t="inlineStr">
        <is>
          <t>차원 균열 10층 돌파</t>
        </is>
      </c>
      <c r="G30" s="7" t="inlineStr">
        <is>
          <t>rift_clear</t>
        </is>
      </c>
      <c r="H30" s="7" t="inlineStr">
        <is>
          <t>10</t>
        </is>
      </c>
      <c r="I30" s="7" t="inlineStr">
        <is>
          <t>차원 장비, 골드 30000</t>
        </is>
      </c>
      <c r="J30" s="7" t="inlineStr">
        <is>
          <t>엔드게임 진입</t>
        </is>
      </c>
      <c r="K30" s="7" t="inlineStr">
        <is>
          <t>일반</t>
        </is>
      </c>
    </row>
    <row r="31">
      <c r="A31" s="8" t="inlineStr">
        <is>
          <t>CH4</t>
        </is>
      </c>
      <c r="B31" s="8" t="inlineStr">
        <is>
          <t>4-6</t>
        </is>
      </c>
      <c r="C31" s="8" t="inlineStr">
        <is>
          <t>영웅 등극</t>
        </is>
      </c>
      <c r="D31" s="8" t="inlineStr">
        <is>
          <t>Lv.50</t>
        </is>
      </c>
      <c r="E31" s="8" t="inlineStr">
        <is>
          <t>4-5 완료</t>
        </is>
      </c>
      <c r="F31" s="8" t="inlineStr">
        <is>
          <t>MVP 1회 달성</t>
        </is>
      </c>
      <c r="G31" s="8" t="inlineStr">
        <is>
          <t>worldboss_mvp</t>
        </is>
      </c>
      <c r="H31" s="8" t="inlineStr">
        <is>
          <t>1</t>
        </is>
      </c>
      <c r="I31" s="8" t="inlineStr">
        <is>
          <t>칭호: 영웅, 전설 펫, 다이아 500</t>
        </is>
      </c>
      <c r="J31" s="8" t="inlineStr">
        <is>
          <t>영웅 인정</t>
        </is>
      </c>
      <c r="K31" s="8" t="inlineStr">
        <is>
          <t>일반</t>
        </is>
      </c>
    </row>
    <row r="32">
      <c r="A32" s="7" t="inlineStr">
        <is>
          <t>CH5</t>
        </is>
      </c>
      <c r="B32" s="7" t="inlineStr">
        <is>
          <t>5-1</t>
        </is>
      </c>
      <c r="C32" s="7" t="inlineStr">
        <is>
          <t>환생의 길</t>
        </is>
      </c>
      <c r="D32" s="7" t="inlineStr">
        <is>
          <t>Lv.50</t>
        </is>
      </c>
      <c r="E32" s="7" t="inlineStr">
        <is>
          <t>4-6 완료</t>
        </is>
      </c>
      <c r="F32" s="7" t="inlineStr">
        <is>
          <t>환생 1회</t>
        </is>
      </c>
      <c r="G32" s="7" t="inlineStr">
        <is>
          <t>prestige_count</t>
        </is>
      </c>
      <c r="H32" s="7" t="inlineStr">
        <is>
          <t>1</t>
        </is>
      </c>
      <c r="I32" s="7" t="inlineStr">
        <is>
          <t>환생 전용 스킨, 다이아 500</t>
        </is>
      </c>
      <c r="J32" s="7" t="inlineStr">
        <is>
          <t>환생 시스템</t>
        </is>
      </c>
      <c r="K32" s="7" t="inlineStr">
        <is>
          <t>일반</t>
        </is>
      </c>
    </row>
    <row r="33">
      <c r="A33" s="8" t="inlineStr">
        <is>
          <t>CH5</t>
        </is>
      </c>
      <c r="B33" s="8" t="inlineStr">
        <is>
          <t>5-2</t>
        </is>
      </c>
      <c r="C33" s="8" t="inlineStr">
        <is>
          <t>마스터의 증명</t>
        </is>
      </c>
      <c r="D33" s="8" t="inlineStr">
        <is>
          <t>환생 1차</t>
        </is>
      </c>
      <c r="E33" s="8" t="inlineStr">
        <is>
          <t>5-1 완료</t>
        </is>
      </c>
      <c r="F33" s="8" t="inlineStr">
        <is>
          <t>아레나 골드 티어</t>
        </is>
      </c>
      <c r="G33" s="8" t="inlineStr">
        <is>
          <t>arena_tier</t>
        </is>
      </c>
      <c r="H33" s="8" t="inlineStr">
        <is>
          <t>3</t>
        </is>
      </c>
      <c r="I33" s="8" t="inlineStr">
        <is>
          <t>마스터 칭호, 골드 50000</t>
        </is>
      </c>
      <c r="J33" s="8" t="inlineStr">
        <is>
          <t>마스터 등급</t>
        </is>
      </c>
      <c r="K33" s="8" t="inlineStr">
        <is>
          <t>일반</t>
        </is>
      </c>
    </row>
    <row r="34">
      <c r="A34" s="7" t="inlineStr">
        <is>
          <t>CH5</t>
        </is>
      </c>
      <c r="B34" s="7" t="inlineStr">
        <is>
          <t>5-3</t>
        </is>
      </c>
      <c r="C34" s="7" t="inlineStr">
        <is>
          <t>차원 정복자</t>
        </is>
      </c>
      <c r="D34" s="7" t="inlineStr">
        <is>
          <t>환생 2차</t>
        </is>
      </c>
      <c r="E34" s="7" t="inlineStr">
        <is>
          <t>5-2 완료</t>
        </is>
      </c>
      <c r="F34" s="7" t="inlineStr">
        <is>
          <t>차원 균열 30층</t>
        </is>
      </c>
      <c r="G34" s="7" t="inlineStr">
        <is>
          <t>rift_clear</t>
        </is>
      </c>
      <c r="H34" s="7" t="inlineStr">
        <is>
          <t>30</t>
        </is>
      </c>
      <c r="I34" s="7" t="inlineStr">
        <is>
          <t>차원 정복자 칭호, 다이아 800</t>
        </is>
      </c>
      <c r="J34" s="7" t="inlineStr">
        <is>
          <t>최상위 도전</t>
        </is>
      </c>
      <c r="K34" s="7" t="inlineStr">
        <is>
          <t>일반</t>
        </is>
      </c>
    </row>
    <row r="35">
      <c r="A35" s="8" t="inlineStr">
        <is>
          <t>CH5</t>
        </is>
      </c>
      <c r="B35" s="8" t="inlineStr">
        <is>
          <t>5-4</t>
        </is>
      </c>
      <c r="C35" s="8" t="inlineStr">
        <is>
          <t>전설의 대장장이</t>
        </is>
      </c>
      <c r="D35" s="8" t="inlineStr">
        <is>
          <t>환생 3차</t>
        </is>
      </c>
      <c r="E35" s="8" t="inlineStr">
        <is>
          <t>5-3 완료</t>
        </is>
      </c>
      <c r="F35" s="8" t="inlineStr">
        <is>
          <t>전설 장비 10개 보유</t>
        </is>
      </c>
      <c r="G35" s="8" t="inlineStr">
        <is>
          <t>legendary_equip</t>
        </is>
      </c>
      <c r="H35" s="8" t="inlineStr">
        <is>
          <t>10</t>
        </is>
      </c>
      <c r="I35" s="8" t="inlineStr">
        <is>
          <t>전설 제작 마스터, 다이아 1000</t>
        </is>
      </c>
      <c r="J35" s="8" t="inlineStr">
        <is>
          <t>수집 완성</t>
        </is>
      </c>
      <c r="K35" s="8" t="inlineStr">
        <is>
          <t>일반</t>
        </is>
      </c>
    </row>
    <row r="36">
      <c r="A36" s="7" t="inlineStr">
        <is>
          <t>CH5</t>
        </is>
      </c>
      <c r="B36" s="7" t="inlineStr">
        <is>
          <t>5-5</t>
        </is>
      </c>
      <c r="C36" s="7" t="inlineStr">
        <is>
          <t>최종 결전</t>
        </is>
      </c>
      <c r="D36" s="7" t="inlineStr">
        <is>
          <t>환생 5차</t>
        </is>
      </c>
      <c r="E36" s="7" t="inlineStr">
        <is>
          <t>5-4 완료</t>
        </is>
      </c>
      <c r="F36" s="7" t="inlineStr">
        <is>
          <t>모든 월드 보스 MVP</t>
        </is>
      </c>
      <c r="G36" s="7" t="inlineStr">
        <is>
          <t>worldboss_mvp</t>
        </is>
      </c>
      <c r="H36" s="7" t="inlineStr">
        <is>
          <t>5</t>
        </is>
      </c>
      <c r="I36" s="7" t="inlineStr">
        <is>
          <t>칭호: 전설, 특수 파티클, 다이아 2000</t>
        </is>
      </c>
      <c r="J36" s="7" t="inlineStr">
        <is>
          <t>최종 목표</t>
        </is>
      </c>
      <c r="K36" s="7" t="inlineStr">
        <is>
          <t>일반</t>
        </is>
      </c>
    </row>
  </sheetData>
  <mergeCells count="1">
    <mergeCell ref="A1:K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40" customWidth="1" min="4" max="4"/>
  </cols>
  <sheetData>
    <row r="1">
      <c r="A1" s="5" t="inlineStr">
        <is>
          <t>퀘스트 길잡이 시스템</t>
        </is>
      </c>
    </row>
    <row r="3">
      <c r="A3" s="6" t="inlineStr">
        <is>
          <t>기능</t>
        </is>
      </c>
      <c r="B3" s="6" t="inlineStr">
        <is>
          <t>설명</t>
        </is>
      </c>
      <c r="C3" s="6" t="inlineStr">
        <is>
          <t>발동 시점</t>
        </is>
      </c>
      <c r="D3" s="6" t="inlineStr">
        <is>
          <t>상세</t>
        </is>
      </c>
    </row>
    <row r="4">
      <c r="A4" s="7" t="inlineStr">
        <is>
          <t>퀘스트 HUD</t>
        </is>
      </c>
      <c r="B4" s="7" t="inlineStr">
        <is>
          <t>화면 우측 상단에 현재 메인 퀘스트 표시</t>
        </is>
      </c>
      <c r="C4" s="7" t="inlineStr">
        <is>
          <t>항상 표시</t>
        </is>
      </c>
      <c r="D4" s="7" t="inlineStr">
        <is>
          <t>진행 중 퀘스트의 이름, 목표, 진행률 (3/5)</t>
        </is>
      </c>
    </row>
    <row r="5">
      <c r="A5" s="8" t="inlineStr">
        <is>
          <t>자동 추적</t>
        </is>
      </c>
      <c r="B5" s="8" t="inlineStr">
        <is>
          <t>메인 퀘스트 완료 시 자동으로 다음 퀘스트 표시</t>
        </is>
      </c>
      <c r="C5" s="8" t="inlineStr">
        <is>
          <t>퀘스트 완료 시</t>
        </is>
      </c>
      <c r="D5" s="8" t="inlineStr">
        <is>
          <t>보상 팝업 → 3초 후 다음 퀘스트 자동 표시</t>
        </is>
      </c>
    </row>
    <row r="6">
      <c r="A6" s="7" t="inlineStr">
        <is>
          <t>NPC 안내</t>
        </is>
      </c>
      <c r="B6" s="7" t="inlineStr">
        <is>
          <t>메인 퀘스트 관련 NPC 머리 위에 ! 표시</t>
        </is>
      </c>
      <c r="C6" s="7" t="inlineStr">
        <is>
          <t>NPC 근처 진입 시</t>
        </is>
      </c>
      <c r="D6" s="7" t="inlineStr">
        <is>
          <t>퀘스트 수락/완료 가능한 NPC 강조</t>
        </is>
      </c>
    </row>
    <row r="7">
      <c r="A7" s="8" t="inlineStr">
        <is>
          <t>존 안내</t>
        </is>
      </c>
      <c r="B7" s="8" t="inlineStr">
        <is>
          <t>목표 존으로 미니맵에 화살표 표시</t>
        </is>
      </c>
      <c r="C7" s="8" t="inlineStr">
        <is>
          <t>존 이동 필요 시</t>
        </is>
      </c>
      <c r="D7" s="8" t="inlineStr">
        <is>
          <t>퀘스트 목표가 특정 존에서만 가능한 경우</t>
        </is>
      </c>
    </row>
    <row r="8">
      <c r="A8" s="7" t="inlineStr">
        <is>
          <t>분기 선택 UI</t>
        </is>
      </c>
      <c r="B8" s="7" t="inlineStr">
        <is>
          <t>분기 퀘스트 도달 시 선택 모달 표시</t>
        </is>
      </c>
      <c r="C8" s="7" t="inlineStr">
        <is>
          <t>분기 퀘스트 시</t>
        </is>
      </c>
      <c r="D8" s="7" t="inlineStr">
        <is>
          <t>각 선택지의 보상/특성을 비교하는 UI</t>
        </is>
      </c>
    </row>
    <row r="9">
      <c r="A9" s="8" t="inlineStr">
        <is>
          <t>퀘스트 로그</t>
        </is>
      </c>
      <c r="B9" s="8" t="inlineStr">
        <is>
          <t>완료한 퀘스트 히스토리 열람</t>
        </is>
      </c>
      <c r="C9" s="8" t="inlineStr">
        <is>
          <t>메뉴에서</t>
        </is>
      </c>
      <c r="D9" s="8" t="inlineStr">
        <is>
          <t>챕터별 완료 현황, 숨겨진 퀘스트 해금 상태</t>
        </is>
      </c>
    </row>
    <row r="10">
      <c r="A10" s="7" t="inlineStr">
        <is>
          <t>보상 연출</t>
        </is>
      </c>
      <c r="B10" s="7" t="inlineStr">
        <is>
          <t>퀘스트 완료 시 화려한 보상 연출</t>
        </is>
      </c>
      <c r="C10" s="7" t="inlineStr">
        <is>
          <t>완료 시</t>
        </is>
      </c>
      <c r="D10" s="7" t="inlineStr">
        <is>
          <t>아이템 드롭 + 경험치 바 + 골드 카운터 애니메이션</t>
        </is>
      </c>
    </row>
    <row r="11">
      <c r="A11" s="8" t="inlineStr">
        <is>
          <t>챕터 전환</t>
        </is>
      </c>
      <c r="B11" s="8" t="inlineStr">
        <is>
          <t>챕터 클리어 시 스토리 컷씬</t>
        </is>
      </c>
      <c r="C11" s="8" t="inlineStr">
        <is>
          <t>챕터 완료 시</t>
        </is>
      </c>
      <c r="D11" s="8" t="inlineStr">
        <is>
          <t>다음 챕터 해금 알림 + 새로운 존/기능 안내</t>
        </is>
      </c>
    </row>
  </sheetData>
  <mergeCells count="1">
    <mergeCell ref="A1:D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2" customWidth="1" min="4" max="4"/>
    <col width="14" customWidth="1" min="5" max="5"/>
    <col width="8" customWidth="1" min="6" max="6"/>
    <col width="28" customWidth="1" min="7" max="7"/>
    <col width="22" customWidth="1" min="8" max="8"/>
    <col width="22" customWidth="1" min="9" max="9"/>
  </cols>
  <sheetData>
    <row r="1">
      <c r="A1" s="5" t="inlineStr">
        <is>
          <t>숨겨진 &amp; 분기 퀘스트</t>
        </is>
      </c>
    </row>
    <row r="3">
      <c r="A3" s="6" t="inlineStr">
        <is>
          <t>유형</t>
        </is>
      </c>
      <c r="B3" s="6" t="inlineStr">
        <is>
          <t>퀘스트ID</t>
        </is>
      </c>
      <c r="C3" s="6" t="inlineStr">
        <is>
          <t>퀘스트명</t>
        </is>
      </c>
      <c r="D3" s="6" t="inlineStr">
        <is>
          <t>해금 조건</t>
        </is>
      </c>
      <c r="E3" s="6" t="inlineStr">
        <is>
          <t>추적 타겟</t>
        </is>
      </c>
      <c r="F3" s="6" t="inlineStr">
        <is>
          <t>목표량</t>
        </is>
      </c>
      <c r="G3" s="6" t="inlineStr">
        <is>
          <t>보상</t>
        </is>
      </c>
      <c r="H3" s="6" t="inlineStr">
        <is>
          <t>설계 의도</t>
        </is>
      </c>
      <c r="I3" s="6" t="inlineStr">
        <is>
          <t>구현 메모</t>
        </is>
      </c>
    </row>
    <row r="4">
      <c r="A4" s="7" t="inlineStr">
        <is>
          <t>숨겨진</t>
        </is>
      </c>
      <c r="B4" s="7" t="inlineStr">
        <is>
          <t>H-1</t>
        </is>
      </c>
      <c r="C4" s="7" t="inlineStr">
        <is>
          <t>밤의 사냥꾼</t>
        </is>
      </c>
      <c r="D4" s="7" t="inlineStr">
        <is>
          <t>밤에 50마리 처치</t>
        </is>
      </c>
      <c r="E4" s="7" t="inlineStr">
        <is>
          <t>kill_night</t>
        </is>
      </c>
      <c r="F4" s="7" t="inlineStr">
        <is>
          <t>50</t>
        </is>
      </c>
      <c r="G4" s="7" t="inlineStr">
        <is>
          <t>야행성 칭호, 야간 ATK+20%</t>
        </is>
      </c>
      <c r="H4" s="7" t="inlineStr">
        <is>
          <t>밤 시간에만 사냥 가능 (worldTime &gt; 300)</t>
        </is>
      </c>
      <c r="I4" s="7" t="inlineStr">
        <is>
          <t>처치 시 isNight 체크</t>
        </is>
      </c>
    </row>
    <row r="5">
      <c r="A5" s="8" t="inlineStr">
        <is>
          <t>숨겨진</t>
        </is>
      </c>
      <c r="B5" s="8" t="inlineStr">
        <is>
          <t>H-2</t>
        </is>
      </c>
      <c r="C5" s="8" t="inlineStr">
        <is>
          <t>폭풍의 전사</t>
        </is>
      </c>
      <c r="D5" s="8" t="inlineStr">
        <is>
          <t>폭풍 날씨에 30마리 처치</t>
        </is>
      </c>
      <c r="E5" s="8" t="inlineStr">
        <is>
          <t>kill_storm</t>
        </is>
      </c>
      <c r="F5" s="8" t="inlineStr">
        <is>
          <t>30</t>
        </is>
      </c>
      <c r="G5" s="8" t="inlineStr">
        <is>
          <t>폭풍의 검 (Wind ATK+30), 다이아 100</t>
        </is>
      </c>
      <c r="H5" s="8" t="inlineStr">
        <is>
          <t>폭풍 날씨에서만 카운트</t>
        </is>
      </c>
      <c r="I5" s="8" t="inlineStr">
        <is>
          <t>weather.id === storm 체크</t>
        </is>
      </c>
    </row>
    <row r="6">
      <c r="A6" s="7" t="inlineStr">
        <is>
          <t>숨겨진</t>
        </is>
      </c>
      <c r="B6" s="7" t="inlineStr">
        <is>
          <t>H-3</t>
        </is>
      </c>
      <c r="C6" s="7" t="inlineStr">
        <is>
          <t>평화주의자</t>
        </is>
      </c>
      <c r="D6" s="7" t="inlineStr">
        <is>
          <t>카르마 0 유지 + Lv.30</t>
        </is>
      </c>
      <c r="E6" s="7" t="inlineStr">
        <is>
          <t>peaceful_30</t>
        </is>
      </c>
      <c r="F6" s="7" t="inlineStr">
        <is>
          <t>1</t>
        </is>
      </c>
      <c r="G6" s="7" t="inlineStr">
        <is>
          <t>성자 칭호, DEF+50 영구</t>
        </is>
      </c>
      <c r="H6" s="7" t="inlineStr">
        <is>
          <t>PvP 안 하고 30 달성</t>
        </is>
      </c>
      <c r="I6" s="7" t="inlineStr">
        <is>
          <t>karma === 0 &amp;&amp; level &gt;= 30</t>
        </is>
      </c>
    </row>
    <row r="7">
      <c r="A7" s="8" t="inlineStr">
        <is>
          <t>숨겨진</t>
        </is>
      </c>
      <c r="B7" s="8" t="inlineStr">
        <is>
          <t>H-4</t>
        </is>
      </c>
      <c r="C7" s="8" t="inlineStr">
        <is>
          <t>도박왕</t>
        </is>
      </c>
      <c r="D7" s="8" t="inlineStr">
        <is>
          <t>주사위 도박 20연승</t>
        </is>
      </c>
      <c r="E7" s="8" t="inlineStr">
        <is>
          <t>dice_streak</t>
        </is>
      </c>
      <c r="F7" s="8" t="inlineStr">
        <is>
          <t>20</t>
        </is>
      </c>
      <c r="G7" s="8" t="inlineStr">
        <is>
          <t>황금 주사위 이모트, 골드 50000</t>
        </is>
      </c>
      <c r="H7" s="8" t="inlineStr">
        <is>
          <t>연속 승리 추적</t>
        </is>
      </c>
      <c r="I7" s="8" t="inlineStr">
        <is>
          <t>_diceWinStreak &gt;= 20</t>
        </is>
      </c>
    </row>
    <row r="8">
      <c r="A8" s="7" t="inlineStr">
        <is>
          <t>숨겨진</t>
        </is>
      </c>
      <c r="B8" s="7" t="inlineStr">
        <is>
          <t>H-5</t>
        </is>
      </c>
      <c r="C8" s="7" t="inlineStr">
        <is>
          <t>고독한 전사</t>
        </is>
      </c>
      <c r="D8" s="7" t="inlineStr">
        <is>
          <t>혈맹 없이 Lv.40</t>
        </is>
      </c>
      <c r="E8" s="7" t="inlineStr">
        <is>
          <t>solo_40</t>
        </is>
      </c>
      <c r="F8" s="7" t="inlineStr">
        <is>
          <t>1</t>
        </is>
      </c>
      <c r="G8" s="7" t="inlineStr">
        <is>
          <t>고독의 늑대 칭호, 솔로 ATK+15%</t>
        </is>
      </c>
      <c r="H8" s="7" t="inlineStr">
        <is>
          <t>혈맹 미가입 상태</t>
        </is>
      </c>
      <c r="I8" s="7" t="inlineStr">
        <is>
          <t>!clanName &amp;&amp; level &gt;= 40</t>
        </is>
      </c>
    </row>
    <row r="9">
      <c r="A9" s="8" t="inlineStr">
        <is>
          <t>숨겨진</t>
        </is>
      </c>
      <c r="B9" s="8" t="inlineStr">
        <is>
          <t>H-6</t>
        </is>
      </c>
      <c r="C9" s="8" t="inlineStr">
        <is>
          <t>낚시 마스터</t>
        </is>
      </c>
      <c r="D9" s="8" t="inlineStr">
        <is>
          <t>전설 물고기 낚기</t>
        </is>
      </c>
      <c r="E9" s="8" t="inlineStr">
        <is>
          <t>legendary_fish</t>
        </is>
      </c>
      <c r="F9" s="8" t="inlineStr">
        <is>
          <t>1</t>
        </is>
      </c>
      <c r="G9" s="8" t="inlineStr">
        <is>
          <t>황금 갈고리 장비, 다이아 200</t>
        </is>
      </c>
      <c r="H9" s="8" t="inlineStr">
        <is>
          <t>0.5% 확률 전설 물고기</t>
        </is>
      </c>
      <c r="I9" s="8" t="inlineStr">
        <is>
          <t>fishGrade === legendary</t>
        </is>
      </c>
    </row>
    <row r="10">
      <c r="A10" s="7" t="inlineStr">
        <is>
          <t>숨겨진</t>
        </is>
      </c>
      <c r="B10" s="7" t="inlineStr">
        <is>
          <t>H-7</t>
        </is>
      </c>
      <c r="C10" s="7" t="inlineStr">
        <is>
          <t>화산 생존자</t>
        </is>
      </c>
      <c r="D10" s="7" t="inlineStr">
        <is>
          <t>화산 존 10분 생존</t>
        </is>
      </c>
      <c r="E10" s="7" t="inlineStr">
        <is>
          <t>volcano_survive</t>
        </is>
      </c>
      <c r="F10" s="7" t="inlineStr">
        <is>
          <t>600</t>
        </is>
      </c>
      <c r="G10" s="7" t="inlineStr">
        <is>
          <t>불사조 칭호, Fire 내성 50%</t>
        </is>
      </c>
      <c r="H10" s="7" t="inlineStr">
        <is>
          <t>화산 zone에서 연속 10분</t>
        </is>
      </c>
      <c r="I10" s="7" t="inlineStr">
        <is>
          <t>getZone === volcano, 600초 연속</t>
        </is>
      </c>
    </row>
    <row r="11">
      <c r="A11" s="8" t="inlineStr">
        <is>
          <t>숨겨진</t>
        </is>
      </c>
      <c r="B11" s="8" t="inlineStr">
        <is>
          <t>H-8</t>
        </is>
      </c>
      <c r="C11" s="8" t="inlineStr">
        <is>
          <t>골드 파밍왕</t>
        </is>
      </c>
      <c r="D11" s="8" t="inlineStr">
        <is>
          <t>골드 100만 누적 획득</t>
        </is>
      </c>
      <c r="E11" s="8" t="inlineStr">
        <is>
          <t>total_gold</t>
        </is>
      </c>
      <c r="F11" s="8" t="inlineStr">
        <is>
          <t>1000000</t>
        </is>
      </c>
      <c r="G11" s="8" t="inlineStr">
        <is>
          <t>금고 확장 (+50% MAX_GOLD), 다이아 300</t>
        </is>
      </c>
      <c r="H11" s="8" t="inlineStr">
        <is>
          <t>누적 골드 100만</t>
        </is>
      </c>
      <c r="I11" s="8" t="inlineStr">
        <is>
          <t>_totalGoldEarned &gt;= 1M</t>
        </is>
      </c>
    </row>
    <row r="12">
      <c r="A12" s="7" t="inlineStr">
        <is>
          <t>분기</t>
        </is>
      </c>
      <c r="B12" s="7" t="inlineStr">
        <is>
          <t>B-1</t>
        </is>
      </c>
      <c r="C12" s="7" t="inlineStr">
        <is>
          <t>빛과 어둠의 선택</t>
        </is>
      </c>
      <c r="D12" s="7" t="inlineStr">
        <is>
          <t>메인 3-3 진영 선택 후</t>
        </is>
      </c>
      <c r="E12" s="7" t="inlineStr">
        <is>
          <t>faction_choice</t>
        </is>
      </c>
      <c r="F12" s="7" t="inlineStr">
        <is>
          <t>1</t>
        </is>
      </c>
      <c r="G12" s="7" t="inlineStr">
        <is>
          <t>진영별 전용 장비 세트</t>
        </is>
      </c>
      <c r="H12" s="7" t="inlineStr">
        <is>
          <t>태양/달/별 3갈래</t>
        </is>
      </c>
      <c r="I12" s="7" t="inlineStr">
        <is>
          <t>3-3 완료 시 자동 분기</t>
        </is>
      </c>
    </row>
    <row r="13">
      <c r="A13" s="8" t="inlineStr">
        <is>
          <t>분기</t>
        </is>
      </c>
      <c r="B13" s="8" t="inlineStr">
        <is>
          <t>B-2</t>
        </is>
      </c>
      <c r="C13" s="8" t="inlineStr">
        <is>
          <t>전직 분기</t>
        </is>
      </c>
      <c r="D13" s="8" t="inlineStr">
        <is>
          <t>2차 전직 시</t>
        </is>
      </c>
      <c r="E13" s="8" t="inlineStr">
        <is>
          <t>class_branch</t>
        </is>
      </c>
      <c r="F13" s="8" t="inlineStr">
        <is>
          <t>1</t>
        </is>
      </c>
      <c r="G13" s="8" t="inlineStr">
        <is>
          <t>클래스별 고유 스킬</t>
        </is>
      </c>
      <c r="H13" s="8" t="inlineStr">
        <is>
          <t>워리어→버서커/가디언, 메이지→아크메이지/네크로</t>
        </is>
      </c>
      <c r="I13" s="8" t="inlineStr">
        <is>
          <t>CLASS_ADVANCE 연동</t>
        </is>
      </c>
    </row>
    <row r="14">
      <c r="A14" s="7" t="inlineStr">
        <is>
          <t>분기</t>
        </is>
      </c>
      <c r="B14" s="7" t="inlineStr">
        <is>
          <t>B-3</t>
        </is>
      </c>
      <c r="C14" s="7" t="inlineStr">
        <is>
          <t>선악의 갈림길</t>
        </is>
      </c>
      <c r="D14" s="7" t="inlineStr">
        <is>
          <t>카르마 100 또는 -100</t>
        </is>
      </c>
      <c r="E14" s="7" t="inlineStr">
        <is>
          <t>karma_path</t>
        </is>
      </c>
      <c r="F14" s="7" t="inlineStr">
        <is>
          <t>1</t>
        </is>
      </c>
      <c r="G14" s="7" t="inlineStr">
        <is>
          <t>선: 성기사 스킬 / 악: 암살자 스킬</t>
        </is>
      </c>
      <c r="H14" s="7" t="inlineStr">
        <is>
          <t>카르마 수치로 자동 분기</t>
        </is>
      </c>
      <c r="I14" s="7" t="inlineStr">
        <is>
          <t>karma &gt;= 100 or &lt;= -100</t>
        </is>
      </c>
    </row>
    <row r="15">
      <c r="A15" s="8" t="inlineStr">
        <is>
          <t>분기</t>
        </is>
      </c>
      <c r="B15" s="8" t="inlineStr">
        <is>
          <t>B-4</t>
        </is>
      </c>
      <c r="C15" s="8" t="inlineStr">
        <is>
          <t>펫 진화 분기</t>
        </is>
      </c>
      <c r="D15" s="8" t="inlineStr">
        <is>
          <t>펫 진화 시</t>
        </is>
      </c>
      <c r="E15" s="8" t="inlineStr">
        <is>
          <t>pet_evolve_branch</t>
        </is>
      </c>
      <c r="F15" s="8" t="inlineStr">
        <is>
          <t>1</t>
        </is>
      </c>
      <c r="G15" s="8" t="inlineStr">
        <is>
          <t>공격형/방어형/지원형 진화</t>
        </is>
      </c>
      <c r="H15" s="8" t="inlineStr">
        <is>
          <t>진화 방향 선택 UI</t>
        </is>
      </c>
      <c r="I15" s="8" t="inlineStr">
        <is>
          <t>evolve 시 3택 모달</t>
        </is>
      </c>
    </row>
  </sheetData>
  <mergeCells count="1">
    <mergeCell ref="A1:I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8" customWidth="1" min="4" max="4"/>
    <col width="20" customWidth="1" min="5" max="5"/>
  </cols>
  <sheetData>
    <row r="1">
      <c r="A1" s="5" t="inlineStr">
        <is>
          <t>카지노 시스템 상세</t>
        </is>
      </c>
    </row>
    <row r="3">
      <c r="A3" s="6" t="inlineStr">
        <is>
          <t>게임</t>
        </is>
      </c>
      <c r="B3" s="6" t="inlineStr">
        <is>
          <t>조건</t>
        </is>
      </c>
      <c r="C3" s="6" t="inlineStr">
        <is>
          <t>배당</t>
        </is>
      </c>
      <c r="D3" s="6" t="inlineStr">
        <is>
          <t>확률</t>
        </is>
      </c>
      <c r="E3" s="6" t="inlineStr">
        <is>
          <t>비고</t>
        </is>
      </c>
    </row>
    <row r="4">
      <c r="A4" s="7" t="inlineStr">
        <is>
          <t>슬롯머신</t>
        </is>
      </c>
      <c r="B4" s="7" t="inlineStr">
        <is>
          <t>7️⃣ 3개 일치</t>
        </is>
      </c>
      <c r="C4" s="7" t="inlineStr">
        <is>
          <t>50배</t>
        </is>
      </c>
      <c r="D4" s="7" t="inlineStr">
        <is>
          <t>P=1/343 (0.29%)</t>
        </is>
      </c>
      <c r="E4" s="7" t="inlineStr">
        <is>
          <t>최고 배당</t>
        </is>
      </c>
    </row>
    <row r="5">
      <c r="A5" s="8" t="inlineStr">
        <is>
          <t>슬롯머신</t>
        </is>
      </c>
      <c r="B5" s="8" t="inlineStr">
        <is>
          <t>💎 3개 일치</t>
        </is>
      </c>
      <c r="C5" s="8" t="inlineStr">
        <is>
          <t>25배</t>
        </is>
      </c>
      <c r="D5" s="8" t="inlineStr">
        <is>
          <t>P=1/343 (0.29%)</t>
        </is>
      </c>
      <c r="E5" s="8" t="inlineStr">
        <is>
          <t>고배당</t>
        </is>
      </c>
    </row>
    <row r="6">
      <c r="A6" s="7" t="inlineStr">
        <is>
          <t>슬롯머신</t>
        </is>
      </c>
      <c r="B6" s="7" t="inlineStr">
        <is>
          <t>⭐ 3개 일치</t>
        </is>
      </c>
      <c r="C6" s="7" t="inlineStr">
        <is>
          <t>12배</t>
        </is>
      </c>
      <c r="D6" s="7" t="inlineStr">
        <is>
          <t>P=1/343 (0.29%)</t>
        </is>
      </c>
      <c r="E6" s="7" t="inlineStr">
        <is>
          <t>중배당</t>
        </is>
      </c>
    </row>
    <row r="7">
      <c r="A7" s="8" t="inlineStr">
        <is>
          <t>슬롯머신</t>
        </is>
      </c>
      <c r="B7" s="8" t="inlineStr">
        <is>
          <t>🔔 3개 일치</t>
        </is>
      </c>
      <c r="C7" s="8" t="inlineStr">
        <is>
          <t>8배</t>
        </is>
      </c>
      <c r="D7" s="8" t="inlineStr">
        <is>
          <t>P=1/343 (0.29%)</t>
        </is>
      </c>
      <c r="E7" s="8" t="inlineStr">
        <is>
          <t>중배당</t>
        </is>
      </c>
    </row>
    <row r="8">
      <c r="A8" s="7" t="inlineStr">
        <is>
          <t>슬롯머신</t>
        </is>
      </c>
      <c r="B8" s="7" t="inlineStr">
        <is>
          <t>🍊 3개 일치</t>
        </is>
      </c>
      <c r="C8" s="7" t="inlineStr">
        <is>
          <t>5배</t>
        </is>
      </c>
      <c r="D8" s="7" t="inlineStr">
        <is>
          <t>P=1/343 (0.29%)</t>
        </is>
      </c>
      <c r="E8" s="7" t="inlineStr">
        <is>
          <t>저배당</t>
        </is>
      </c>
    </row>
    <row r="9">
      <c r="A9" s="8" t="inlineStr">
        <is>
          <t>슬롯머신</t>
        </is>
      </c>
      <c r="B9" s="8" t="inlineStr">
        <is>
          <t>🍋 3개 일치</t>
        </is>
      </c>
      <c r="C9" s="8" t="inlineStr">
        <is>
          <t>4배</t>
        </is>
      </c>
      <c r="D9" s="8" t="inlineStr">
        <is>
          <t>P=1/343 (0.29%)</t>
        </is>
      </c>
      <c r="E9" s="8" t="inlineStr">
        <is>
          <t>저배당</t>
        </is>
      </c>
    </row>
    <row r="10">
      <c r="A10" s="7" t="inlineStr">
        <is>
          <t>슬롯머신</t>
        </is>
      </c>
      <c r="B10" s="7" t="inlineStr">
        <is>
          <t>🍒 3개 일치</t>
        </is>
      </c>
      <c r="C10" s="7" t="inlineStr">
        <is>
          <t>3배</t>
        </is>
      </c>
      <c r="D10" s="7" t="inlineStr">
        <is>
          <t>P=1/343 (0.29%)</t>
        </is>
      </c>
      <c r="E10" s="7" t="inlineStr">
        <is>
          <t>최저배당</t>
        </is>
      </c>
    </row>
    <row r="11">
      <c r="A11" s="8" t="inlineStr">
        <is>
          <t>슬롯머신</t>
        </is>
      </c>
      <c r="B11" s="8" t="inlineStr">
        <is>
          <t>🍒 2개 일치</t>
        </is>
      </c>
      <c r="C11" s="8" t="inlineStr">
        <is>
          <t>1.5배</t>
        </is>
      </c>
      <c r="D11" s="8" t="inlineStr">
        <is>
          <t>P=18/343 (5.25%)</t>
        </is>
      </c>
      <c r="E11" s="8" t="inlineStr">
        <is>
          <t>부분 당첨</t>
        </is>
      </c>
    </row>
    <row r="12">
      <c r="A12" s="7" t="inlineStr">
        <is>
          <t>주사위</t>
        </is>
      </c>
      <c r="B12" s="7" t="inlineStr">
        <is>
          <t>High(8-12)</t>
        </is>
      </c>
      <c r="C12" s="7" t="inlineStr">
        <is>
          <t>2배</t>
        </is>
      </c>
      <c r="D12" s="7" t="inlineStr">
        <is>
          <t>50% 확률</t>
        </is>
      </c>
      <c r="E12" s="7" t="inlineStr">
        <is>
          <t>균형잡힌 배당</t>
        </is>
      </c>
    </row>
    <row r="13">
      <c r="A13" s="8" t="inlineStr">
        <is>
          <t>주사위</t>
        </is>
      </c>
      <c r="B13" s="8" t="inlineStr">
        <is>
          <t>Low(2-6)</t>
        </is>
      </c>
      <c r="C13" s="8" t="inlineStr">
        <is>
          <t>2배</t>
        </is>
      </c>
      <c r="D13" s="8" t="inlineStr">
        <is>
          <t>50% 확률</t>
        </is>
      </c>
      <c r="E13" s="8" t="inlineStr">
        <is>
          <t>균형잡힌 배당</t>
        </is>
      </c>
    </row>
    <row r="14">
      <c r="A14" s="7" t="inlineStr">
        <is>
          <t>주사위</t>
        </is>
      </c>
      <c r="B14" s="7" t="inlineStr">
        <is>
          <t>Lucky 7</t>
        </is>
      </c>
      <c r="C14" s="7" t="inlineStr">
        <is>
          <t>5배</t>
        </is>
      </c>
      <c r="D14" s="7" t="inlineStr">
        <is>
          <t>~16.7% 확률</t>
        </is>
      </c>
      <c r="E14" s="7" t="inlineStr">
        <is>
          <t>고위험 고보상</t>
        </is>
      </c>
    </row>
    <row r="15">
      <c r="A15" s="8" t="inlineStr">
        <is>
          <t>주사위</t>
        </is>
      </c>
      <c r="B15" s="8" t="inlineStr">
        <is>
          <t>특정 숫자</t>
        </is>
      </c>
      <c r="C15" s="8" t="inlineStr">
        <is>
          <t>8배</t>
        </is>
      </c>
      <c r="D15" s="8" t="inlineStr">
        <is>
          <t>~8.3% 확률</t>
        </is>
      </c>
      <c r="E15" s="8" t="inlineStr">
        <is>
          <t>최고위험</t>
        </is>
      </c>
    </row>
    <row r="16">
      <c r="A16" s="7" t="inlineStr">
        <is>
          <t>동전 던지기</t>
        </is>
      </c>
      <c r="B16" s="7" t="inlineStr">
        <is>
          <t>앞/뒤</t>
        </is>
      </c>
      <c r="C16" s="7" t="inlineStr">
        <is>
          <t>1.95배</t>
        </is>
      </c>
      <c r="D16" s="7" t="inlineStr">
        <is>
          <t>50% 확률</t>
        </is>
      </c>
      <c r="E16" s="7" t="inlineStr">
        <is>
          <t>하우스 엣지 2.5%</t>
        </is>
      </c>
    </row>
    <row r="17">
      <c r="A17" s="8" t="inlineStr">
        <is>
          <t>설정</t>
        </is>
      </c>
      <c r="B17" s="8" t="inlineStr">
        <is>
          <t>최소 베팅</t>
        </is>
      </c>
      <c r="C17" s="8" t="inlineStr">
        <is>
          <t>10G</t>
        </is>
      </c>
      <c r="D17" s="8" t="inlineStr">
        <is>
          <t>-</t>
        </is>
      </c>
      <c r="E17" s="8" t="inlineStr">
        <is>
          <t>-</t>
        </is>
      </c>
    </row>
    <row r="18">
      <c r="A18" s="7" t="inlineStr">
        <is>
          <t>설정</t>
        </is>
      </c>
      <c r="B18" s="7" t="inlineStr">
        <is>
          <t>최대 베팅</t>
        </is>
      </c>
      <c r="C18" s="7" t="inlineStr">
        <is>
          <t>10,000G</t>
        </is>
      </c>
      <c r="D18" s="7" t="inlineStr">
        <is>
          <t>-</t>
        </is>
      </c>
      <c r="E18" s="7" t="inlineStr">
        <is>
          <t>-</t>
        </is>
      </c>
    </row>
    <row r="19">
      <c r="A19" s="8" t="inlineStr">
        <is>
          <t>설정</t>
        </is>
      </c>
      <c r="B19" s="8" t="inlineStr">
        <is>
          <t>슬롯 기대 수익률</t>
        </is>
      </c>
      <c r="C19" s="8" t="inlineStr">
        <is>
          <t>~39%</t>
        </is>
      </c>
      <c r="D19" s="8" t="inlineStr">
        <is>
          <t>-</t>
        </is>
      </c>
      <c r="E19" s="8" t="inlineStr">
        <is>
          <t>높은 하우스 엣지 (의도적)</t>
        </is>
      </c>
    </row>
  </sheetData>
  <mergeCells count="1">
    <mergeCell ref="A1:E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2" customWidth="1" min="4" max="4"/>
    <col width="16" customWidth="1" min="5" max="5"/>
    <col width="10" customWidth="1" min="6" max="6"/>
    <col width="10" customWidth="1" min="7" max="7"/>
    <col width="18" customWidth="1" min="8" max="8"/>
  </cols>
  <sheetData>
    <row r="1">
      <c r="A1" s="5" t="inlineStr">
        <is>
          <t>요리 시스템 상세</t>
        </is>
      </c>
    </row>
    <row r="3">
      <c r="A3" s="6" t="inlineStr">
        <is>
          <t>분류</t>
        </is>
      </c>
      <c r="B3" s="6" t="inlineStr">
        <is>
          <t>ID</t>
        </is>
      </c>
      <c r="C3" s="6" t="inlineStr">
        <is>
          <t>이름</t>
        </is>
      </c>
      <c r="D3" s="6" t="inlineStr">
        <is>
          <t>재료/등급</t>
        </is>
      </c>
      <c r="E3" s="6" t="inlineStr">
        <is>
          <t>효과/가격</t>
        </is>
      </c>
      <c r="F3" s="6" t="inlineStr">
        <is>
          <t>지속시간</t>
        </is>
      </c>
      <c r="G3" s="6" t="inlineStr">
        <is>
          <t>성공률</t>
        </is>
      </c>
      <c r="H3" s="6" t="inlineStr">
        <is>
          <t>비고</t>
        </is>
      </c>
    </row>
    <row r="4">
      <c r="A4" s="7" t="inlineStr">
        <is>
          <t>재료</t>
        </is>
      </c>
      <c r="B4" s="7" t="inlineStr">
        <is>
          <t>meat</t>
        </is>
      </c>
      <c r="C4" s="7" t="inlineStr">
        <is>
          <t>고기</t>
        </is>
      </c>
      <c r="D4" s="7" t="inlineStr">
        <is>
          <t>common</t>
        </is>
      </c>
      <c r="E4" s="7" t="inlineStr">
        <is>
          <t>20G</t>
        </is>
      </c>
      <c r="F4" s="7" t="inlineStr">
        <is>
          <t>-</t>
        </is>
      </c>
      <c r="G4" s="7" t="inlineStr">
        <is>
          <t>-</t>
        </is>
      </c>
      <c r="H4" s="7" t="inlineStr">
        <is>
          <t>-</t>
        </is>
      </c>
    </row>
    <row r="5">
      <c r="A5" s="8" t="inlineStr">
        <is>
          <t>재료</t>
        </is>
      </c>
      <c r="B5" s="8" t="inlineStr">
        <is>
          <t>fish</t>
        </is>
      </c>
      <c r="C5" s="8" t="inlineStr">
        <is>
          <t>생선</t>
        </is>
      </c>
      <c r="D5" s="8" t="inlineStr">
        <is>
          <t>common</t>
        </is>
      </c>
      <c r="E5" s="8" t="inlineStr">
        <is>
          <t>25G</t>
        </is>
      </c>
      <c r="F5" s="8" t="inlineStr">
        <is>
          <t>-</t>
        </is>
      </c>
      <c r="G5" s="8" t="inlineStr">
        <is>
          <t>-</t>
        </is>
      </c>
      <c r="H5" s="8" t="inlineStr">
        <is>
          <t>-</t>
        </is>
      </c>
    </row>
    <row r="6">
      <c r="A6" s="7" t="inlineStr">
        <is>
          <t>재료</t>
        </is>
      </c>
      <c r="B6" s="7" t="inlineStr">
        <is>
          <t>herb</t>
        </is>
      </c>
      <c r="C6" s="7" t="inlineStr">
        <is>
          <t>허브</t>
        </is>
      </c>
      <c r="D6" s="7" t="inlineStr">
        <is>
          <t>common</t>
        </is>
      </c>
      <c r="E6" s="7" t="inlineStr">
        <is>
          <t>15G</t>
        </is>
      </c>
      <c r="F6" s="7" t="inlineStr">
        <is>
          <t>-</t>
        </is>
      </c>
      <c r="G6" s="7" t="inlineStr">
        <is>
          <t>-</t>
        </is>
      </c>
      <c r="H6" s="7" t="inlineStr">
        <is>
          <t>-</t>
        </is>
      </c>
    </row>
    <row r="7">
      <c r="A7" s="8" t="inlineStr">
        <is>
          <t>재료</t>
        </is>
      </c>
      <c r="B7" s="8" t="inlineStr">
        <is>
          <t>rice</t>
        </is>
      </c>
      <c r="C7" s="8" t="inlineStr">
        <is>
          <t>쌀</t>
        </is>
      </c>
      <c r="D7" s="8" t="inlineStr">
        <is>
          <t>common</t>
        </is>
      </c>
      <c r="E7" s="8" t="inlineStr">
        <is>
          <t>10G</t>
        </is>
      </c>
      <c r="F7" s="8" t="inlineStr">
        <is>
          <t>-</t>
        </is>
      </c>
      <c r="G7" s="8" t="inlineStr">
        <is>
          <t>-</t>
        </is>
      </c>
      <c r="H7" s="8" t="inlineStr">
        <is>
          <t>-</t>
        </is>
      </c>
    </row>
    <row r="8">
      <c r="A8" s="7" t="inlineStr">
        <is>
          <t>재료</t>
        </is>
      </c>
      <c r="B8" s="7" t="inlineStr">
        <is>
          <t>egg</t>
        </is>
      </c>
      <c r="C8" s="7" t="inlineStr">
        <is>
          <t>달걀</t>
        </is>
      </c>
      <c r="D8" s="7" t="inlineStr">
        <is>
          <t>common</t>
        </is>
      </c>
      <c r="E8" s="7" t="inlineStr">
        <is>
          <t>12G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</row>
    <row r="9">
      <c r="A9" s="8" t="inlineStr">
        <is>
          <t>재료</t>
        </is>
      </c>
      <c r="B9" s="8" t="inlineStr">
        <is>
          <t>cheese</t>
        </is>
      </c>
      <c r="C9" s="8" t="inlineStr">
        <is>
          <t>치즈</t>
        </is>
      </c>
      <c r="D9" s="8" t="inlineStr">
        <is>
          <t>uncommon</t>
        </is>
      </c>
      <c r="E9" s="8" t="inlineStr">
        <is>
          <t>50G</t>
        </is>
      </c>
      <c r="F9" s="8" t="inlineStr">
        <is>
          <t>-</t>
        </is>
      </c>
      <c r="G9" s="8" t="inlineStr">
        <is>
          <t>-</t>
        </is>
      </c>
      <c r="H9" s="8" t="inlineStr">
        <is>
          <t>-</t>
        </is>
      </c>
    </row>
    <row r="10">
      <c r="A10" s="7" t="inlineStr">
        <is>
          <t>재료</t>
        </is>
      </c>
      <c r="B10" s="7" t="inlineStr">
        <is>
          <t>honey</t>
        </is>
      </c>
      <c r="C10" s="7" t="inlineStr">
        <is>
          <t>꿀</t>
        </is>
      </c>
      <c r="D10" s="7" t="inlineStr">
        <is>
          <t>uncommon</t>
        </is>
      </c>
      <c r="E10" s="7" t="inlineStr">
        <is>
          <t>60G</t>
        </is>
      </c>
      <c r="F10" s="7" t="inlineStr">
        <is>
          <t>-</t>
        </is>
      </c>
      <c r="G10" s="7" t="inlineStr">
        <is>
          <t>-</t>
        </is>
      </c>
      <c r="H10" s="7" t="inlineStr">
        <is>
          <t>-</t>
        </is>
      </c>
    </row>
    <row r="11">
      <c r="A11" s="8" t="inlineStr">
        <is>
          <t>재료</t>
        </is>
      </c>
      <c r="B11" s="8" t="inlineStr">
        <is>
          <t>truffle</t>
        </is>
      </c>
      <c r="C11" s="8" t="inlineStr">
        <is>
          <t>트러플</t>
        </is>
      </c>
      <c r="D11" s="8" t="inlineStr">
        <is>
          <t>rare</t>
        </is>
      </c>
      <c r="E11" s="8" t="inlineStr">
        <is>
          <t>200G</t>
        </is>
      </c>
      <c r="F11" s="8" t="inlineStr">
        <is>
          <t>-</t>
        </is>
      </c>
      <c r="G11" s="8" t="inlineStr">
        <is>
          <t>-</t>
        </is>
      </c>
      <c r="H11" s="8" t="inlineStr">
        <is>
          <t>-</t>
        </is>
      </c>
    </row>
    <row r="12">
      <c r="A12" s="7" t="inlineStr">
        <is>
          <t>재료</t>
        </is>
      </c>
      <c r="B12" s="7" t="inlineStr">
        <is>
          <t>dragon_pepper</t>
        </is>
      </c>
      <c r="C12" s="7" t="inlineStr">
        <is>
          <t>용 후추</t>
        </is>
      </c>
      <c r="D12" s="7" t="inlineStr">
        <is>
          <t>epic</t>
        </is>
      </c>
      <c r="E12" s="7" t="inlineStr">
        <is>
          <t>500G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</row>
    <row r="13">
      <c r="A13" s="8" t="inlineStr">
        <is>
          <t>레시피</t>
        </is>
      </c>
      <c r="B13" s="8" t="inlineStr">
        <is>
          <t>rice_ball</t>
        </is>
      </c>
      <c r="C13" s="8" t="inlineStr">
        <is>
          <t>주먹밥</t>
        </is>
      </c>
      <c r="D13" s="8" t="inlineStr">
        <is>
          <t>쌀x2,허브x1</t>
        </is>
      </c>
      <c r="E13" s="8" t="inlineStr">
        <is>
          <t>maxHp +20</t>
        </is>
      </c>
      <c r="F13" s="8" t="inlineStr">
        <is>
          <t>10분</t>
        </is>
      </c>
      <c r="G13" s="8" t="inlineStr">
        <is>
          <t>85%</t>
        </is>
      </c>
      <c r="H13" s="8" t="inlineStr">
        <is>
          <t>10% 퍼펙트(1.5배)</t>
        </is>
      </c>
    </row>
    <row r="14">
      <c r="A14" s="7" t="inlineStr">
        <is>
          <t>레시피</t>
        </is>
      </c>
      <c r="B14" s="7" t="inlineStr">
        <is>
          <t>grilled_fish</t>
        </is>
      </c>
      <c r="C14" s="7" t="inlineStr">
        <is>
          <t>구운 생선</t>
        </is>
      </c>
      <c r="D14" s="7" t="inlineStr">
        <is>
          <t>생선x1,허브x1</t>
        </is>
      </c>
      <c r="E14" s="7" t="inlineStr">
        <is>
          <t>evasion +3</t>
        </is>
      </c>
      <c r="F14" s="7" t="inlineStr">
        <is>
          <t>15분</t>
        </is>
      </c>
      <c r="G14" s="7" t="inlineStr">
        <is>
          <t>85%</t>
        </is>
      </c>
      <c r="H14" s="7" t="inlineStr">
        <is>
          <t>10% 퍼펙트(1.5배)</t>
        </is>
      </c>
    </row>
    <row r="15">
      <c r="A15" s="8" t="inlineStr">
        <is>
          <t>레시피</t>
        </is>
      </c>
      <c r="B15" s="8" t="inlineStr">
        <is>
          <t>meat_stew</t>
        </is>
      </c>
      <c r="C15" s="8" t="inlineStr">
        <is>
          <t>고기 스튜</t>
        </is>
      </c>
      <c r="D15" s="8" t="inlineStr">
        <is>
          <t>고기x2,허브x2,쌀x1</t>
        </is>
      </c>
      <c r="E15" s="8" t="inlineStr">
        <is>
          <t>atk +5</t>
        </is>
      </c>
      <c r="F15" s="8" t="inlineStr">
        <is>
          <t>20분</t>
        </is>
      </c>
      <c r="G15" s="8" t="inlineStr">
        <is>
          <t>85%</t>
        </is>
      </c>
      <c r="H15" s="8" t="inlineStr">
        <is>
          <t>10% 퍼펙트(1.5배)</t>
        </is>
      </c>
    </row>
    <row r="16">
      <c r="A16" s="7" t="inlineStr">
        <is>
          <t>레시피</t>
        </is>
      </c>
      <c r="B16" s="7" t="inlineStr">
        <is>
          <t>cheese_omelet</t>
        </is>
      </c>
      <c r="C16" s="7" t="inlineStr">
        <is>
          <t>치즈 오믈렛</t>
        </is>
      </c>
      <c r="D16" s="7" t="inlineStr">
        <is>
          <t>달걀x2,치즈x1</t>
        </is>
      </c>
      <c r="E16" s="7" t="inlineStr">
        <is>
          <t>def +8</t>
        </is>
      </c>
      <c r="F16" s="7" t="inlineStr">
        <is>
          <t>15분</t>
        </is>
      </c>
      <c r="G16" s="7" t="inlineStr">
        <is>
          <t>85%</t>
        </is>
      </c>
      <c r="H16" s="7" t="inlineStr">
        <is>
          <t>10% 퍼펙트(1.5배)</t>
        </is>
      </c>
    </row>
    <row r="17">
      <c r="A17" s="8" t="inlineStr">
        <is>
          <t>레시피</t>
        </is>
      </c>
      <c r="B17" s="8" t="inlineStr">
        <is>
          <t>honey_glazed_meat</t>
        </is>
      </c>
      <c r="C17" s="8" t="inlineStr">
        <is>
          <t>꿀 발린 고기</t>
        </is>
      </c>
      <c r="D17" s="8" t="inlineStr">
        <is>
          <t>고기x2,꿀x1</t>
        </is>
      </c>
      <c r="E17" s="8" t="inlineStr">
        <is>
          <t>crit +4</t>
        </is>
      </c>
      <c r="F17" s="8" t="inlineStr">
        <is>
          <t>20분</t>
        </is>
      </c>
      <c r="G17" s="8" t="inlineStr">
        <is>
          <t>85%</t>
        </is>
      </c>
      <c r="H17" s="8" t="inlineStr">
        <is>
          <t>10% 퍼펙트(1.5배)</t>
        </is>
      </c>
    </row>
    <row r="18">
      <c r="A18" s="7" t="inlineStr">
        <is>
          <t>레시피</t>
        </is>
      </c>
      <c r="B18" s="7" t="inlineStr">
        <is>
          <t>truffle_pasta</t>
        </is>
      </c>
      <c r="C18" s="7" t="inlineStr">
        <is>
          <t>트러플 파스타</t>
        </is>
      </c>
      <c r="D18" s="7" t="inlineStr">
        <is>
          <t>트러플x1,치즈x2,달걀x1</t>
        </is>
      </c>
      <c r="E18" s="7" t="inlineStr">
        <is>
          <t>expBonus +15%</t>
        </is>
      </c>
      <c r="F18" s="7" t="inlineStr">
        <is>
          <t>30분</t>
        </is>
      </c>
      <c r="G18" s="7" t="inlineStr">
        <is>
          <t>85%</t>
        </is>
      </c>
      <c r="H18" s="7" t="inlineStr">
        <is>
          <t>10% 퍼펙트(1.5배)</t>
        </is>
      </c>
    </row>
    <row r="19">
      <c r="A19" s="8" t="inlineStr">
        <is>
          <t>레시피</t>
        </is>
      </c>
      <c r="B19" s="8" t="inlineStr">
        <is>
          <t>dragon_curry</t>
        </is>
      </c>
      <c r="C19" s="8" t="inlineStr">
        <is>
          <t>드래곤 카레</t>
        </is>
      </c>
      <c r="D19" s="8" t="inlineStr">
        <is>
          <t>고기x3,용후추x1,쌀x2</t>
        </is>
      </c>
      <c r="E19" s="8" t="inlineStr">
        <is>
          <t>allStats +10</t>
        </is>
      </c>
      <c r="F19" s="8" t="inlineStr">
        <is>
          <t>30분</t>
        </is>
      </c>
      <c r="G19" s="8" t="inlineStr">
        <is>
          <t>85%</t>
        </is>
      </c>
      <c r="H19" s="8" t="inlineStr">
        <is>
          <t>10% 퍼펙트(1.5배)</t>
        </is>
      </c>
    </row>
  </sheetData>
  <mergeCells count="1">
    <mergeCell ref="A1:H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>
      <c r="A1" s="5" t="inlineStr">
        <is>
          <t>별자리 시스템 (12궁 + 마스터)</t>
        </is>
      </c>
    </row>
    <row r="3">
      <c r="A3" s="6" t="inlineStr">
        <is>
          <t>아이콘</t>
        </is>
      </c>
      <c r="B3" s="6" t="inlineStr">
        <is>
          <t>이름</t>
        </is>
      </c>
      <c r="C3" s="6" t="inlineStr">
        <is>
          <t>ID</t>
        </is>
      </c>
      <c r="D3" s="6" t="inlineStr">
        <is>
          <t>보너스 스탯</t>
        </is>
      </c>
      <c r="E3" s="6" t="inlineStr">
        <is>
          <t>보너스 값</t>
        </is>
      </c>
      <c r="F3" s="6" t="inlineStr">
        <is>
          <t>설명</t>
        </is>
      </c>
    </row>
    <row r="4">
      <c r="A4" s="7" t="inlineStr">
        <is>
          <t>♈</t>
        </is>
      </c>
      <c r="B4" s="7" t="inlineStr">
        <is>
          <t>양자리</t>
        </is>
      </c>
      <c r="C4" s="7" t="inlineStr">
        <is>
          <t>aries</t>
        </is>
      </c>
      <c r="D4" s="7" t="inlineStr">
        <is>
          <t>atk</t>
        </is>
      </c>
      <c r="E4" s="7" t="inlineStr">
        <is>
          <t>+8</t>
        </is>
      </c>
      <c r="F4" s="7" t="inlineStr">
        <is>
          <t>돌진하는 양의 기운</t>
        </is>
      </c>
    </row>
    <row r="5">
      <c r="A5" s="8" t="inlineStr">
        <is>
          <t>♉</t>
        </is>
      </c>
      <c r="B5" s="8" t="inlineStr">
        <is>
          <t>황소자리</t>
        </is>
      </c>
      <c r="C5" s="8" t="inlineStr">
        <is>
          <t>taurus</t>
        </is>
      </c>
      <c r="D5" s="8" t="inlineStr">
        <is>
          <t>def</t>
        </is>
      </c>
      <c r="E5" s="8" t="inlineStr">
        <is>
          <t>+12</t>
        </is>
      </c>
      <c r="F5" s="8" t="inlineStr">
        <is>
          <t>굳건한 황소의 힘</t>
        </is>
      </c>
    </row>
    <row r="6">
      <c r="A6" s="7" t="inlineStr">
        <is>
          <t>♊</t>
        </is>
      </c>
      <c r="B6" s="7" t="inlineStr">
        <is>
          <t>쌍둥이자리</t>
        </is>
      </c>
      <c r="C6" s="7" t="inlineStr">
        <is>
          <t>gemini</t>
        </is>
      </c>
      <c r="D6" s="7" t="inlineStr">
        <is>
          <t>crit</t>
        </is>
      </c>
      <c r="E6" s="7" t="inlineStr">
        <is>
          <t>+5%</t>
        </is>
      </c>
      <c r="F6" s="7" t="inlineStr">
        <is>
          <t>쌍둥이의 가호</t>
        </is>
      </c>
    </row>
    <row r="7">
      <c r="A7" s="8" t="inlineStr">
        <is>
          <t>♋</t>
        </is>
      </c>
      <c r="B7" s="8" t="inlineStr">
        <is>
          <t>게자리</t>
        </is>
      </c>
      <c r="C7" s="8" t="inlineStr">
        <is>
          <t>cancer</t>
        </is>
      </c>
      <c r="D7" s="8" t="inlineStr">
        <is>
          <t>maxHp</t>
        </is>
      </c>
      <c r="E7" s="8" t="inlineStr">
        <is>
          <t>+50</t>
        </is>
      </c>
      <c r="F7" s="8" t="inlineStr">
        <is>
          <t>단단한 껍질의 수호</t>
        </is>
      </c>
    </row>
    <row r="8">
      <c r="A8" s="7" t="inlineStr">
        <is>
          <t>♌</t>
        </is>
      </c>
      <c r="B8" s="7" t="inlineStr">
        <is>
          <t>사자자리</t>
        </is>
      </c>
      <c r="C8" s="7" t="inlineStr">
        <is>
          <t>leo</t>
        </is>
      </c>
      <c r="D8" s="7" t="inlineStr">
        <is>
          <t>atk</t>
        </is>
      </c>
      <c r="E8" s="7" t="inlineStr">
        <is>
          <t>+12</t>
        </is>
      </c>
      <c r="F8" s="7" t="inlineStr">
        <is>
          <t>백수의 왕의 포효</t>
        </is>
      </c>
    </row>
    <row r="9">
      <c r="A9" s="8" t="inlineStr">
        <is>
          <t>♍</t>
        </is>
      </c>
      <c r="B9" s="8" t="inlineStr">
        <is>
          <t>처녀자리</t>
        </is>
      </c>
      <c r="C9" s="8" t="inlineStr">
        <is>
          <t>virgo</t>
        </is>
      </c>
      <c r="D9" s="8" t="inlineStr">
        <is>
          <t>evasion</t>
        </is>
      </c>
      <c r="E9" s="8" t="inlineStr">
        <is>
          <t>+5%</t>
        </is>
      </c>
      <c r="F9" s="8" t="inlineStr">
        <is>
          <t>순수한 우아함</t>
        </is>
      </c>
    </row>
    <row r="10">
      <c r="A10" s="7" t="inlineStr">
        <is>
          <t>♎</t>
        </is>
      </c>
      <c r="B10" s="7" t="inlineStr">
        <is>
          <t>천칭자리</t>
        </is>
      </c>
      <c r="C10" s="7" t="inlineStr">
        <is>
          <t>libra</t>
        </is>
      </c>
      <c r="D10" s="7" t="inlineStr">
        <is>
          <t>allStats</t>
        </is>
      </c>
      <c r="E10" s="7" t="inlineStr">
        <is>
          <t>+4</t>
        </is>
      </c>
      <c r="F10" s="7" t="inlineStr">
        <is>
          <t>균형의 가호</t>
        </is>
      </c>
    </row>
    <row r="11">
      <c r="A11" s="8" t="inlineStr">
        <is>
          <t>♏</t>
        </is>
      </c>
      <c r="B11" s="8" t="inlineStr">
        <is>
          <t>전갈자리</t>
        </is>
      </c>
      <c r="C11" s="8" t="inlineStr">
        <is>
          <t>scorpio</t>
        </is>
      </c>
      <c r="D11" s="8" t="inlineStr">
        <is>
          <t>crit</t>
        </is>
      </c>
      <c r="E11" s="8" t="inlineStr">
        <is>
          <t>+8%</t>
        </is>
      </c>
      <c r="F11" s="8" t="inlineStr">
        <is>
          <t>독침의 날카로움</t>
        </is>
      </c>
    </row>
    <row r="12">
      <c r="A12" s="7" t="inlineStr">
        <is>
          <t>♐</t>
        </is>
      </c>
      <c r="B12" s="7" t="inlineStr">
        <is>
          <t>사수자리</t>
        </is>
      </c>
      <c r="C12" s="7" t="inlineStr">
        <is>
          <t>sagittarius</t>
        </is>
      </c>
      <c r="D12" s="7" t="inlineStr">
        <is>
          <t>expBonus</t>
        </is>
      </c>
      <c r="E12" s="7" t="inlineStr">
        <is>
          <t>+10%</t>
        </is>
      </c>
      <c r="F12" s="7" t="inlineStr">
        <is>
          <t>머나먼 화살의 지혜</t>
        </is>
      </c>
    </row>
    <row r="13">
      <c r="A13" s="8" t="inlineStr">
        <is>
          <t>♑</t>
        </is>
      </c>
      <c r="B13" s="8" t="inlineStr">
        <is>
          <t>염소자리</t>
        </is>
      </c>
      <c r="C13" s="8" t="inlineStr">
        <is>
          <t>capricorn</t>
        </is>
      </c>
      <c r="D13" s="8" t="inlineStr">
        <is>
          <t>goldBonus</t>
        </is>
      </c>
      <c r="E13" s="8" t="inlineStr">
        <is>
          <t>+15%</t>
        </is>
      </c>
      <c r="F13" s="8" t="inlineStr">
        <is>
          <t>풍요의 산양</t>
        </is>
      </c>
    </row>
    <row r="14">
      <c r="A14" s="7" t="inlineStr">
        <is>
          <t>♒</t>
        </is>
      </c>
      <c r="B14" s="7" t="inlineStr">
        <is>
          <t>물병자리</t>
        </is>
      </c>
      <c r="C14" s="7" t="inlineStr">
        <is>
          <t>aquarius</t>
        </is>
      </c>
      <c r="D14" s="7" t="inlineStr">
        <is>
          <t>mp</t>
        </is>
      </c>
      <c r="E14" s="7" t="inlineStr">
        <is>
          <t>+30</t>
        </is>
      </c>
      <c r="F14" s="7" t="inlineStr">
        <is>
          <t>영혼의 물병</t>
        </is>
      </c>
    </row>
    <row r="15">
      <c r="A15" s="8" t="inlineStr">
        <is>
          <t>♓</t>
        </is>
      </c>
      <c r="B15" s="8" t="inlineStr">
        <is>
          <t>물고기자리</t>
        </is>
      </c>
      <c r="C15" s="8" t="inlineStr">
        <is>
          <t>pisces</t>
        </is>
      </c>
      <c r="D15" s="8" t="inlineStr">
        <is>
          <t>evasion</t>
        </is>
      </c>
      <c r="E15" s="8" t="inlineStr">
        <is>
          <t>+8%</t>
        </is>
      </c>
      <c r="F15" s="8" t="inlineStr">
        <is>
          <t>유영하는 물고기</t>
        </is>
      </c>
    </row>
    <row r="16">
      <c r="A16" s="7" t="inlineStr">
        <is>
          <t>🌟</t>
        </is>
      </c>
      <c r="B16" s="7" t="inlineStr">
        <is>
          <t>마스터 보너스</t>
        </is>
      </c>
      <c r="C16" s="7" t="inlineStr">
        <is>
          <t>전체 수집</t>
        </is>
      </c>
      <c r="D16" s="7" t="inlineStr">
        <is>
          <t>allStats</t>
        </is>
      </c>
      <c r="E16" s="7" t="inlineStr">
        <is>
          <t>+10</t>
        </is>
      </c>
      <c r="F16" s="7" t="inlineStr">
        <is>
          <t>12 별자리 관측 완료 보상</t>
        </is>
      </c>
    </row>
  </sheetData>
  <mergeCells count="1">
    <mergeCell ref="A1:F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20" customWidth="1" min="4" max="4"/>
    <col width="10" customWidth="1" min="5" max="5"/>
    <col width="10" customWidth="1" min="6" max="6"/>
    <col width="10" customWidth="1" min="7" max="7"/>
  </cols>
  <sheetData>
    <row r="1">
      <c r="A1" s="5" t="inlineStr">
        <is>
          <t>일일 훈련 시스템</t>
        </is>
      </c>
    </row>
    <row r="3">
      <c r="A3" s="6" t="inlineStr">
        <is>
          <t>훈련</t>
        </is>
      </c>
      <c r="B3" s="6" t="inlineStr">
        <is>
          <t>ID</t>
        </is>
      </c>
      <c r="C3" s="6" t="inlineStr">
        <is>
          <t>영구 보너스</t>
        </is>
      </c>
      <c r="D3" s="6" t="inlineStr">
        <is>
          <t>임시 버프</t>
        </is>
      </c>
      <c r="E3" s="6" t="inlineStr">
        <is>
          <t>최대 랭크</t>
        </is>
      </c>
      <c r="F3" s="6" t="inlineStr">
        <is>
          <t>골드 보상</t>
        </is>
      </c>
      <c r="G3" s="6" t="inlineStr">
        <is>
          <t>EXP 보상</t>
        </is>
      </c>
    </row>
    <row r="4">
      <c r="A4" s="7" t="inlineStr">
        <is>
          <t>전투 훈련</t>
        </is>
      </c>
      <c r="B4" s="7" t="inlineStr">
        <is>
          <t>combat</t>
        </is>
      </c>
      <c r="C4" s="7" t="inlineStr">
        <is>
          <t>ATK +1 (영구)</t>
        </is>
      </c>
      <c r="D4" s="7" t="inlineStr">
        <is>
          <t>ATK +10% (1시간)</t>
        </is>
      </c>
      <c r="E4" s="7" t="inlineStr">
        <is>
          <t>30</t>
        </is>
      </c>
      <c r="F4" s="7" t="inlineStr">
        <is>
          <t>100G</t>
        </is>
      </c>
      <c r="G4" s="7" t="inlineStr">
        <is>
          <t>50 EXP</t>
        </is>
      </c>
    </row>
    <row r="5">
      <c r="A5" s="8" t="inlineStr">
        <is>
          <t>방어 훈련</t>
        </is>
      </c>
      <c r="B5" s="8" t="inlineStr">
        <is>
          <t>defense</t>
        </is>
      </c>
      <c r="C5" s="8" t="inlineStr">
        <is>
          <t>DEF +1 (영구)</t>
        </is>
      </c>
      <c r="D5" s="8" t="inlineStr">
        <is>
          <t>DEF +10% (1시간)</t>
        </is>
      </c>
      <c r="E5" s="8" t="inlineStr">
        <is>
          <t>30</t>
        </is>
      </c>
      <c r="F5" s="8" t="inlineStr">
        <is>
          <t>100G</t>
        </is>
      </c>
      <c r="G5" s="8" t="inlineStr">
        <is>
          <t>50 EXP</t>
        </is>
      </c>
    </row>
    <row r="6">
      <c r="A6" s="7" t="inlineStr">
        <is>
          <t>민첩 훈련</t>
        </is>
      </c>
      <c r="B6" s="7" t="inlineStr">
        <is>
          <t>agility</t>
        </is>
      </c>
      <c r="C6" s="7" t="inlineStr">
        <is>
          <t>SPD +0.1 (영구)</t>
        </is>
      </c>
      <c r="D6" s="7" t="inlineStr">
        <is>
          <t>SPD +15% (1시간)</t>
        </is>
      </c>
      <c r="E6" s="7" t="inlineStr">
        <is>
          <t>30</t>
        </is>
      </c>
      <c r="F6" s="7" t="inlineStr">
        <is>
          <t>100G</t>
        </is>
      </c>
      <c r="G6" s="7" t="inlineStr">
        <is>
          <t>50 EXP</t>
        </is>
      </c>
    </row>
    <row r="7">
      <c r="A7" s="8" t="inlineStr">
        <is>
          <t>지혜 훈련</t>
        </is>
      </c>
      <c r="B7" s="8" t="inlineStr">
        <is>
          <t>wisdom</t>
        </is>
      </c>
      <c r="C7" s="8" t="inlineStr">
        <is>
          <t>EXP +0.5% (영구)</t>
        </is>
      </c>
      <c r="D7" s="8" t="inlineStr">
        <is>
          <t>EXP +30% (1시간)</t>
        </is>
      </c>
      <c r="E7" s="8" t="inlineStr">
        <is>
          <t>30</t>
        </is>
      </c>
      <c r="F7" s="8" t="inlineStr">
        <is>
          <t>100G</t>
        </is>
      </c>
      <c r="G7" s="8" t="inlineStr">
        <is>
          <t>50 EXP</t>
        </is>
      </c>
    </row>
    <row r="8">
      <c r="A8" s="7" t="inlineStr">
        <is>
          <t>행운 훈련</t>
        </is>
      </c>
      <c r="B8" s="7" t="inlineStr">
        <is>
          <t>lucky</t>
        </is>
      </c>
      <c r="C8" s="7" t="inlineStr">
        <is>
          <t>드롭률 +0.5% (영구)</t>
        </is>
      </c>
      <c r="D8" s="7" t="inlineStr">
        <is>
          <t>드롭 +30% (1시간)</t>
        </is>
      </c>
      <c r="E8" s="7" t="inlineStr">
        <is>
          <t>30</t>
        </is>
      </c>
      <c r="F8" s="7" t="inlineStr">
        <is>
          <t>100G</t>
        </is>
      </c>
      <c r="G8" s="7" t="inlineStr">
        <is>
          <t>50 EXP</t>
        </is>
      </c>
    </row>
    <row r="9">
      <c r="A9" s="8" t="inlineStr">
        <is>
          <t>설정</t>
        </is>
      </c>
      <c r="B9" s="8" t="inlineStr">
        <is>
          <t>일일 스태미나</t>
        </is>
      </c>
      <c r="C9" s="8" t="inlineStr">
        <is>
          <t>5</t>
        </is>
      </c>
      <c r="D9" s="8" t="inlineStr">
        <is>
          <t>자정 자동 충전</t>
        </is>
      </c>
      <c r="E9" s="8" t="inlineStr">
        <is>
          <t>-</t>
        </is>
      </c>
      <c r="F9" s="8" t="inlineStr">
        <is>
          <t>-</t>
        </is>
      </c>
      <c r="G9" s="8" t="inlineStr">
        <is>
          <t>-</t>
        </is>
      </c>
    </row>
    <row r="10">
      <c r="A10" s="7" t="inlineStr">
        <is>
          <t>설정</t>
        </is>
      </c>
      <c r="B10" s="7" t="inlineStr">
        <is>
          <t>스태미나 충전</t>
        </is>
      </c>
      <c r="C10" s="7" t="inlineStr">
        <is>
          <t>5 (다이아 30개)</t>
        </is>
      </c>
      <c r="D10" s="7" t="inlineStr">
        <is>
          <t>최대치까지만 충전</t>
        </is>
      </c>
      <c r="E10" s="7" t="inlineStr">
        <is>
          <t>-</t>
        </is>
      </c>
      <c r="F10" s="7" t="inlineStr">
        <is>
          <t>-</t>
        </is>
      </c>
      <c r="G10" s="7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8" customWidth="1" min="5" max="5"/>
    <col width="10" customWidth="1" min="6" max="6"/>
  </cols>
  <sheetData>
    <row r="1">
      <c r="A1" s="5" t="inlineStr">
        <is>
          <t>룬 목록 (19종)</t>
        </is>
      </c>
    </row>
    <row r="3">
      <c r="A3" s="6" t="inlineStr">
        <is>
          <t>분류</t>
        </is>
      </c>
      <c r="B3" s="6" t="inlineStr">
        <is>
          <t>문자</t>
        </is>
      </c>
      <c r="C3" s="6" t="inlineStr">
        <is>
          <t>이름</t>
        </is>
      </c>
      <c r="D3" s="6" t="inlineStr">
        <is>
          <t>스탯</t>
        </is>
      </c>
      <c r="E3" s="6" t="inlineStr">
        <is>
          <t>값</t>
        </is>
      </c>
      <c r="F3" s="6" t="inlineStr">
        <is>
          <t>등급</t>
        </is>
      </c>
    </row>
    <row r="4">
      <c r="A4" s="7" t="inlineStr">
        <is>
          <t>기본</t>
        </is>
      </c>
      <c r="B4" s="7" t="inlineStr">
        <is>
          <t>ㄱ</t>
        </is>
      </c>
      <c r="C4" s="7" t="inlineStr">
        <is>
          <t>기</t>
        </is>
      </c>
      <c r="D4" s="7" t="inlineStr">
        <is>
          <t>atk</t>
        </is>
      </c>
      <c r="E4" s="7" t="inlineStr">
        <is>
          <t>+3</t>
        </is>
      </c>
      <c r="F4" s="7" t="inlineStr">
        <is>
          <t>common</t>
        </is>
      </c>
    </row>
    <row r="5">
      <c r="A5" s="8" t="inlineStr">
        <is>
          <t>기본</t>
        </is>
      </c>
      <c r="B5" s="8" t="inlineStr">
        <is>
          <t>ㄴ</t>
        </is>
      </c>
      <c r="C5" s="8" t="inlineStr">
        <is>
          <t>나</t>
        </is>
      </c>
      <c r="D5" s="8" t="inlineStr">
        <is>
          <t>def</t>
        </is>
      </c>
      <c r="E5" s="8" t="inlineStr">
        <is>
          <t>+3</t>
        </is>
      </c>
      <c r="F5" s="8" t="inlineStr">
        <is>
          <t>common</t>
        </is>
      </c>
    </row>
    <row r="6">
      <c r="A6" s="7" t="inlineStr">
        <is>
          <t>기본</t>
        </is>
      </c>
      <c r="B6" s="7" t="inlineStr">
        <is>
          <t>ㄷ</t>
        </is>
      </c>
      <c r="C6" s="7" t="inlineStr">
        <is>
          <t>다</t>
        </is>
      </c>
      <c r="D6" s="7" t="inlineStr">
        <is>
          <t>hp</t>
        </is>
      </c>
      <c r="E6" s="7" t="inlineStr">
        <is>
          <t>+15</t>
        </is>
      </c>
      <c r="F6" s="7" t="inlineStr">
        <is>
          <t>common</t>
        </is>
      </c>
    </row>
    <row r="7">
      <c r="A7" s="8" t="inlineStr">
        <is>
          <t>기본</t>
        </is>
      </c>
      <c r="B7" s="8" t="inlineStr">
        <is>
          <t>ㄹ</t>
        </is>
      </c>
      <c r="C7" s="8" t="inlineStr">
        <is>
          <t>라</t>
        </is>
      </c>
      <c r="D7" s="8" t="inlineStr">
        <is>
          <t>spd</t>
        </is>
      </c>
      <c r="E7" s="8" t="inlineStr">
        <is>
          <t>+1</t>
        </is>
      </c>
      <c r="F7" s="8" t="inlineStr">
        <is>
          <t>common</t>
        </is>
      </c>
    </row>
    <row r="8">
      <c r="A8" s="7" t="inlineStr">
        <is>
          <t>기본</t>
        </is>
      </c>
      <c r="B8" s="7" t="inlineStr">
        <is>
          <t>ㅁ</t>
        </is>
      </c>
      <c r="C8" s="7" t="inlineStr">
        <is>
          <t>마</t>
        </is>
      </c>
      <c r="D8" s="7" t="inlineStr">
        <is>
          <t>mp</t>
        </is>
      </c>
      <c r="E8" s="7" t="inlineStr">
        <is>
          <t>+10</t>
        </is>
      </c>
      <c r="F8" s="7" t="inlineStr">
        <is>
          <t>common</t>
        </is>
      </c>
    </row>
    <row r="9">
      <c r="A9" s="8" t="inlineStr">
        <is>
          <t>기본</t>
        </is>
      </c>
      <c r="B9" s="8" t="inlineStr">
        <is>
          <t>ㅂ</t>
        </is>
      </c>
      <c r="C9" s="8" t="inlineStr">
        <is>
          <t>바</t>
        </is>
      </c>
      <c r="D9" s="8" t="inlineStr">
        <is>
          <t>crit</t>
        </is>
      </c>
      <c r="E9" s="8" t="inlineStr">
        <is>
          <t>+2%</t>
        </is>
      </c>
      <c r="F9" s="8" t="inlineStr">
        <is>
          <t>common</t>
        </is>
      </c>
    </row>
    <row r="10">
      <c r="A10" s="7" t="inlineStr">
        <is>
          <t>기본</t>
        </is>
      </c>
      <c r="B10" s="7" t="inlineStr">
        <is>
          <t>ㅅ</t>
        </is>
      </c>
      <c r="C10" s="7" t="inlineStr">
        <is>
          <t>사</t>
        </is>
      </c>
      <c r="D10" s="7" t="inlineStr">
        <is>
          <t>dodge</t>
        </is>
      </c>
      <c r="E10" s="7" t="inlineStr">
        <is>
          <t>+1%</t>
        </is>
      </c>
      <c r="F10" s="7" t="inlineStr">
        <is>
          <t>common</t>
        </is>
      </c>
    </row>
    <row r="11">
      <c r="A11" s="8" t="inlineStr">
        <is>
          <t>기본</t>
        </is>
      </c>
      <c r="B11" s="8" t="inlineStr">
        <is>
          <t>ㅇ</t>
        </is>
      </c>
      <c r="C11" s="8" t="inlineStr">
        <is>
          <t>아</t>
        </is>
      </c>
      <c r="D11" s="8" t="inlineStr">
        <is>
          <t>exp</t>
        </is>
      </c>
      <c r="E11" s="8" t="inlineStr">
        <is>
          <t>+3%</t>
        </is>
      </c>
      <c r="F11" s="8" t="inlineStr">
        <is>
          <t>common</t>
        </is>
      </c>
    </row>
    <row r="12">
      <c r="A12" s="7" t="inlineStr">
        <is>
          <t>기본</t>
        </is>
      </c>
      <c r="B12" s="7" t="inlineStr">
        <is>
          <t>ㅈ</t>
        </is>
      </c>
      <c r="C12" s="7" t="inlineStr">
        <is>
          <t>자</t>
        </is>
      </c>
      <c r="D12" s="7" t="inlineStr">
        <is>
          <t>gold</t>
        </is>
      </c>
      <c r="E12" s="7" t="inlineStr">
        <is>
          <t>+3%</t>
        </is>
      </c>
      <c r="F12" s="7" t="inlineStr">
        <is>
          <t>common</t>
        </is>
      </c>
    </row>
    <row r="13">
      <c r="A13" s="8" t="inlineStr">
        <is>
          <t>기본</t>
        </is>
      </c>
      <c r="B13" s="8" t="inlineStr">
        <is>
          <t>ㅊ</t>
        </is>
      </c>
      <c r="C13" s="8" t="inlineStr">
        <is>
          <t>차</t>
        </is>
      </c>
      <c r="D13" s="8" t="inlineStr">
        <is>
          <t>atk</t>
        </is>
      </c>
      <c r="E13" s="8" t="inlineStr">
        <is>
          <t>+5</t>
        </is>
      </c>
      <c r="F13" s="8" t="inlineStr">
        <is>
          <t>uncommon</t>
        </is>
      </c>
    </row>
    <row r="14">
      <c r="A14" s="7" t="inlineStr">
        <is>
          <t>기본</t>
        </is>
      </c>
      <c r="B14" s="7" t="inlineStr">
        <is>
          <t>ㅋ</t>
        </is>
      </c>
      <c r="C14" s="7" t="inlineStr">
        <is>
          <t>카</t>
        </is>
      </c>
      <c r="D14" s="7" t="inlineStr">
        <is>
          <t>def</t>
        </is>
      </c>
      <c r="E14" s="7" t="inlineStr">
        <is>
          <t>+5</t>
        </is>
      </c>
      <c r="F14" s="7" t="inlineStr">
        <is>
          <t>uncommon</t>
        </is>
      </c>
    </row>
    <row r="15">
      <c r="A15" s="8" t="inlineStr">
        <is>
          <t>기본</t>
        </is>
      </c>
      <c r="B15" s="8" t="inlineStr">
        <is>
          <t>ㅌ</t>
        </is>
      </c>
      <c r="C15" s="8" t="inlineStr">
        <is>
          <t>타</t>
        </is>
      </c>
      <c r="D15" s="8" t="inlineStr">
        <is>
          <t>hp</t>
        </is>
      </c>
      <c r="E15" s="8" t="inlineStr">
        <is>
          <t>+25</t>
        </is>
      </c>
      <c r="F15" s="8" t="inlineStr">
        <is>
          <t>uncommon</t>
        </is>
      </c>
    </row>
    <row r="16">
      <c r="A16" s="7" t="inlineStr">
        <is>
          <t>기본</t>
        </is>
      </c>
      <c r="B16" s="7" t="inlineStr">
        <is>
          <t>ㅍ</t>
        </is>
      </c>
      <c r="C16" s="7" t="inlineStr">
        <is>
          <t>파</t>
        </is>
      </c>
      <c r="D16" s="7" t="inlineStr">
        <is>
          <t>crit</t>
        </is>
      </c>
      <c r="E16" s="7" t="inlineStr">
        <is>
          <t>+3%</t>
        </is>
      </c>
      <c r="F16" s="7" t="inlineStr">
        <is>
          <t>uncommon</t>
        </is>
      </c>
    </row>
    <row r="17">
      <c r="A17" s="8" t="inlineStr">
        <is>
          <t>기본</t>
        </is>
      </c>
      <c r="B17" s="8" t="inlineStr">
        <is>
          <t>ㅎ</t>
        </is>
      </c>
      <c r="C17" s="8" t="inlineStr">
        <is>
          <t>하</t>
        </is>
      </c>
      <c r="D17" s="8" t="inlineStr">
        <is>
          <t>all</t>
        </is>
      </c>
      <c r="E17" s="8" t="inlineStr">
        <is>
          <t>+2</t>
        </is>
      </c>
      <c r="F17" s="8" t="inlineStr">
        <is>
          <t>uncommon</t>
        </is>
      </c>
    </row>
    <row r="18">
      <c r="A18" s="7" t="inlineStr">
        <is>
          <t>고급</t>
        </is>
      </c>
      <c r="B18" s="7" t="inlineStr">
        <is>
          <t>ㅏ</t>
        </is>
      </c>
      <c r="C18" s="7" t="inlineStr">
        <is>
          <t>아아</t>
        </is>
      </c>
      <c r="D18" s="7" t="inlineStr">
        <is>
          <t>atk</t>
        </is>
      </c>
      <c r="E18" s="7" t="inlineStr">
        <is>
          <t>+8</t>
        </is>
      </c>
      <c r="F18" s="7" t="inlineStr">
        <is>
          <t>rare</t>
        </is>
      </c>
    </row>
    <row r="19">
      <c r="A19" s="8" t="inlineStr">
        <is>
          <t>고급</t>
        </is>
      </c>
      <c r="B19" s="8" t="inlineStr">
        <is>
          <t>ㅓ</t>
        </is>
      </c>
      <c r="C19" s="8" t="inlineStr">
        <is>
          <t>어</t>
        </is>
      </c>
      <c r="D19" s="8" t="inlineStr">
        <is>
          <t>def</t>
        </is>
      </c>
      <c r="E19" s="8" t="inlineStr">
        <is>
          <t>+8</t>
        </is>
      </c>
      <c r="F19" s="8" t="inlineStr">
        <is>
          <t>rare</t>
        </is>
      </c>
    </row>
    <row r="20">
      <c r="A20" s="7" t="inlineStr">
        <is>
          <t>고급</t>
        </is>
      </c>
      <c r="B20" s="7" t="inlineStr">
        <is>
          <t>ㅗ</t>
        </is>
      </c>
      <c r="C20" s="7" t="inlineStr">
        <is>
          <t>오</t>
        </is>
      </c>
      <c r="D20" s="7" t="inlineStr">
        <is>
          <t>hp</t>
        </is>
      </c>
      <c r="E20" s="7" t="inlineStr">
        <is>
          <t>+50</t>
        </is>
      </c>
      <c r="F20" s="7" t="inlineStr">
        <is>
          <t>rare</t>
        </is>
      </c>
    </row>
    <row r="21">
      <c r="A21" s="8" t="inlineStr">
        <is>
          <t>고급</t>
        </is>
      </c>
      <c r="B21" s="8" t="inlineStr">
        <is>
          <t>ㅜ</t>
        </is>
      </c>
      <c r="C21" s="8" t="inlineStr">
        <is>
          <t>우</t>
        </is>
      </c>
      <c r="D21" s="8" t="inlineStr">
        <is>
          <t>crit</t>
        </is>
      </c>
      <c r="E21" s="8" t="inlineStr">
        <is>
          <t>+5%</t>
        </is>
      </c>
      <c r="F21" s="8" t="inlineStr">
        <is>
          <t>rare</t>
        </is>
      </c>
    </row>
    <row r="22">
      <c r="A22" s="7" t="inlineStr">
        <is>
          <t>고급</t>
        </is>
      </c>
      <c r="B22" s="7" t="inlineStr">
        <is>
          <t>ㅡ</t>
        </is>
      </c>
      <c r="C22" s="7" t="inlineStr">
        <is>
          <t>으</t>
        </is>
      </c>
      <c r="D22" s="7" t="inlineStr">
        <is>
          <t>all</t>
        </is>
      </c>
      <c r="E22" s="7" t="inlineStr">
        <is>
          <t>+5</t>
        </is>
      </c>
      <c r="F22" s="7" t="inlineStr">
        <is>
          <t>rare</t>
        </is>
      </c>
    </row>
  </sheetData>
  <mergeCells count="1">
    <mergeCell ref="A1:F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0" customWidth="1" min="3" max="3"/>
    <col width="14" customWidth="1" min="4" max="4"/>
    <col width="22" customWidth="1" min="5" max="5"/>
  </cols>
  <sheetData>
    <row r="1">
      <c r="A1" s="5" t="inlineStr">
        <is>
          <t>유물 시스템 (10종)</t>
        </is>
      </c>
    </row>
    <row r="3">
      <c r="A3" s="6" t="inlineStr">
        <is>
          <t>이름</t>
        </is>
      </c>
      <c r="B3" s="6" t="inlineStr">
        <is>
          <t>등급</t>
        </is>
      </c>
      <c r="C3" s="6" t="inlineStr">
        <is>
          <t>효과</t>
        </is>
      </c>
      <c r="D3" s="6" t="inlineStr">
        <is>
          <t>획득처</t>
        </is>
      </c>
      <c r="E3" s="6" t="inlineStr">
        <is>
          <t>비고</t>
        </is>
      </c>
    </row>
    <row r="4">
      <c r="A4" s="7" t="inlineStr">
        <is>
          <t>혼돈의 칼날</t>
        </is>
      </c>
      <c r="B4" s="7" t="inlineStr">
        <is>
          <t>rare</t>
        </is>
      </c>
      <c r="C4" s="7" t="inlineStr">
        <is>
          <t>ATK +10%, Crit +3%</t>
        </is>
      </c>
      <c r="D4" s="7" t="inlineStr">
        <is>
          <t>보스/던전</t>
        </is>
      </c>
      <c r="E4" s="7" t="inlineStr">
        <is>
          <t>최대 장착 3개</t>
        </is>
      </c>
    </row>
    <row r="5">
      <c r="A5" s="8" t="inlineStr">
        <is>
          <t>영원의 방패</t>
        </is>
      </c>
      <c r="B5" s="8" t="inlineStr">
        <is>
          <t>rare</t>
        </is>
      </c>
      <c r="C5" s="8" t="inlineStr">
        <is>
          <t>DEF +10%, 피해 감소 5%</t>
        </is>
      </c>
      <c r="D5" s="8" t="inlineStr">
        <is>
          <t>나이트 던전</t>
        </is>
      </c>
      <c r="E5" s="8" t="inlineStr">
        <is>
          <t>강화 +5까지</t>
        </is>
      </c>
    </row>
    <row r="6">
      <c r="A6" s="7" t="inlineStr">
        <is>
          <t>용의 심장</t>
        </is>
      </c>
      <c r="B6" s="7" t="inlineStr">
        <is>
          <t>epic</t>
        </is>
      </c>
      <c r="C6" s="7" t="inlineStr">
        <is>
          <t>HP +200, ATK +15, Fire +10%</t>
        </is>
      </c>
      <c r="D6" s="7" t="inlineStr">
        <is>
          <t>드래곤 보스</t>
        </is>
      </c>
      <c r="E6" s="7" t="inlineStr">
        <is>
          <t>강화당 효과 +20%</t>
        </is>
      </c>
    </row>
    <row r="7">
      <c r="A7" s="8" t="inlineStr">
        <is>
          <t>왕의 왕관</t>
        </is>
      </c>
      <c r="B7" s="8" t="inlineStr">
        <is>
          <t>epic</t>
        </is>
      </c>
      <c r="C7" s="8" t="inlineStr">
        <is>
          <t>EXP +15%, Gold +15%</t>
        </is>
      </c>
      <c r="D7" s="8" t="inlineStr">
        <is>
          <t>캐슬 보스</t>
        </is>
      </c>
      <c r="E7" s="8" t="inlineStr">
        <is>
          <t>강화 비용: 5000×(레벨+1)²</t>
        </is>
      </c>
    </row>
    <row r="8">
      <c r="A8" s="7" t="inlineStr">
        <is>
          <t>바람의 부츠</t>
        </is>
      </c>
      <c r="B8" s="7" t="inlineStr">
        <is>
          <t>rare</t>
        </is>
      </c>
      <c r="C8" s="7" t="inlineStr">
        <is>
          <t>SPD +3, 공속 +10%</t>
        </is>
      </c>
      <c r="D8" s="7" t="inlineStr">
        <is>
          <t>낚시/강가</t>
        </is>
      </c>
      <c r="E8" s="7" t="inlineStr">
        <is>
          <t>재료: mat_dragon ×2/레벨</t>
        </is>
      </c>
    </row>
    <row r="9">
      <c r="A9" s="8" t="inlineStr">
        <is>
          <t>진실의 눈</t>
        </is>
      </c>
      <c r="B9" s="8" t="inlineStr">
        <is>
          <t>epic</t>
        </is>
      </c>
      <c r="C9" s="8" t="inlineStr">
        <is>
          <t>회피 +8%, 시야 +5</t>
        </is>
      </c>
      <c r="D9" s="8" t="inlineStr">
        <is>
          <t>점술사 NPC</t>
        </is>
      </c>
      <c r="E9" s="8" t="inlineStr"/>
    </row>
    <row r="10">
      <c r="A10" s="7" t="inlineStr">
        <is>
          <t>불사조 깃털</t>
        </is>
      </c>
      <c r="B10" s="7" t="inlineStr">
        <is>
          <t>legendary</t>
        </is>
      </c>
      <c r="C10" s="7" t="inlineStr">
        <is>
          <t>자동 부활, Fire 면역, Fire +20%</t>
        </is>
      </c>
      <c r="D10" s="7" t="inlineStr">
        <is>
          <t>월드 보스</t>
        </is>
      </c>
      <c r="E10" s="7" t="inlineStr">
        <is>
          <t>최고 등급</t>
        </is>
      </c>
    </row>
    <row r="11">
      <c r="A11" s="8" t="inlineStr">
        <is>
          <t>공허의 파편</t>
        </is>
      </c>
      <c r="B11" s="8" t="inlineStr">
        <is>
          <t>legendary</t>
        </is>
      </c>
      <c r="C11" s="8" t="inlineStr">
        <is>
          <t>Dark +30%, 처형 +15%</t>
        </is>
      </c>
      <c r="D11" s="8" t="inlineStr">
        <is>
          <t>공허 던전</t>
        </is>
      </c>
      <c r="E11" s="8" t="inlineStr"/>
    </row>
    <row r="12">
      <c r="A12" s="7" t="inlineStr">
        <is>
          <t>운명의 별</t>
        </is>
      </c>
      <c r="B12" s="7" t="inlineStr">
        <is>
          <t>legendary</t>
        </is>
      </c>
      <c r="C12" s="7" t="inlineStr">
        <is>
          <t>전체 스탯 +5%</t>
        </is>
      </c>
      <c r="D12" s="7" t="inlineStr">
        <is>
          <t>주간 1위</t>
        </is>
      </c>
      <c r="E12" s="7" t="inlineStr"/>
    </row>
    <row r="13">
      <c r="A13" s="8" t="inlineStr">
        <is>
          <t>태초의 구슬</t>
        </is>
      </c>
      <c r="B13" s="8" t="inlineStr">
        <is>
          <t>mythic</t>
        </is>
      </c>
      <c r="C13" s="8" t="inlineStr">
        <is>
          <t>전체 +10%, EXP +30%, 드롭 +20%</t>
        </is>
      </c>
      <c r="D13" s="8" t="inlineStr">
        <is>
          <t>신화 크라켄</t>
        </is>
      </c>
      <c r="E13" s="8" t="inlineStr">
        <is>
          <t>최상위 유물</t>
        </is>
      </c>
    </row>
  </sheetData>
  <mergeCells count="1">
    <mergeCell ref="A1:E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5" t="inlineStr">
        <is>
          <t>정원 시스템 (8종 꽃)</t>
        </is>
      </c>
    </row>
    <row r="3">
      <c r="A3" s="6" t="inlineStr">
        <is>
          <t>아이콘</t>
        </is>
      </c>
      <c r="B3" s="6" t="inlineStr">
        <is>
          <t>이름</t>
        </is>
      </c>
      <c r="C3" s="6" t="inlineStr">
        <is>
          <t>ID</t>
        </is>
      </c>
      <c r="D3" s="6" t="inlineStr">
        <is>
          <t>씨앗 가격</t>
        </is>
      </c>
      <c r="E3" s="6" t="inlineStr">
        <is>
          <t>성장 시간</t>
        </is>
      </c>
      <c r="F3" s="6" t="inlineStr">
        <is>
          <t>개화 시간</t>
        </is>
      </c>
      <c r="G3" s="6" t="inlineStr">
        <is>
          <t>보너스</t>
        </is>
      </c>
      <c r="H3" s="6" t="inlineStr">
        <is>
          <t>비고</t>
        </is>
      </c>
    </row>
    <row r="4">
      <c r="A4" s="7" t="inlineStr">
        <is>
          <t>🌼</t>
        </is>
      </c>
      <c r="B4" s="7" t="inlineStr">
        <is>
          <t>데이지</t>
        </is>
      </c>
      <c r="C4" s="7" t="inlineStr">
        <is>
          <t>daisy</t>
        </is>
      </c>
      <c r="D4" s="7" t="inlineStr">
        <is>
          <t>50G</t>
        </is>
      </c>
      <c r="E4" s="7" t="inlineStr">
        <is>
          <t>2시간</t>
        </is>
      </c>
      <c r="F4" s="7" t="inlineStr">
        <is>
          <t>24시간</t>
        </is>
      </c>
      <c r="G4" s="7" t="inlineStr">
        <is>
          <t>maxHp +5</t>
        </is>
      </c>
      <c r="H4" s="7" t="inlineStr">
        <is>
          <t>12슬롯</t>
        </is>
      </c>
    </row>
    <row r="5">
      <c r="A5" s="8" t="inlineStr">
        <is>
          <t>🌹</t>
        </is>
      </c>
      <c r="B5" s="8" t="inlineStr">
        <is>
          <t>장미</t>
        </is>
      </c>
      <c r="C5" s="8" t="inlineStr">
        <is>
          <t>rose</t>
        </is>
      </c>
      <c r="D5" s="8" t="inlineStr">
        <is>
          <t>120G</t>
        </is>
      </c>
      <c r="E5" s="8" t="inlineStr">
        <is>
          <t>4시간</t>
        </is>
      </c>
      <c r="F5" s="8" t="inlineStr">
        <is>
          <t>24시간</t>
        </is>
      </c>
      <c r="G5" s="8" t="inlineStr">
        <is>
          <t>atk +2</t>
        </is>
      </c>
      <c r="H5" s="8" t="inlineStr"/>
    </row>
    <row r="6">
      <c r="A6" s="7" t="inlineStr">
        <is>
          <t>🌷</t>
        </is>
      </c>
      <c r="B6" s="7" t="inlineStr">
        <is>
          <t>튤립</t>
        </is>
      </c>
      <c r="C6" s="7" t="inlineStr">
        <is>
          <t>tulip</t>
        </is>
      </c>
      <c r="D6" s="7" t="inlineStr">
        <is>
          <t>80G</t>
        </is>
      </c>
      <c r="E6" s="7" t="inlineStr">
        <is>
          <t>3시간</t>
        </is>
      </c>
      <c r="F6" s="7" t="inlineStr">
        <is>
          <t>24시간</t>
        </is>
      </c>
      <c r="G6" s="7" t="inlineStr">
        <is>
          <t>def +3</t>
        </is>
      </c>
      <c r="H6" s="7" t="inlineStr"/>
    </row>
    <row r="7">
      <c r="A7" s="8" t="inlineStr">
        <is>
          <t>🌻</t>
        </is>
      </c>
      <c r="B7" s="8" t="inlineStr">
        <is>
          <t>해바라기</t>
        </is>
      </c>
      <c r="C7" s="8" t="inlineStr">
        <is>
          <t>sunflower</t>
        </is>
      </c>
      <c r="D7" s="8" t="inlineStr">
        <is>
          <t>100G</t>
        </is>
      </c>
      <c r="E7" s="8" t="inlineStr">
        <is>
          <t>4시간</t>
        </is>
      </c>
      <c r="F7" s="8" t="inlineStr">
        <is>
          <t>24시간</t>
        </is>
      </c>
      <c r="G7" s="8" t="inlineStr">
        <is>
          <t>goldBonus +2%</t>
        </is>
      </c>
      <c r="H7" s="8" t="inlineStr"/>
    </row>
    <row r="8">
      <c r="A8" s="7" t="inlineStr">
        <is>
          <t>🪷</t>
        </is>
      </c>
      <c r="B8" s="7" t="inlineStr">
        <is>
          <t>연꽃</t>
        </is>
      </c>
      <c r="C8" s="7" t="inlineStr">
        <is>
          <t>lotus</t>
        </is>
      </c>
      <c r="D8" s="7" t="inlineStr">
        <is>
          <t>200G</t>
        </is>
      </c>
      <c r="E8" s="7" t="inlineStr">
        <is>
          <t>6시간</t>
        </is>
      </c>
      <c r="F8" s="7" t="inlineStr">
        <is>
          <t>24시간</t>
        </is>
      </c>
      <c r="G8" s="7" t="inlineStr">
        <is>
          <t>mp +5</t>
        </is>
      </c>
      <c r="H8" s="7" t="inlineStr"/>
    </row>
    <row r="9">
      <c r="A9" s="8" t="inlineStr">
        <is>
          <t>🌸</t>
        </is>
      </c>
      <c r="B9" s="8" t="inlineStr">
        <is>
          <t>벚꽃</t>
        </is>
      </c>
      <c r="C9" s="8" t="inlineStr">
        <is>
          <t>cherry</t>
        </is>
      </c>
      <c r="D9" s="8" t="inlineStr">
        <is>
          <t>150G</t>
        </is>
      </c>
      <c r="E9" s="8" t="inlineStr">
        <is>
          <t>5시간</t>
        </is>
      </c>
      <c r="F9" s="8" t="inlineStr">
        <is>
          <t>24시간</t>
        </is>
      </c>
      <c r="G9" s="8" t="inlineStr">
        <is>
          <t>crit +1%</t>
        </is>
      </c>
      <c r="H9" s="8" t="inlineStr"/>
    </row>
    <row r="10">
      <c r="A10" s="7" t="inlineStr">
        <is>
          <t>🌺</t>
        </is>
      </c>
      <c r="B10" s="7" t="inlineStr">
        <is>
          <t>무궁화</t>
        </is>
      </c>
      <c r="C10" s="7" t="inlineStr">
        <is>
          <t>hibiscus</t>
        </is>
      </c>
      <c r="D10" s="7" t="inlineStr">
        <is>
          <t>180G</t>
        </is>
      </c>
      <c r="E10" s="7" t="inlineStr">
        <is>
          <t>5시간</t>
        </is>
      </c>
      <c r="F10" s="7" t="inlineStr">
        <is>
          <t>24시간</t>
        </is>
      </c>
      <c r="G10" s="7" t="inlineStr">
        <is>
          <t>evasion +1%</t>
        </is>
      </c>
      <c r="H10" s="7" t="inlineStr"/>
    </row>
    <row r="11">
      <c r="A11" s="8" t="inlineStr">
        <is>
          <t>✨</t>
        </is>
      </c>
      <c r="B11" s="8" t="inlineStr">
        <is>
          <t>별꽃</t>
        </is>
      </c>
      <c r="C11" s="8" t="inlineStr">
        <is>
          <t>starflower</t>
        </is>
      </c>
      <c r="D11" s="8" t="inlineStr">
        <is>
          <t>500G</t>
        </is>
      </c>
      <c r="E11" s="8" t="inlineStr">
        <is>
          <t>12시간</t>
        </is>
      </c>
      <c r="F11" s="8" t="inlineStr">
        <is>
          <t>24시간</t>
        </is>
      </c>
      <c r="G11" s="8" t="inlineStr">
        <is>
          <t>allStats +1</t>
        </is>
      </c>
      <c r="H11" s="8" t="inlineStr">
        <is>
          <t>최고급</t>
        </is>
      </c>
    </row>
  </sheetData>
  <mergeCells count="1">
    <mergeCell ref="A1:H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2" customWidth="1" min="4" max="4"/>
    <col width="16" customWidth="1" min="5" max="5"/>
    <col width="16" customWidth="1" min="6" max="6"/>
    <col width="28" customWidth="1" min="7" max="7"/>
  </cols>
  <sheetData>
    <row r="1">
      <c r="A1" s="5" t="inlineStr">
        <is>
          <t>타로 카드 시스템 (22장 메이저 아르카나)</t>
        </is>
      </c>
    </row>
    <row r="3">
      <c r="A3" s="6" t="inlineStr">
        <is>
          <t>번호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보너스 스탯</t>
        </is>
      </c>
      <c r="E3" s="6" t="inlineStr">
        <is>
          <t>정방향 의미</t>
        </is>
      </c>
      <c r="F3" s="6" t="inlineStr">
        <is>
          <t>역방향 의미</t>
        </is>
      </c>
      <c r="G3" s="6" t="inlineStr">
        <is>
          <t>시스템 메모</t>
        </is>
      </c>
    </row>
    <row r="4">
      <c r="A4" s="7" t="inlineStr">
        <is>
          <t>0</t>
        </is>
      </c>
      <c r="B4" s="7" t="inlineStr">
        <is>
          <t>바보</t>
        </is>
      </c>
      <c r="C4" s="7" t="inlineStr">
        <is>
          <t>🃏</t>
        </is>
      </c>
      <c r="D4" s="7" t="inlineStr">
        <is>
          <t>evasion</t>
        </is>
      </c>
      <c r="E4" s="7" t="inlineStr">
        <is>
          <t>순수한 시작</t>
        </is>
      </c>
      <c r="F4" s="7" t="inlineStr">
        <is>
          <t>무모함</t>
        </is>
      </c>
      <c r="G4" s="7" t="inlineStr">
        <is>
          <t>정방향 +8, 역방향 +3 (24시간)</t>
        </is>
      </c>
    </row>
    <row r="5">
      <c r="A5" s="8" t="inlineStr">
        <is>
          <t>1</t>
        </is>
      </c>
      <c r="B5" s="8" t="inlineStr">
        <is>
          <t>마법사</t>
        </is>
      </c>
      <c r="C5" s="8" t="inlineStr">
        <is>
          <t>🎩</t>
        </is>
      </c>
      <c r="D5" s="8" t="inlineStr">
        <is>
          <t>mp</t>
        </is>
      </c>
      <c r="E5" s="8" t="inlineStr">
        <is>
          <t>창조력</t>
        </is>
      </c>
      <c r="F5" s="8" t="inlineStr">
        <is>
          <t>기만</t>
        </is>
      </c>
      <c r="G5" s="8" t="inlineStr">
        <is>
          <t>매일 1회 3장 뽑기</t>
        </is>
      </c>
    </row>
    <row r="6">
      <c r="A6" s="7" t="inlineStr">
        <is>
          <t>2</t>
        </is>
      </c>
      <c r="B6" s="7" t="inlineStr">
        <is>
          <t>여사제</t>
        </is>
      </c>
      <c r="C6" s="7" t="inlineStr">
        <is>
          <t>👸</t>
        </is>
      </c>
      <c r="D6" s="7" t="inlineStr">
        <is>
          <t>crit</t>
        </is>
      </c>
      <c r="E6" s="7" t="inlineStr">
        <is>
          <t>직관</t>
        </is>
      </c>
      <c r="F6" s="7" t="inlineStr">
        <is>
          <t>비밀</t>
        </is>
      </c>
      <c r="G6" s="7" t="inlineStr">
        <is>
          <t>과거/현재/미래 3포지션</t>
        </is>
      </c>
    </row>
    <row r="7">
      <c r="A7" s="8" t="inlineStr">
        <is>
          <t>3</t>
        </is>
      </c>
      <c r="B7" s="8" t="inlineStr">
        <is>
          <t>여왕</t>
        </is>
      </c>
      <c r="C7" s="8" t="inlineStr">
        <is>
          <t>👑</t>
        </is>
      </c>
      <c r="D7" s="8" t="inlineStr">
        <is>
          <t>goldBonus</t>
        </is>
      </c>
      <c r="E7" s="8" t="inlineStr">
        <is>
          <t>풍요</t>
        </is>
      </c>
      <c r="F7" s="8" t="inlineStr">
        <is>
          <t>의존</t>
        </is>
      </c>
      <c r="G7" s="8" t="inlineStr">
        <is>
          <t>운명 점수: 정방향 +10, 역방향 -5</t>
        </is>
      </c>
    </row>
    <row r="8">
      <c r="A8" s="7" t="inlineStr">
        <is>
          <t>4</t>
        </is>
      </c>
      <c r="B8" s="7" t="inlineStr">
        <is>
          <t>황제</t>
        </is>
      </c>
      <c r="C8" s="7" t="inlineStr">
        <is>
          <t>🤴</t>
        </is>
      </c>
      <c r="D8" s="7" t="inlineStr">
        <is>
          <t>def</t>
        </is>
      </c>
      <c r="E8" s="7" t="inlineStr">
        <is>
          <t>권위</t>
        </is>
      </c>
      <c r="F8" s="7" t="inlineStr">
        <is>
          <t>독재</t>
        </is>
      </c>
      <c r="G8" s="7" t="inlineStr">
        <is>
          <t>점수 &lt;-50: 저주받은 운명</t>
        </is>
      </c>
    </row>
    <row r="9">
      <c r="A9" s="8" t="inlineStr">
        <is>
          <t>5</t>
        </is>
      </c>
      <c r="B9" s="8" t="inlineStr">
        <is>
          <t>교황</t>
        </is>
      </c>
      <c r="C9" s="8" t="inlineStr">
        <is>
          <t>⛪</t>
        </is>
      </c>
      <c r="D9" s="8" t="inlineStr">
        <is>
          <t>expBonus</t>
        </is>
      </c>
      <c r="E9" s="8" t="inlineStr">
        <is>
          <t>전통</t>
        </is>
      </c>
      <c r="F9" s="8" t="inlineStr">
        <is>
          <t>반역</t>
        </is>
      </c>
      <c r="G9" s="8" t="inlineStr">
        <is>
          <t>점수 0~50: 균형</t>
        </is>
      </c>
    </row>
    <row r="10">
      <c r="A10" s="7" t="inlineStr">
        <is>
          <t>6</t>
        </is>
      </c>
      <c r="B10" s="7" t="inlineStr">
        <is>
          <t>연인</t>
        </is>
      </c>
      <c r="C10" s="7" t="inlineStr">
        <is>
          <t>💑</t>
        </is>
      </c>
      <c r="D10" s="7" t="inlineStr">
        <is>
          <t>allStats</t>
        </is>
      </c>
      <c r="E10" s="7" t="inlineStr">
        <is>
          <t>사랑과 선택</t>
        </is>
      </c>
      <c r="F10" s="7" t="inlineStr">
        <is>
          <t>이별</t>
        </is>
      </c>
      <c r="G10" s="7" t="inlineStr">
        <is>
          <t>점수 50~100: 밝은 운명</t>
        </is>
      </c>
    </row>
    <row r="11">
      <c r="A11" s="8" t="inlineStr">
        <is>
          <t>7</t>
        </is>
      </c>
      <c r="B11" s="8" t="inlineStr">
        <is>
          <t>전차</t>
        </is>
      </c>
      <c r="C11" s="8" t="inlineStr">
        <is>
          <t>🛞</t>
        </is>
      </c>
      <c r="D11" s="8" t="inlineStr">
        <is>
          <t>atk</t>
        </is>
      </c>
      <c r="E11" s="8" t="inlineStr">
        <is>
          <t>승리</t>
        </is>
      </c>
      <c r="F11" s="8" t="inlineStr">
        <is>
          <t>좌절</t>
        </is>
      </c>
      <c r="G11" s="8" t="inlineStr">
        <is>
          <t>점수 100~200: 빛나는 운명</t>
        </is>
      </c>
    </row>
    <row r="12">
      <c r="A12" s="7" t="inlineStr">
        <is>
          <t>8</t>
        </is>
      </c>
      <c r="B12" s="7" t="inlineStr">
        <is>
          <t>힘</t>
        </is>
      </c>
      <c r="C12" s="7" t="inlineStr">
        <is>
          <t>🦁</t>
        </is>
      </c>
      <c r="D12" s="7" t="inlineStr">
        <is>
          <t>maxHp</t>
        </is>
      </c>
      <c r="E12" s="7" t="inlineStr">
        <is>
          <t>용기</t>
        </is>
      </c>
      <c r="F12" s="7" t="inlineStr">
        <is>
          <t>유약</t>
        </is>
      </c>
      <c r="G12" s="7" t="inlineStr">
        <is>
          <t>점수 ≥200: 별의 후예</t>
        </is>
      </c>
    </row>
    <row r="13">
      <c r="A13" s="8" t="inlineStr">
        <is>
          <t>9</t>
        </is>
      </c>
      <c r="B13" s="8" t="inlineStr">
        <is>
          <t>은둔자</t>
        </is>
      </c>
      <c r="C13" s="8" t="inlineStr">
        <is>
          <t>🕯️</t>
        </is>
      </c>
      <c r="D13" s="8" t="inlineStr">
        <is>
          <t>expBonus</t>
        </is>
      </c>
      <c r="E13" s="8" t="inlineStr">
        <is>
          <t>성찰</t>
        </is>
      </c>
      <c r="F13" s="8" t="inlineStr">
        <is>
          <t>고립</t>
        </is>
      </c>
      <c r="G13" s="8" t="inlineStr"/>
    </row>
    <row r="14">
      <c r="A14" s="7" t="inlineStr">
        <is>
          <t>10</t>
        </is>
      </c>
      <c r="B14" s="7" t="inlineStr">
        <is>
          <t>운명의 수레바퀴</t>
        </is>
      </c>
      <c r="C14" s="7" t="inlineStr">
        <is>
          <t>☸️</t>
        </is>
      </c>
      <c r="D14" s="7" t="inlineStr">
        <is>
          <t>goldBonus</t>
        </is>
      </c>
      <c r="E14" s="7" t="inlineStr">
        <is>
          <t>행운의 전환</t>
        </is>
      </c>
      <c r="F14" s="7" t="inlineStr">
        <is>
          <t>불운</t>
        </is>
      </c>
      <c r="G14" s="7" t="inlineStr"/>
    </row>
    <row r="15">
      <c r="A15" s="8" t="inlineStr">
        <is>
          <t>11</t>
        </is>
      </c>
      <c r="B15" s="8" t="inlineStr">
        <is>
          <t>정의</t>
        </is>
      </c>
      <c r="C15" s="8" t="inlineStr">
        <is>
          <t>⚖️</t>
        </is>
      </c>
      <c r="D15" s="8" t="inlineStr">
        <is>
          <t>def</t>
        </is>
      </c>
      <c r="E15" s="8" t="inlineStr">
        <is>
          <t>균형</t>
        </is>
      </c>
      <c r="F15" s="8" t="inlineStr">
        <is>
          <t>불공정</t>
        </is>
      </c>
      <c r="G15" s="8" t="inlineStr"/>
    </row>
    <row r="16">
      <c r="A16" s="7" t="inlineStr">
        <is>
          <t>12</t>
        </is>
      </c>
      <c r="B16" s="7" t="inlineStr">
        <is>
          <t>매달린 사람</t>
        </is>
      </c>
      <c r="C16" s="7" t="inlineStr">
        <is>
          <t>🙃</t>
        </is>
      </c>
      <c r="D16" s="7" t="inlineStr">
        <is>
          <t>evasion</t>
        </is>
      </c>
      <c r="E16" s="7" t="inlineStr">
        <is>
          <t>희생</t>
        </is>
      </c>
      <c r="F16" s="7" t="inlineStr">
        <is>
          <t>정체</t>
        </is>
      </c>
      <c r="G16" s="7" t="inlineStr"/>
    </row>
    <row r="17">
      <c r="A17" s="8" t="inlineStr">
        <is>
          <t>13</t>
        </is>
      </c>
      <c r="B17" s="8" t="inlineStr">
        <is>
          <t>죽음</t>
        </is>
      </c>
      <c r="C17" s="8" t="inlineStr">
        <is>
          <t>💀</t>
        </is>
      </c>
      <c r="D17" s="8" t="inlineStr">
        <is>
          <t>atk</t>
        </is>
      </c>
      <c r="E17" s="8" t="inlineStr">
        <is>
          <t>재탄생</t>
        </is>
      </c>
      <c r="F17" s="8" t="inlineStr">
        <is>
          <t>두려움</t>
        </is>
      </c>
      <c r="G17" s="8" t="inlineStr"/>
    </row>
    <row r="18">
      <c r="A18" s="7" t="inlineStr">
        <is>
          <t>14</t>
        </is>
      </c>
      <c r="B18" s="7" t="inlineStr">
        <is>
          <t>절제</t>
        </is>
      </c>
      <c r="C18" s="7" t="inlineStr">
        <is>
          <t>🍶</t>
        </is>
      </c>
      <c r="D18" s="7" t="inlineStr">
        <is>
          <t>mp</t>
        </is>
      </c>
      <c r="E18" s="7" t="inlineStr">
        <is>
          <t>조화</t>
        </is>
      </c>
      <c r="F18" s="7" t="inlineStr">
        <is>
          <t>불균형</t>
        </is>
      </c>
      <c r="G18" s="7" t="inlineStr"/>
    </row>
    <row r="19">
      <c r="A19" s="8" t="inlineStr">
        <is>
          <t>15</t>
        </is>
      </c>
      <c r="B19" s="8" t="inlineStr">
        <is>
          <t>악마</t>
        </is>
      </c>
      <c r="C19" s="8" t="inlineStr">
        <is>
          <t>😈</t>
        </is>
      </c>
      <c r="D19" s="8" t="inlineStr">
        <is>
          <t>crit</t>
        </is>
      </c>
      <c r="E19" s="8" t="inlineStr">
        <is>
          <t>유혹</t>
        </is>
      </c>
      <c r="F19" s="8" t="inlineStr">
        <is>
          <t>해방</t>
        </is>
      </c>
      <c r="G19" s="8" t="inlineStr"/>
    </row>
    <row r="20">
      <c r="A20" s="7" t="inlineStr">
        <is>
          <t>16</t>
        </is>
      </c>
      <c r="B20" s="7" t="inlineStr">
        <is>
          <t>탑</t>
        </is>
      </c>
      <c r="C20" s="7" t="inlineStr">
        <is>
          <t>🗼</t>
        </is>
      </c>
      <c r="D20" s="7" t="inlineStr">
        <is>
          <t>def</t>
        </is>
      </c>
      <c r="E20" s="7" t="inlineStr">
        <is>
          <t>갑작스런 변화</t>
        </is>
      </c>
      <c r="F20" s="7" t="inlineStr">
        <is>
          <t>재앙 회피</t>
        </is>
      </c>
      <c r="G20" s="7" t="inlineStr"/>
    </row>
    <row r="21">
      <c r="A21" s="8" t="inlineStr">
        <is>
          <t>17</t>
        </is>
      </c>
      <c r="B21" s="8" t="inlineStr">
        <is>
          <t>별</t>
        </is>
      </c>
      <c r="C21" s="8" t="inlineStr">
        <is>
          <t>⭐</t>
        </is>
      </c>
      <c r="D21" s="8" t="inlineStr">
        <is>
          <t>allStats</t>
        </is>
      </c>
      <c r="E21" s="8" t="inlineStr">
        <is>
          <t>희망</t>
        </is>
      </c>
      <c r="F21" s="8" t="inlineStr">
        <is>
          <t>절망</t>
        </is>
      </c>
      <c r="G21" s="8" t="inlineStr"/>
    </row>
    <row r="22">
      <c r="A22" s="7" t="inlineStr">
        <is>
          <t>18</t>
        </is>
      </c>
      <c r="B22" s="7" t="inlineStr">
        <is>
          <t>달</t>
        </is>
      </c>
      <c r="C22" s="7" t="inlineStr">
        <is>
          <t>🌙</t>
        </is>
      </c>
      <c r="D22" s="7" t="inlineStr">
        <is>
          <t>evasion</t>
        </is>
      </c>
      <c r="E22" s="7" t="inlineStr">
        <is>
          <t>환상</t>
        </is>
      </c>
      <c r="F22" s="7" t="inlineStr">
        <is>
          <t>명료함</t>
        </is>
      </c>
      <c r="G22" s="7" t="inlineStr"/>
    </row>
    <row r="23">
      <c r="A23" s="8" t="inlineStr">
        <is>
          <t>19</t>
        </is>
      </c>
      <c r="B23" s="8" t="inlineStr">
        <is>
          <t>태양</t>
        </is>
      </c>
      <c r="C23" s="8" t="inlineStr">
        <is>
          <t>☀️</t>
        </is>
      </c>
      <c r="D23" s="8" t="inlineStr">
        <is>
          <t>expBonus</t>
        </is>
      </c>
      <c r="E23" s="8" t="inlineStr">
        <is>
          <t>성공</t>
        </is>
      </c>
      <c r="F23" s="8" t="inlineStr">
        <is>
          <t>기쁨의 지연</t>
        </is>
      </c>
      <c r="G23" s="8" t="inlineStr"/>
    </row>
    <row r="24">
      <c r="A24" s="7" t="inlineStr">
        <is>
          <t>20</t>
        </is>
      </c>
      <c r="B24" s="7" t="inlineStr">
        <is>
          <t>심판</t>
        </is>
      </c>
      <c r="C24" s="7" t="inlineStr">
        <is>
          <t>📯</t>
        </is>
      </c>
      <c r="D24" s="7" t="inlineStr">
        <is>
          <t>allStats</t>
        </is>
      </c>
      <c r="E24" s="7" t="inlineStr">
        <is>
          <t>각성</t>
        </is>
      </c>
      <c r="F24" s="7" t="inlineStr">
        <is>
          <t>후회</t>
        </is>
      </c>
      <c r="G24" s="7" t="inlineStr"/>
    </row>
    <row r="25">
      <c r="A25" s="8" t="inlineStr">
        <is>
          <t>21</t>
        </is>
      </c>
      <c r="B25" s="8" t="inlineStr">
        <is>
          <t>세계</t>
        </is>
      </c>
      <c r="C25" s="8" t="inlineStr">
        <is>
          <t>🌍</t>
        </is>
      </c>
      <c r="D25" s="8" t="inlineStr">
        <is>
          <t>allStats</t>
        </is>
      </c>
      <c r="E25" s="8" t="inlineStr">
        <is>
          <t>완성</t>
        </is>
      </c>
      <c r="F25" s="8" t="inlineStr">
        <is>
          <t>미완</t>
        </is>
      </c>
      <c r="G25" s="8" t="inlineStr"/>
    </row>
  </sheetData>
  <mergeCells count="1">
    <mergeCell ref="A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30" customWidth="1" min="6" max="6"/>
    <col width="18" customWidth="1" min="7" max="7"/>
  </cols>
  <sheetData>
    <row r="1">
      <c r="A1" s="5" t="inlineStr">
        <is>
          <t>원정 시스템 상세</t>
        </is>
      </c>
    </row>
    <row r="3">
      <c r="A3" s="6" t="inlineStr">
        <is>
          <t>원정명</t>
        </is>
      </c>
      <c r="B3" s="6" t="inlineStr">
        <is>
          <t>ID</t>
        </is>
      </c>
      <c r="C3" s="6" t="inlineStr">
        <is>
          <t>요구 레벨</t>
        </is>
      </c>
      <c r="D3" s="6" t="inlineStr">
        <is>
          <t>스테이지</t>
        </is>
      </c>
      <c r="E3" s="6" t="inlineStr">
        <is>
          <t>소요 시간</t>
        </is>
      </c>
      <c r="F3" s="6" t="inlineStr">
        <is>
          <t>최종 보상</t>
        </is>
      </c>
      <c r="G3" s="6" t="inlineStr">
        <is>
          <t>분기 선택</t>
        </is>
      </c>
    </row>
    <row r="4">
      <c r="A4" s="7" t="inlineStr">
        <is>
          <t>용 사냥꾼</t>
        </is>
      </c>
      <c r="B4" s="7" t="inlineStr">
        <is>
          <t>dragon_slayer</t>
        </is>
      </c>
      <c r="C4" s="7" t="inlineStr">
        <is>
          <t>Lv.25</t>
        </is>
      </c>
      <c r="D4" s="7" t="inlineStr">
        <is>
          <t>7스테이지</t>
        </is>
      </c>
      <c r="E4" s="7" t="inlineStr">
        <is>
          <t>7일</t>
        </is>
      </c>
      <c r="F4" s="7" t="inlineStr">
        <is>
          <t>50K G, 80K EXP, 300D, 장비, 칭호</t>
        </is>
      </c>
      <c r="G4" s="7" t="inlineStr">
        <is>
          <t>은신/정면돌파 분기</t>
        </is>
      </c>
    </row>
    <row r="5">
      <c r="A5" s="8" t="inlineStr">
        <is>
          <t>보물 사냥꾼</t>
        </is>
      </c>
      <c r="B5" s="8" t="inlineStr">
        <is>
          <t>treasure_hunter</t>
        </is>
      </c>
      <c r="C5" s="8" t="inlineStr">
        <is>
          <t>Lv.15</t>
        </is>
      </c>
      <c r="D5" s="8" t="inlineStr">
        <is>
          <t>5스테이지</t>
        </is>
      </c>
      <c r="E5" s="8" t="inlineStr">
        <is>
          <t>5일</t>
        </is>
      </c>
      <c r="F5" s="8" t="inlineStr">
        <is>
          <t>30K G, 40K EXP, 150D, 신화 상자</t>
        </is>
      </c>
      <c r="G5" s="8" t="inlineStr">
        <is>
          <t>도움/강탈 분기</t>
        </is>
      </c>
    </row>
    <row r="6">
      <c r="A6" s="7" t="inlineStr">
        <is>
          <t>공허 탐험가</t>
        </is>
      </c>
      <c r="B6" s="7" t="inlineStr">
        <is>
          <t>void_explorer</t>
        </is>
      </c>
      <c r="C6" s="7" t="inlineStr">
        <is>
          <t>Lv.40</t>
        </is>
      </c>
      <c r="D6" s="7" t="inlineStr">
        <is>
          <t>7스테이지</t>
        </is>
      </c>
      <c r="E6" s="7" t="inlineStr">
        <is>
          <t>7일</t>
        </is>
      </c>
      <c r="F6" s="7" t="inlineStr">
        <is>
          <t>100K G, 150K EXP, 600D, 오브, 칭호</t>
        </is>
      </c>
      <c r="G6" s="7" t="inlineStr">
        <is>
          <t>보존/파괴 분기</t>
        </is>
      </c>
    </row>
    <row r="7">
      <c r="A7" s="8" t="inlineStr">
        <is>
          <t>설정</t>
        </is>
      </c>
      <c r="B7" s="8" t="inlineStr">
        <is>
          <t>최대 동시 진행</t>
        </is>
      </c>
      <c r="C7" s="8" t="inlineStr">
        <is>
          <t>2개</t>
        </is>
      </c>
      <c r="D7" s="8" t="inlineStr">
        <is>
          <t>-</t>
        </is>
      </c>
      <c r="E7" s="8" t="inlineStr">
        <is>
          <t>-</t>
        </is>
      </c>
      <c r="F7" s="8" t="inlineStr">
        <is>
          <t>-</t>
        </is>
      </c>
      <c r="G7" s="8" t="inlineStr">
        <is>
          <t>-</t>
        </is>
      </c>
    </row>
    <row r="8">
      <c r="A8" s="7" t="inlineStr">
        <is>
          <t>설정</t>
        </is>
      </c>
      <c r="B8" s="7" t="inlineStr">
        <is>
          <t>스테이지 부분 보상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5K~10K G, 8K~15K EXP</t>
        </is>
      </c>
      <c r="G8" s="7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8" customWidth="1" min="5" max="5"/>
    <col width="10" customWidth="1" min="6" max="6"/>
    <col width="28" customWidth="1" min="7" max="7"/>
  </cols>
  <sheetData>
    <row r="1">
      <c r="A1" s="5" t="inlineStr">
        <is>
          <t>보물 지도 시스템</t>
        </is>
      </c>
    </row>
    <row r="3">
      <c r="A3" s="6" t="inlineStr">
        <is>
          <t>등급</t>
        </is>
      </c>
      <c r="B3" s="6" t="inlineStr">
        <is>
          <t>이름</t>
        </is>
      </c>
      <c r="C3" s="6" t="inlineStr">
        <is>
          <t>탐색 반경</t>
        </is>
      </c>
      <c r="D3" s="6" t="inlineStr">
        <is>
          <t>만료 시간</t>
        </is>
      </c>
      <c r="E3" s="6" t="inlineStr">
        <is>
          <t>골드 보상</t>
        </is>
      </c>
      <c r="F3" s="6" t="inlineStr">
        <is>
          <t>다이아</t>
        </is>
      </c>
      <c r="G3" s="6" t="inlineStr">
        <is>
          <t>아이템 보상</t>
        </is>
      </c>
    </row>
    <row r="4">
      <c r="A4" s="7" t="inlineStr">
        <is>
          <t>common</t>
        </is>
      </c>
      <c r="B4" s="7" t="inlineStr">
        <is>
          <t>일반 보물 지도</t>
        </is>
      </c>
      <c r="C4" s="7" t="inlineStr">
        <is>
          <t>±30</t>
        </is>
      </c>
      <c r="D4" s="7" t="inlineStr">
        <is>
          <t>60분</t>
        </is>
      </c>
      <c r="E4" s="7" t="inlineStr">
        <is>
          <t>500~1,500G</t>
        </is>
      </c>
      <c r="F4" s="7" t="inlineStr">
        <is>
          <t>0D</t>
        </is>
      </c>
      <c r="G4" s="7" t="inlineStr">
        <is>
          <t>mat_magic, goods_herb (2~5)</t>
        </is>
      </c>
    </row>
    <row r="5">
      <c r="A5" s="8" t="inlineStr">
        <is>
          <t>uncommon</t>
        </is>
      </c>
      <c r="B5" s="8" t="inlineStr">
        <is>
          <t>고급 보물 지도</t>
        </is>
      </c>
      <c r="C5" s="8" t="inlineStr">
        <is>
          <t>±25</t>
        </is>
      </c>
      <c r="D5" s="8" t="inlineStr">
        <is>
          <t>60분</t>
        </is>
      </c>
      <c r="E5" s="8" t="inlineStr">
        <is>
          <t>1,500~4,000G</t>
        </is>
      </c>
      <c r="F5" s="8" t="inlineStr">
        <is>
          <t>5~15D</t>
        </is>
      </c>
      <c r="G5" s="8" t="inlineStr">
        <is>
          <t>mat_magic, mat_soul (3~8)</t>
        </is>
      </c>
    </row>
    <row r="6">
      <c r="A6" s="7" t="inlineStr">
        <is>
          <t>rare</t>
        </is>
      </c>
      <c r="B6" s="7" t="inlineStr">
        <is>
          <t>희귀 보물 지도</t>
        </is>
      </c>
      <c r="C6" s="7" t="inlineStr">
        <is>
          <t>±20</t>
        </is>
      </c>
      <c r="D6" s="7" t="inlineStr">
        <is>
          <t>90분</t>
        </is>
      </c>
      <c r="E6" s="7" t="inlineStr">
        <is>
          <t>4,000~10,000G</t>
        </is>
      </c>
      <c r="F6" s="7" t="inlineStr">
        <is>
          <t>20~50D</t>
        </is>
      </c>
      <c r="G6" s="7" t="inlineStr">
        <is>
          <t>mat_soul, goods_gem (5~10)</t>
        </is>
      </c>
    </row>
    <row r="7">
      <c r="A7" s="8" t="inlineStr">
        <is>
          <t>epic</t>
        </is>
      </c>
      <c r="B7" s="8" t="inlineStr">
        <is>
          <t>영웅 보물 지도</t>
        </is>
      </c>
      <c r="C7" s="8" t="inlineStr">
        <is>
          <t>±15</t>
        </is>
      </c>
      <c r="D7" s="8" t="inlineStr">
        <is>
          <t>120분</t>
        </is>
      </c>
      <c r="E7" s="8" t="inlineStr">
        <is>
          <t>10,000~30,000G</t>
        </is>
      </c>
      <c r="F7" s="8" t="inlineStr">
        <is>
          <t>50~150D</t>
        </is>
      </c>
      <c r="G7" s="8" t="inlineStr">
        <is>
          <t>mat_dragon, goods_gold_bar (3~6)</t>
        </is>
      </c>
    </row>
    <row r="8">
      <c r="A8" s="7" t="inlineStr">
        <is>
          <t>legendary</t>
        </is>
      </c>
      <c r="B8" s="7" t="inlineStr">
        <is>
          <t>전설 보물 지도</t>
        </is>
      </c>
      <c r="C8" s="7" t="inlineStr">
        <is>
          <t>±10</t>
        </is>
      </c>
      <c r="D8" s="7" t="inlineStr">
        <is>
          <t>180분</t>
        </is>
      </c>
      <c r="E8" s="7" t="inlineStr">
        <is>
          <t>30,000~80,000G</t>
        </is>
      </c>
      <c r="F8" s="7" t="inlineStr">
        <is>
          <t>200~500D</t>
        </is>
      </c>
      <c r="G8" s="7" t="inlineStr">
        <is>
          <t>mat_dragon, goods_dragon_eye (5~10)</t>
        </is>
      </c>
    </row>
    <row r="9">
      <c r="A9" s="8" t="inlineStr">
        <is>
          <t>설정</t>
        </is>
      </c>
      <c r="B9" s="8" t="inlineStr">
        <is>
          <t>최대 보유</t>
        </is>
      </c>
      <c r="C9" s="8" t="inlineStr">
        <is>
          <t>-</t>
        </is>
      </c>
      <c r="D9" s="8" t="inlineStr">
        <is>
          <t>-</t>
        </is>
      </c>
      <c r="E9" s="8" t="inlineStr">
        <is>
          <t>5장</t>
        </is>
      </c>
      <c r="F9" s="8" t="inlineStr">
        <is>
          <t>-</t>
        </is>
      </c>
      <c r="G9" s="8" t="inlineStr">
        <is>
          <t>근접 5유닛 시 발견 가능</t>
        </is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>
      <c r="A1" s="5" t="inlineStr">
        <is>
          <t>펫 교배 시스템</t>
        </is>
      </c>
    </row>
    <row r="3">
      <c r="A3" s="6" t="inlineStr">
        <is>
          <t>조합/설정</t>
        </is>
      </c>
      <c r="B3" s="6" t="inlineStr">
        <is>
          <t>결과/값</t>
        </is>
      </c>
      <c r="C3" s="6" t="inlineStr">
        <is>
          <t>효과</t>
        </is>
      </c>
      <c r="D3" s="6" t="inlineStr">
        <is>
          <t>수치</t>
        </is>
      </c>
      <c r="E3" s="6" t="inlineStr">
        <is>
          <t>비고</t>
        </is>
      </c>
    </row>
    <row r="4">
      <c r="A4" s="7" t="inlineStr">
        <is>
          <t>슬라임 + 늑대</t>
        </is>
      </c>
      <c r="B4" s="7" t="inlineStr">
        <is>
          <t>slime_wolf</t>
        </is>
      </c>
      <c r="C4" s="7" t="inlineStr">
        <is>
          <t>HP 리젠</t>
        </is>
      </c>
      <c r="D4" s="7" t="inlineStr">
        <is>
          <t>0.06 (6%/초)</t>
        </is>
      </c>
      <c r="E4" s="7" t="inlineStr">
        <is>
          <t>하이브리드</t>
        </is>
      </c>
    </row>
    <row r="5">
      <c r="A5" s="8" t="inlineStr">
        <is>
          <t>요정 + 드래곤</t>
        </is>
      </c>
      <c r="B5" s="8" t="inlineStr">
        <is>
          <t>light_dragon</t>
        </is>
      </c>
      <c r="C5" s="8" t="inlineStr">
        <is>
          <t>EXP 보너스</t>
        </is>
      </c>
      <c r="D5" s="8" t="inlineStr">
        <is>
          <t>+25%</t>
        </is>
      </c>
      <c r="E5" s="8" t="inlineStr">
        <is>
          <t>하이브리드</t>
        </is>
      </c>
    </row>
    <row r="6">
      <c r="A6" s="7" t="inlineStr">
        <is>
          <t>천사 + 불사조</t>
        </is>
      </c>
      <c r="B6" s="7" t="inlineStr">
        <is>
          <t>holy_phoenix</t>
        </is>
      </c>
      <c r="C6" s="7" t="inlineStr">
        <is>
          <t>자동 부활</t>
        </is>
      </c>
      <c r="D6" s="7" t="inlineStr">
        <is>
          <t>2회</t>
        </is>
      </c>
      <c r="E6" s="7" t="inlineStr">
        <is>
          <t>하이브리드</t>
        </is>
      </c>
    </row>
    <row r="7">
      <c r="A7" s="8" t="inlineStr">
        <is>
          <t>유니콘 + 요정</t>
        </is>
      </c>
      <c r="B7" s="8" t="inlineStr">
        <is>
          <t>light_unicorn</t>
        </is>
      </c>
      <c r="C7" s="8" t="inlineStr">
        <is>
          <t>회피 보너스</t>
        </is>
      </c>
      <c r="D7" s="8" t="inlineStr">
        <is>
          <t>+15%</t>
        </is>
      </c>
      <c r="E7" s="8" t="inlineStr">
        <is>
          <t>하이브리드</t>
        </is>
      </c>
    </row>
    <row r="8">
      <c r="A8" s="7" t="inlineStr">
        <is>
          <t>설정</t>
        </is>
      </c>
      <c r="B8" s="7" t="inlineStr">
        <is>
          <t>쿨다운</t>
        </is>
      </c>
      <c r="C8" s="7" t="inlineStr">
        <is>
          <t>24시간</t>
        </is>
      </c>
      <c r="D8" s="7" t="inlineStr">
        <is>
          <t>-</t>
        </is>
      </c>
      <c r="E8" s="7" t="inlineStr">
        <is>
          <t>-</t>
        </is>
      </c>
    </row>
    <row r="9">
      <c r="A9" s="8" t="inlineStr">
        <is>
          <t>설정</t>
        </is>
      </c>
      <c r="B9" s="8" t="inlineStr">
        <is>
          <t>비용</t>
        </is>
      </c>
      <c r="C9" s="8" t="inlineStr">
        <is>
          <t>10,000G + 50D</t>
        </is>
      </c>
      <c r="D9" s="8" t="inlineStr">
        <is>
          <t>-</t>
        </is>
      </c>
      <c r="E9" s="8" t="inlineStr">
        <is>
          <t>-</t>
        </is>
      </c>
    </row>
    <row r="10">
      <c r="A10" s="7" t="inlineStr">
        <is>
          <t>설정</t>
        </is>
      </c>
      <c r="B10" s="7" t="inlineStr">
        <is>
          <t>돌연변이 확률</t>
        </is>
      </c>
      <c r="C10" s="7" t="inlineStr">
        <is>
          <t>10%</t>
        </is>
      </c>
      <c r="D10" s="7" t="inlineStr">
        <is>
          <t>효과치 +50%</t>
        </is>
      </c>
      <c r="E10" s="7" t="inlineStr">
        <is>
          <t>랜덤</t>
        </is>
      </c>
    </row>
    <row r="11">
      <c r="A11" s="8" t="inlineStr">
        <is>
          <t>설정</t>
        </is>
      </c>
      <c r="B11" s="8" t="inlineStr">
        <is>
          <t>하이브리드 확률</t>
        </is>
      </c>
      <c r="C11" s="8" t="inlineStr">
        <is>
          <t>30%</t>
        </is>
      </c>
      <c r="D11" s="8" t="inlineStr">
        <is>
          <t>-</t>
        </is>
      </c>
      <c r="E11" s="8" t="inlineStr">
        <is>
          <t>특정 조합만</t>
        </is>
      </c>
    </row>
  </sheetData>
  <mergeCells count="1">
    <mergeCell ref="A1:E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4" customWidth="1" min="4" max="4"/>
    <col width="20" customWidth="1" min="5" max="5"/>
  </cols>
  <sheetData>
    <row r="1">
      <c r="A1" s="5" t="inlineStr">
        <is>
          <t>명상 시스템</t>
        </is>
      </c>
    </row>
    <row r="3">
      <c r="A3" s="6" t="inlineStr">
        <is>
          <t>분류</t>
        </is>
      </c>
      <c r="B3" s="6" t="inlineStr">
        <is>
          <t>이름</t>
        </is>
      </c>
      <c r="C3" s="6" t="inlineStr">
        <is>
          <t>ID</t>
        </is>
      </c>
      <c r="D3" s="6" t="inlineStr">
        <is>
          <t>획득률/비용</t>
        </is>
      </c>
      <c r="E3" s="6" t="inlineStr">
        <is>
          <t>효과/비고</t>
        </is>
      </c>
    </row>
    <row r="4">
      <c r="A4" s="7" t="inlineStr">
        <is>
          <t>존</t>
        </is>
      </c>
      <c r="B4" s="7" t="inlineStr">
        <is>
          <t>고대 신전</t>
        </is>
      </c>
      <c r="C4" s="7" t="inlineStr">
        <is>
          <t>shrine</t>
        </is>
      </c>
      <c r="D4" s="7" t="inlineStr">
        <is>
          <t>1.0</t>
        </is>
      </c>
      <c r="E4" s="7" t="inlineStr">
        <is>
          <t>1.2배 보너스</t>
        </is>
      </c>
    </row>
    <row r="5">
      <c r="A5" s="8" t="inlineStr">
        <is>
          <t>존</t>
        </is>
      </c>
      <c r="B5" s="8" t="inlineStr">
        <is>
          <t>산 정상</t>
        </is>
      </c>
      <c r="C5" s="8" t="inlineStr">
        <is>
          <t>mountain_top</t>
        </is>
      </c>
      <c r="D5" s="8" t="inlineStr">
        <is>
          <t>0.8</t>
        </is>
      </c>
      <c r="E5" s="8" t="inlineStr">
        <is>
          <t>1.0배</t>
        </is>
      </c>
    </row>
    <row r="6">
      <c r="A6" s="7" t="inlineStr">
        <is>
          <t>존</t>
        </is>
      </c>
      <c r="B6" s="7" t="inlineStr">
        <is>
          <t>숲의 성소</t>
        </is>
      </c>
      <c r="C6" s="7" t="inlineStr">
        <is>
          <t>forest_grove</t>
        </is>
      </c>
      <c r="D6" s="7" t="inlineStr">
        <is>
          <t>0.7</t>
        </is>
      </c>
      <c r="E6" s="7" t="inlineStr">
        <is>
          <t>1.1배</t>
        </is>
      </c>
    </row>
    <row r="7">
      <c r="A7" s="8" t="inlineStr">
        <is>
          <t>존</t>
        </is>
      </c>
      <c r="B7" s="8" t="inlineStr">
        <is>
          <t>별빛 호수</t>
        </is>
      </c>
      <c r="C7" s="8" t="inlineStr">
        <is>
          <t>starlit_lake</t>
        </is>
      </c>
      <c r="D7" s="8" t="inlineStr">
        <is>
          <t>1.2</t>
        </is>
      </c>
      <c r="E7" s="8" t="inlineStr">
        <is>
          <t>1.3배 (최고)</t>
        </is>
      </c>
    </row>
    <row r="8">
      <c r="A8" s="7" t="inlineStr">
        <is>
          <t>특성</t>
        </is>
      </c>
      <c r="B8" s="7" t="inlineStr">
        <is>
          <t>내면의 평화</t>
        </is>
      </c>
      <c r="C8" s="7" t="inlineStr">
        <is>
          <t>inner_peace</t>
        </is>
      </c>
      <c r="D8" s="7" t="inlineStr">
        <is>
          <t>50포인트</t>
        </is>
      </c>
      <c r="E8" s="7" t="inlineStr">
        <is>
          <t>maxHp +30</t>
        </is>
      </c>
    </row>
    <row r="9">
      <c r="A9" s="8" t="inlineStr">
        <is>
          <t>특성</t>
        </is>
      </c>
      <c r="B9" s="8" t="inlineStr">
        <is>
          <t>예리한 정신</t>
        </is>
      </c>
      <c r="C9" s="8" t="inlineStr">
        <is>
          <t>sharp_mind</t>
        </is>
      </c>
      <c r="D9" s="8" t="inlineStr">
        <is>
          <t>80포인트</t>
        </is>
      </c>
      <c r="E9" s="8" t="inlineStr">
        <is>
          <t>crit +3%</t>
        </is>
      </c>
    </row>
    <row r="10">
      <c r="A10" s="7" t="inlineStr">
        <is>
          <t>특성</t>
        </is>
      </c>
      <c r="B10" s="7" t="inlineStr">
        <is>
          <t>강철 의지</t>
        </is>
      </c>
      <c r="C10" s="7" t="inlineStr">
        <is>
          <t>iron_will</t>
        </is>
      </c>
      <c r="D10" s="7" t="inlineStr">
        <is>
          <t>100포인트</t>
        </is>
      </c>
      <c r="E10" s="7" t="inlineStr">
        <is>
          <t>def +15</t>
        </is>
      </c>
    </row>
    <row r="11">
      <c r="A11" s="8" t="inlineStr">
        <is>
          <t>특성</t>
        </is>
      </c>
      <c r="B11" s="8" t="inlineStr">
        <is>
          <t>흐르는 강</t>
        </is>
      </c>
      <c r="C11" s="8" t="inlineStr">
        <is>
          <t>flowing_river</t>
        </is>
      </c>
      <c r="D11" s="8" t="inlineStr">
        <is>
          <t>120포인트</t>
        </is>
      </c>
      <c r="E11" s="8" t="inlineStr">
        <is>
          <t>evasion +4%</t>
        </is>
      </c>
    </row>
    <row r="12">
      <c r="A12" s="7" t="inlineStr">
        <is>
          <t>특성</t>
        </is>
      </c>
      <c r="B12" s="7" t="inlineStr">
        <is>
          <t>깨달음</t>
        </is>
      </c>
      <c r="C12" s="7" t="inlineStr">
        <is>
          <t>enlightenment</t>
        </is>
      </c>
      <c r="D12" s="7" t="inlineStr">
        <is>
          <t>200포인트</t>
        </is>
      </c>
      <c r="E12" s="7" t="inlineStr">
        <is>
          <t>expBonus +10%</t>
        </is>
      </c>
    </row>
    <row r="13">
      <c r="A13" s="8" t="inlineStr">
        <is>
          <t>설정</t>
        </is>
      </c>
      <c r="B13" s="8" t="inlineStr">
        <is>
          <t>최대 세션</t>
        </is>
      </c>
      <c r="C13" s="8" t="inlineStr">
        <is>
          <t>4시간</t>
        </is>
      </c>
      <c r="D13" s="8" t="inlineStr">
        <is>
          <t>-</t>
        </is>
      </c>
      <c r="E13" s="8" t="inlineStr">
        <is>
          <t>-</t>
        </is>
      </c>
    </row>
    <row r="14">
      <c r="A14" s="7" t="inlineStr">
        <is>
          <t>설정</t>
        </is>
      </c>
      <c r="B14" s="7" t="inlineStr">
        <is>
          <t>쿨다운</t>
        </is>
      </c>
      <c r="C14" s="7" t="inlineStr">
        <is>
          <t>30분</t>
        </is>
      </c>
      <c r="D14" s="7" t="inlineStr">
        <is>
          <t>-</t>
        </is>
      </c>
      <c r="E14" s="7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0" customWidth="1" min="4" max="4"/>
    <col width="14" customWidth="1" min="5" max="5"/>
  </cols>
  <sheetData>
    <row r="1">
      <c r="A1" s="5" t="inlineStr">
        <is>
          <t>암시장 시스템</t>
        </is>
      </c>
    </row>
    <row r="3">
      <c r="A3" s="6" t="inlineStr">
        <is>
          <t>등급</t>
        </is>
      </c>
      <c r="B3" s="6" t="inlineStr">
        <is>
          <t>확률</t>
        </is>
      </c>
      <c r="C3" s="6" t="inlineStr">
        <is>
          <t>아이템 수</t>
        </is>
      </c>
      <c r="D3" s="6" t="inlineStr">
        <is>
          <t>대표 아이템</t>
        </is>
      </c>
      <c r="E3" s="6" t="inlineStr">
        <is>
          <t>가격대</t>
        </is>
      </c>
    </row>
    <row r="4">
      <c r="A4" s="7" t="inlineStr">
        <is>
          <t>rare</t>
        </is>
      </c>
      <c r="B4" s="7" t="inlineStr">
        <is>
          <t>70%</t>
        </is>
      </c>
      <c r="C4" s="7" t="inlineStr">
        <is>
          <t>7종</t>
        </is>
      </c>
      <c r="D4" s="7" t="inlineStr">
        <is>
          <t>mat_dragon_pack, mat_soul_pack, protect_x10 등</t>
        </is>
      </c>
      <c r="E4" s="7" t="inlineStr">
        <is>
          <t>200~500D</t>
        </is>
      </c>
    </row>
    <row r="5">
      <c r="A5" s="8" t="inlineStr">
        <is>
          <t>epic</t>
        </is>
      </c>
      <c r="B5" s="8" t="inlineStr">
        <is>
          <t>25%</t>
        </is>
      </c>
      <c r="C5" s="8" t="inlineStr">
        <is>
          <t>9종</t>
        </is>
      </c>
      <c r="D5" s="8" t="inlineStr">
        <is>
          <t>legendary_chest, rune_pack_legendary, rare_pet_voucher 등</t>
        </is>
      </c>
      <c r="E5" s="8" t="inlineStr">
        <is>
          <t>1,500~3,000D</t>
        </is>
      </c>
    </row>
    <row r="6">
      <c r="A6" s="7" t="inlineStr">
        <is>
          <t>legendary</t>
        </is>
      </c>
      <c r="B6" s="7" t="inlineStr">
        <is>
          <t>5%</t>
        </is>
      </c>
      <c r="C6" s="7" t="inlineStr">
        <is>
          <t>4종</t>
        </is>
      </c>
      <c r="D6" s="7" t="inlineStr">
        <is>
          <t>mythic_pet_voucher, season_pass_skip, rebirth_blessing, time_crystal</t>
        </is>
      </c>
      <c r="E6" s="7" t="inlineStr">
        <is>
          <t>4,000~8,000D</t>
        </is>
      </c>
    </row>
    <row r="7">
      <c r="A7" s="8" t="inlineStr">
        <is>
          <t>설정</t>
        </is>
      </c>
      <c r="B7" s="8" t="inlineStr">
        <is>
          <t>슬롯 수</t>
        </is>
      </c>
      <c r="C7" s="8" t="inlineStr">
        <is>
          <t>4</t>
        </is>
      </c>
      <c r="D7" s="8" t="inlineStr">
        <is>
          <t>-</t>
        </is>
      </c>
      <c r="E7" s="8" t="inlineStr">
        <is>
          <t>-</t>
        </is>
      </c>
    </row>
    <row r="8">
      <c r="A8" s="7" t="inlineStr">
        <is>
          <t>설정</t>
        </is>
      </c>
      <c r="B8" s="7" t="inlineStr">
        <is>
          <t>갱신 주기</t>
        </is>
      </c>
      <c r="C8" s="7" t="inlineStr">
        <is>
          <t>6시간</t>
        </is>
      </c>
      <c r="D8" s="7" t="inlineStr">
        <is>
          <t>-</t>
        </is>
      </c>
      <c r="E8" s="7" t="inlineStr">
        <is>
          <t>-</t>
        </is>
      </c>
    </row>
    <row r="9">
      <c r="A9" s="8" t="inlineStr">
        <is>
          <t>설정</t>
        </is>
      </c>
      <c r="B9" s="8" t="inlineStr">
        <is>
          <t>리롤 비용</t>
        </is>
      </c>
      <c r="C9" s="8" t="inlineStr">
        <is>
          <t>100D</t>
        </is>
      </c>
      <c r="D9" s="8" t="inlineStr">
        <is>
          <t>-</t>
        </is>
      </c>
      <c r="E9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2" customWidth="1" min="8" max="8"/>
  </cols>
  <sheetData>
    <row r="1">
      <c r="A1" s="5" t="inlineStr">
        <is>
          <t>존 미니보스 &amp; 위험 지역</t>
        </is>
      </c>
    </row>
    <row r="3">
      <c r="A3" s="6" t="inlineStr">
        <is>
          <t>분류</t>
        </is>
      </c>
      <c r="B3" s="6" t="inlineStr">
        <is>
          <t>존</t>
        </is>
      </c>
      <c r="C3" s="6" t="inlineStr">
        <is>
          <t>이름</t>
        </is>
      </c>
      <c r="D3" s="6" t="inlineStr">
        <is>
          <t>HP/DPS</t>
        </is>
      </c>
      <c r="E3" s="6" t="inlineStr">
        <is>
          <t>ATK/간격</t>
        </is>
      </c>
      <c r="F3" s="6" t="inlineStr">
        <is>
          <t>DEF/효과</t>
        </is>
      </c>
      <c r="G3" s="6" t="inlineStr">
        <is>
          <t>골드 보상</t>
        </is>
      </c>
      <c r="H3" s="6" t="inlineStr">
        <is>
          <t>EXP/비고</t>
        </is>
      </c>
    </row>
    <row r="4">
      <c r="A4" s="7" t="inlineStr">
        <is>
          <t>미니보스</t>
        </is>
      </c>
      <c r="B4" s="7" t="inlineStr">
        <is>
          <t>forest</t>
        </is>
      </c>
      <c r="C4" s="7" t="inlineStr">
        <is>
          <t>숲의 수호자</t>
        </is>
      </c>
      <c r="D4" s="7" t="inlineStr">
        <is>
          <t>3,000</t>
        </is>
      </c>
      <c r="E4" s="7" t="inlineStr">
        <is>
          <t>40</t>
        </is>
      </c>
      <c r="F4" s="7" t="inlineStr">
        <is>
          <t>15</t>
        </is>
      </c>
      <c r="G4" s="7" t="inlineStr">
        <is>
          <t>500G</t>
        </is>
      </c>
      <c r="H4" s="7" t="inlineStr">
        <is>
          <t>800 EXP</t>
        </is>
      </c>
    </row>
    <row r="5">
      <c r="A5" s="8" t="inlineStr">
        <is>
          <t>미니보스</t>
        </is>
      </c>
      <c r="B5" s="8" t="inlineStr">
        <is>
          <t>swamp</t>
        </is>
      </c>
      <c r="C5" s="8" t="inlineStr">
        <is>
          <t>늪의 군주</t>
        </is>
      </c>
      <c r="D5" s="8" t="inlineStr">
        <is>
          <t>5,000</t>
        </is>
      </c>
      <c r="E5" s="8" t="inlineStr">
        <is>
          <t>60</t>
        </is>
      </c>
      <c r="F5" s="8" t="inlineStr">
        <is>
          <t>20</t>
        </is>
      </c>
      <c r="G5" s="8" t="inlineStr">
        <is>
          <t>800G</t>
        </is>
      </c>
      <c r="H5" s="8" t="inlineStr">
        <is>
          <t>1,200 EXP</t>
        </is>
      </c>
    </row>
    <row r="6">
      <c r="A6" s="7" t="inlineStr">
        <is>
          <t>미니보스</t>
        </is>
      </c>
      <c r="B6" s="7" t="inlineStr">
        <is>
          <t>desert</t>
        </is>
      </c>
      <c r="C6" s="7" t="inlineStr">
        <is>
          <t>사막의 왕</t>
        </is>
      </c>
      <c r="D6" s="7" t="inlineStr">
        <is>
          <t>5,000</t>
        </is>
      </c>
      <c r="E6" s="7" t="inlineStr">
        <is>
          <t>65</t>
        </is>
      </c>
      <c r="F6" s="7" t="inlineStr">
        <is>
          <t>18</t>
        </is>
      </c>
      <c r="G6" s="7" t="inlineStr">
        <is>
          <t>800G</t>
        </is>
      </c>
      <c r="H6" s="7" t="inlineStr">
        <is>
          <t>1,200 EXP</t>
        </is>
      </c>
    </row>
    <row r="7">
      <c r="A7" s="8" t="inlineStr">
        <is>
          <t>미니보스</t>
        </is>
      </c>
      <c r="B7" s="8" t="inlineStr">
        <is>
          <t>cave</t>
        </is>
      </c>
      <c r="C7" s="8" t="inlineStr">
        <is>
          <t>동굴의 감시자</t>
        </is>
      </c>
      <c r="D7" s="8" t="inlineStr">
        <is>
          <t>8,000</t>
        </is>
      </c>
      <c r="E7" s="8" t="inlineStr">
        <is>
          <t>80</t>
        </is>
      </c>
      <c r="F7" s="8" t="inlineStr">
        <is>
          <t>30</t>
        </is>
      </c>
      <c r="G7" s="8" t="inlineStr">
        <is>
          <t>1,200G</t>
        </is>
      </c>
      <c r="H7" s="8" t="inlineStr">
        <is>
          <t>2,000 EXP</t>
        </is>
      </c>
    </row>
    <row r="8">
      <c r="A8" s="7" t="inlineStr">
        <is>
          <t>미니보스</t>
        </is>
      </c>
      <c r="B8" s="7" t="inlineStr">
        <is>
          <t>volcano</t>
        </is>
      </c>
      <c r="C8" s="7" t="inlineStr">
        <is>
          <t>화염의 군주</t>
        </is>
      </c>
      <c r="D8" s="7" t="inlineStr">
        <is>
          <t>12,000</t>
        </is>
      </c>
      <c r="E8" s="7" t="inlineStr">
        <is>
          <t>100</t>
        </is>
      </c>
      <c r="F8" s="7" t="inlineStr">
        <is>
          <t>40</t>
        </is>
      </c>
      <c r="G8" s="7" t="inlineStr">
        <is>
          <t>2,000G</t>
        </is>
      </c>
      <c r="H8" s="7" t="inlineStr">
        <is>
          <t>3,000 EXP</t>
        </is>
      </c>
    </row>
    <row r="9">
      <c r="A9" s="8" t="inlineStr">
        <is>
          <t>미니보스</t>
        </is>
      </c>
      <c r="B9" s="8" t="inlineStr">
        <is>
          <t>darkforest</t>
        </is>
      </c>
      <c r="C9" s="8" t="inlineStr">
        <is>
          <t>그림자의 왕</t>
        </is>
      </c>
      <c r="D9" s="8" t="inlineStr">
        <is>
          <t>15,000</t>
        </is>
      </c>
      <c r="E9" s="8" t="inlineStr">
        <is>
          <t>120</t>
        </is>
      </c>
      <c r="F9" s="8" t="inlineStr">
        <is>
          <t>45</t>
        </is>
      </c>
      <c r="G9" s="8" t="inlineStr">
        <is>
          <t>2,500G</t>
        </is>
      </c>
      <c r="H9" s="8" t="inlineStr">
        <is>
          <t>4,000 EXP</t>
        </is>
      </c>
    </row>
    <row r="10">
      <c r="A10" s="7" t="inlineStr">
        <is>
          <t>미니보스</t>
        </is>
      </c>
      <c r="B10" s="7" t="inlineStr">
        <is>
          <t>dragon</t>
        </is>
      </c>
      <c r="C10" s="7" t="inlineStr">
        <is>
          <t>고룡</t>
        </is>
      </c>
      <c r="D10" s="7" t="inlineStr">
        <is>
          <t>25,000</t>
        </is>
      </c>
      <c r="E10" s="7" t="inlineStr">
        <is>
          <t>150</t>
        </is>
      </c>
      <c r="F10" s="7" t="inlineStr">
        <is>
          <t>60</t>
        </is>
      </c>
      <c r="G10" s="7" t="inlineStr">
        <is>
          <t>5,000G</t>
        </is>
      </c>
      <c r="H10" s="7" t="inlineStr">
        <is>
          <t>8,000 EXP</t>
        </is>
      </c>
    </row>
    <row r="11">
      <c r="A11" s="8" t="inlineStr">
        <is>
          <t>미니보스</t>
        </is>
      </c>
      <c r="B11" s="8" t="inlineStr">
        <is>
          <t>abyss</t>
        </is>
      </c>
      <c r="C11" s="8" t="inlineStr">
        <is>
          <t>심연의 눈</t>
        </is>
      </c>
      <c r="D11" s="8" t="inlineStr">
        <is>
          <t>30,000</t>
        </is>
      </c>
      <c r="E11" s="8" t="inlineStr">
        <is>
          <t>180</t>
        </is>
      </c>
      <c r="F11" s="8" t="inlineStr">
        <is>
          <t>70</t>
        </is>
      </c>
      <c r="G11" s="8" t="inlineStr">
        <is>
          <t>8,000G</t>
        </is>
      </c>
      <c r="H11" s="8" t="inlineStr">
        <is>
          <t>12,000 EXP</t>
        </is>
      </c>
    </row>
    <row r="12">
      <c r="A12" s="7" t="inlineStr">
        <is>
          <t>미니보스</t>
        </is>
      </c>
      <c r="B12" s="7" t="inlineStr">
        <is>
          <t>celestial</t>
        </is>
      </c>
      <c r="C12" s="7" t="inlineStr">
        <is>
          <t>천상의 수호자</t>
        </is>
      </c>
      <c r="D12" s="7" t="inlineStr">
        <is>
          <t>40,000</t>
        </is>
      </c>
      <c r="E12" s="7" t="inlineStr">
        <is>
          <t>200</t>
        </is>
      </c>
      <c r="F12" s="7" t="inlineStr">
        <is>
          <t>80</t>
        </is>
      </c>
      <c r="G12" s="7" t="inlineStr">
        <is>
          <t>10,000G</t>
        </is>
      </c>
      <c r="H12" s="7" t="inlineStr">
        <is>
          <t>15,000 EXP</t>
        </is>
      </c>
    </row>
    <row r="13">
      <c r="A13" s="8" t="inlineStr">
        <is>
          <t>위험</t>
        </is>
      </c>
      <c r="B13" s="8" t="inlineStr">
        <is>
          <t>swamp</t>
        </is>
      </c>
      <c r="C13" s="8" t="inlineStr">
        <is>
          <t>독안개</t>
        </is>
      </c>
      <c r="D13" s="8" t="inlineStr">
        <is>
          <t>DPS 3</t>
        </is>
      </c>
      <c r="E13" s="8" t="inlineStr">
        <is>
          <t>3초</t>
        </is>
      </c>
      <c r="F13" s="8" t="inlineStr">
        <is>
          <t>독 데미지</t>
        </is>
      </c>
      <c r="G13" s="8" t="inlineStr">
        <is>
          <t>-</t>
        </is>
      </c>
      <c r="H13" s="8" t="inlineStr">
        <is>
          <t>-</t>
        </is>
      </c>
    </row>
    <row r="14">
      <c r="A14" s="7" t="inlineStr">
        <is>
          <t>위험</t>
        </is>
      </c>
      <c r="B14" s="7" t="inlineStr">
        <is>
          <t>volcano</t>
        </is>
      </c>
      <c r="C14" s="7" t="inlineStr">
        <is>
          <t>화산</t>
        </is>
      </c>
      <c r="D14" s="7" t="inlineStr">
        <is>
          <t>DPS 8</t>
        </is>
      </c>
      <c r="E14" s="7" t="inlineStr">
        <is>
          <t>2초</t>
        </is>
      </c>
      <c r="F14" s="7" t="inlineStr">
        <is>
          <t>화상 데미지</t>
        </is>
      </c>
      <c r="G14" s="7" t="inlineStr">
        <is>
          <t>-</t>
        </is>
      </c>
      <c r="H14" s="7" t="inlineStr">
        <is>
          <t>-</t>
        </is>
      </c>
    </row>
    <row r="15">
      <c r="A15" s="8" t="inlineStr">
        <is>
          <t>위험</t>
        </is>
      </c>
      <c r="B15" s="8" t="inlineStr">
        <is>
          <t>glacier</t>
        </is>
      </c>
      <c r="C15" s="8" t="inlineStr">
        <is>
          <t>빙하</t>
        </is>
      </c>
      <c r="D15" s="8" t="inlineStr">
        <is>
          <t>DPS 4</t>
        </is>
      </c>
      <c r="E15" s="8" t="inlineStr">
        <is>
          <t>3초</t>
        </is>
      </c>
      <c r="F15" s="8" t="inlineStr">
        <is>
          <t>속도 -30%</t>
        </is>
      </c>
      <c r="G15" s="8" t="inlineStr">
        <is>
          <t>-</t>
        </is>
      </c>
      <c r="H15" s="8" t="inlineStr">
        <is>
          <t>slow 0.3</t>
        </is>
      </c>
    </row>
    <row r="16">
      <c r="A16" s="7" t="inlineStr">
        <is>
          <t>위험</t>
        </is>
      </c>
      <c r="B16" s="7" t="inlineStr">
        <is>
          <t>void_rift</t>
        </is>
      </c>
      <c r="C16" s="7" t="inlineStr">
        <is>
          <t>공허</t>
        </is>
      </c>
      <c r="D16" s="7" t="inlineStr">
        <is>
          <t>DPS 15</t>
        </is>
      </c>
      <c r="E16" s="7" t="inlineStr">
        <is>
          <t>1.5초</t>
        </is>
      </c>
      <c r="F16" s="7" t="inlineStr">
        <is>
          <t>마나 흡수 20</t>
        </is>
      </c>
      <c r="G16" s="7" t="inlineStr">
        <is>
          <t>-</t>
        </is>
      </c>
      <c r="H16" s="7" t="inlineStr">
        <is>
          <t>manaDrain</t>
        </is>
      </c>
    </row>
    <row r="17">
      <c r="A17" s="8" t="inlineStr">
        <is>
          <t>위험</t>
        </is>
      </c>
      <c r="B17" s="8" t="inlineStr">
        <is>
          <t>abyss</t>
        </is>
      </c>
      <c r="C17" s="8" t="inlineStr">
        <is>
          <t>심연</t>
        </is>
      </c>
      <c r="D17" s="8" t="inlineStr">
        <is>
          <t>DPS 10</t>
        </is>
      </c>
      <c r="E17" s="8" t="inlineStr">
        <is>
          <t>2초</t>
        </is>
      </c>
      <c r="F17" s="8" t="inlineStr">
        <is>
          <t>마나 흡수 10</t>
        </is>
      </c>
      <c r="G17" s="8" t="inlineStr">
        <is>
          <t>-</t>
        </is>
      </c>
      <c r="H17" s="8" t="inlineStr">
        <is>
          <t>manaDrain</t>
        </is>
      </c>
    </row>
    <row r="18">
      <c r="A18" s="7" t="inlineStr">
        <is>
          <t>위험</t>
        </is>
      </c>
      <c r="B18" s="7" t="inlineStr">
        <is>
          <t>hell</t>
        </is>
      </c>
      <c r="C18" s="7" t="inlineStr">
        <is>
          <t>지옥문</t>
        </is>
      </c>
      <c r="D18" s="7" t="inlineStr">
        <is>
          <t>DPS 10</t>
        </is>
      </c>
      <c r="E18" s="7" t="inlineStr">
        <is>
          <t>2초</t>
        </is>
      </c>
      <c r="F18" s="7" t="inlineStr">
        <is>
          <t>화상 데미지</t>
        </is>
      </c>
      <c r="G18" s="7" t="inlineStr">
        <is>
          <t>-</t>
        </is>
      </c>
      <c r="H18" s="7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4" customWidth="1" min="3" max="3"/>
    <col width="12" customWidth="1" min="4" max="4"/>
    <col width="8" customWidth="1" min="5" max="5"/>
    <col width="14" customWidth="1" min="6" max="6"/>
  </cols>
  <sheetData>
    <row r="1">
      <c r="A1" s="5" t="inlineStr">
        <is>
          <t>프레스티지(환생) 특성 (10단계)</t>
        </is>
      </c>
    </row>
    <row r="3">
      <c r="A3" s="6" t="inlineStr">
        <is>
          <t>환생</t>
        </is>
      </c>
      <c r="B3" s="6" t="inlineStr">
        <is>
          <t>특성명</t>
        </is>
      </c>
      <c r="C3" s="6" t="inlineStr">
        <is>
          <t>설명</t>
        </is>
      </c>
      <c r="D3" s="6" t="inlineStr">
        <is>
          <t>스탯 타입</t>
        </is>
      </c>
      <c r="E3" s="6" t="inlineStr">
        <is>
          <t>값</t>
        </is>
      </c>
      <c r="F3" s="6" t="inlineStr">
        <is>
          <t>조건</t>
        </is>
      </c>
    </row>
    <row r="4">
      <c r="A4" s="7" t="inlineStr">
        <is>
          <t>1차</t>
        </is>
      </c>
      <c r="B4" s="7" t="inlineStr">
        <is>
          <t>골드 마스터</t>
        </is>
      </c>
      <c r="C4" s="7" t="inlineStr">
        <is>
          <t>기본 골드 +10%</t>
        </is>
      </c>
      <c r="D4" s="7" t="inlineStr">
        <is>
          <t>goldBonus</t>
        </is>
      </c>
      <c r="E4" s="7" t="inlineStr">
        <is>
          <t>0.10</t>
        </is>
      </c>
      <c r="F4" s="7" t="inlineStr">
        <is>
          <t>Lv.50 필요</t>
        </is>
      </c>
    </row>
    <row r="5">
      <c r="A5" s="8" t="inlineStr">
        <is>
          <t>2차</t>
        </is>
      </c>
      <c r="B5" s="8" t="inlineStr">
        <is>
          <t>전투 본능</t>
        </is>
      </c>
      <c r="C5" s="8" t="inlineStr">
        <is>
          <t>기본 ATK +5</t>
        </is>
      </c>
      <c r="D5" s="8" t="inlineStr">
        <is>
          <t>atk</t>
        </is>
      </c>
      <c r="E5" s="8" t="inlineStr">
        <is>
          <t>5</t>
        </is>
      </c>
      <c r="F5" s="8" t="inlineStr"/>
    </row>
    <row r="6">
      <c r="A6" s="7" t="inlineStr">
        <is>
          <t>3차</t>
        </is>
      </c>
      <c r="B6" s="7" t="inlineStr">
        <is>
          <t>강철 체력</t>
        </is>
      </c>
      <c r="C6" s="7" t="inlineStr">
        <is>
          <t>기본 HP +50</t>
        </is>
      </c>
      <c r="D6" s="7" t="inlineStr">
        <is>
          <t>hp</t>
        </is>
      </c>
      <c r="E6" s="7" t="inlineStr">
        <is>
          <t>50</t>
        </is>
      </c>
      <c r="F6" s="7" t="inlineStr"/>
    </row>
    <row r="7">
      <c r="A7" s="8" t="inlineStr">
        <is>
          <t>4차</t>
        </is>
      </c>
      <c r="B7" s="8" t="inlineStr">
        <is>
          <t>행운의 별</t>
        </is>
      </c>
      <c r="C7" s="8" t="inlineStr">
        <is>
          <t>크리티컬 +3%</t>
        </is>
      </c>
      <c r="D7" s="8" t="inlineStr">
        <is>
          <t>crit</t>
        </is>
      </c>
      <c r="E7" s="8" t="inlineStr">
        <is>
          <t>0.03</t>
        </is>
      </c>
      <c r="F7" s="8" t="inlineStr"/>
    </row>
    <row r="8">
      <c r="A8" s="7" t="inlineStr">
        <is>
          <t>5차</t>
        </is>
      </c>
      <c r="B8" s="7" t="inlineStr">
        <is>
          <t>빠른 발</t>
        </is>
      </c>
      <c r="C8" s="7" t="inlineStr">
        <is>
          <t>이동속도 +2</t>
        </is>
      </c>
      <c r="D8" s="7" t="inlineStr">
        <is>
          <t>spd</t>
        </is>
      </c>
      <c r="E8" s="7" t="inlineStr">
        <is>
          <t>2</t>
        </is>
      </c>
      <c r="F8" s="7" t="inlineStr"/>
    </row>
    <row r="9">
      <c r="A9" s="8" t="inlineStr">
        <is>
          <t>6차</t>
        </is>
      </c>
      <c r="B9" s="8" t="inlineStr">
        <is>
          <t>현자의 지혜</t>
        </is>
      </c>
      <c r="C9" s="8" t="inlineStr">
        <is>
          <t>EXP +15%</t>
        </is>
      </c>
      <c r="D9" s="8" t="inlineStr">
        <is>
          <t>expBonus</t>
        </is>
      </c>
      <c r="E9" s="8" t="inlineStr">
        <is>
          <t>0.15</t>
        </is>
      </c>
      <c r="F9" s="8" t="inlineStr"/>
    </row>
    <row r="10">
      <c r="A10" s="7" t="inlineStr">
        <is>
          <t>7차</t>
        </is>
      </c>
      <c r="B10" s="7" t="inlineStr">
        <is>
          <t>수호의 기운</t>
        </is>
      </c>
      <c r="C10" s="7" t="inlineStr">
        <is>
          <t>DEF +5</t>
        </is>
      </c>
      <c r="D10" s="7" t="inlineStr">
        <is>
          <t>def</t>
        </is>
      </c>
      <c r="E10" s="7" t="inlineStr">
        <is>
          <t>5</t>
        </is>
      </c>
      <c r="F10" s="7" t="inlineStr"/>
    </row>
    <row r="11">
      <c r="A11" s="8" t="inlineStr">
        <is>
          <t>8차</t>
        </is>
      </c>
      <c r="B11" s="8" t="inlineStr">
        <is>
          <t>도적의 손길</t>
        </is>
      </c>
      <c r="C11" s="8" t="inlineStr">
        <is>
          <t>드롭률 +10%</t>
        </is>
      </c>
      <c r="D11" s="8" t="inlineStr">
        <is>
          <t>dropRate</t>
        </is>
      </c>
      <c r="E11" s="8" t="inlineStr">
        <is>
          <t>0.10</t>
        </is>
      </c>
      <c r="F11" s="8" t="inlineStr"/>
    </row>
    <row r="12">
      <c r="A12" s="7" t="inlineStr">
        <is>
          <t>9차</t>
        </is>
      </c>
      <c r="B12" s="7" t="inlineStr">
        <is>
          <t>용사의 혼</t>
        </is>
      </c>
      <c r="C12" s="7" t="inlineStr">
        <is>
          <t>전체 스탯 +3%</t>
        </is>
      </c>
      <c r="D12" s="7" t="inlineStr">
        <is>
          <t>allMulti</t>
        </is>
      </c>
      <c r="E12" s="7" t="inlineStr">
        <is>
          <t>0.03</t>
        </is>
      </c>
      <c r="F12" s="7" t="inlineStr"/>
    </row>
    <row r="13">
      <c r="A13" s="8" t="inlineStr">
        <is>
          <t>10차</t>
        </is>
      </c>
      <c r="B13" s="8" t="inlineStr">
        <is>
          <t>불멸의 의지</t>
        </is>
      </c>
      <c r="C13" s="8" t="inlineStr">
        <is>
          <t>사망 시 HP 10% 부활 (10분 CD)</t>
        </is>
      </c>
      <c r="D13" s="8" t="inlineStr">
        <is>
          <t>autoRevive</t>
        </is>
      </c>
      <c r="E13" s="8" t="inlineStr">
        <is>
          <t>0.1</t>
        </is>
      </c>
      <c r="F13" s="8" t="inlineStr">
        <is>
          <t>최대 환생</t>
        </is>
      </c>
    </row>
  </sheetData>
  <mergeCells count="1">
    <mergeCell ref="A1:F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0" customWidth="1" min="7" max="7"/>
  </cols>
  <sheetData>
    <row r="1">
      <c r="A1" s="5" t="inlineStr">
        <is>
          <t>낚시 시스템 상세</t>
        </is>
      </c>
    </row>
    <row r="3">
      <c r="A3" s="6" t="inlineStr">
        <is>
          <t>분류</t>
        </is>
      </c>
      <c r="B3" s="6" t="inlineStr">
        <is>
          <t>이름</t>
        </is>
      </c>
      <c r="C3" s="6" t="inlineStr">
        <is>
          <t>등급/티어</t>
        </is>
      </c>
      <c r="D3" s="6" t="inlineStr">
        <is>
          <t>가격/판매가</t>
        </is>
      </c>
      <c r="E3" s="6" t="inlineStr">
        <is>
          <t>가중치/배율</t>
        </is>
      </c>
      <c r="F3" s="6" t="inlineStr">
        <is>
          <t>EXP/희귀보너스</t>
        </is>
      </c>
      <c r="G3" s="6" t="inlineStr">
        <is>
          <t>요구 레벨</t>
        </is>
      </c>
    </row>
    <row r="4">
      <c r="A4" s="7" t="inlineStr">
        <is>
          <t>물고기</t>
        </is>
      </c>
      <c r="B4" s="7" t="inlineStr">
        <is>
          <t>송사리</t>
        </is>
      </c>
      <c r="C4" s="7" t="inlineStr">
        <is>
          <t>common</t>
        </is>
      </c>
      <c r="D4" s="7" t="inlineStr">
        <is>
          <t>10G</t>
        </is>
      </c>
      <c r="E4" s="7" t="inlineStr">
        <is>
          <t>50</t>
        </is>
      </c>
      <c r="F4" s="7" t="inlineStr">
        <is>
          <t>5 EXP</t>
        </is>
      </c>
      <c r="G4" s="7" t="inlineStr">
        <is>
          <t>Lv.1</t>
        </is>
      </c>
    </row>
    <row r="5">
      <c r="A5" s="8" t="inlineStr">
        <is>
          <t>물고기</t>
        </is>
      </c>
      <c r="B5" s="8" t="inlineStr">
        <is>
          <t>잉어</t>
        </is>
      </c>
      <c r="C5" s="8" t="inlineStr">
        <is>
          <t>common</t>
        </is>
      </c>
      <c r="D5" s="8" t="inlineStr">
        <is>
          <t>25G</t>
        </is>
      </c>
      <c r="E5" s="8" t="inlineStr">
        <is>
          <t>40</t>
        </is>
      </c>
      <c r="F5" s="8" t="inlineStr">
        <is>
          <t>8 EXP</t>
        </is>
      </c>
      <c r="G5" s="8" t="inlineStr">
        <is>
          <t>Lv.1</t>
        </is>
      </c>
    </row>
    <row r="6">
      <c r="A6" s="7" t="inlineStr">
        <is>
          <t>물고기</t>
        </is>
      </c>
      <c r="B6" s="7" t="inlineStr">
        <is>
          <t>송어</t>
        </is>
      </c>
      <c r="C6" s="7" t="inlineStr">
        <is>
          <t>common</t>
        </is>
      </c>
      <c r="D6" s="7" t="inlineStr">
        <is>
          <t>35G</t>
        </is>
      </c>
      <c r="E6" s="7" t="inlineStr">
        <is>
          <t>35</t>
        </is>
      </c>
      <c r="F6" s="7" t="inlineStr">
        <is>
          <t>10 EXP</t>
        </is>
      </c>
      <c r="G6" s="7" t="inlineStr">
        <is>
          <t>Lv.1</t>
        </is>
      </c>
    </row>
    <row r="7">
      <c r="A7" s="8" t="inlineStr">
        <is>
          <t>물고기</t>
        </is>
      </c>
      <c r="B7" s="8" t="inlineStr">
        <is>
          <t>장어</t>
        </is>
      </c>
      <c r="C7" s="8" t="inlineStr">
        <is>
          <t>uncommon</t>
        </is>
      </c>
      <c r="D7" s="8" t="inlineStr">
        <is>
          <t>80G</t>
        </is>
      </c>
      <c r="E7" s="8" t="inlineStr">
        <is>
          <t>25</t>
        </is>
      </c>
      <c r="F7" s="8" t="inlineStr">
        <is>
          <t>18 EXP</t>
        </is>
      </c>
      <c r="G7" s="8" t="inlineStr">
        <is>
          <t>Lv.3</t>
        </is>
      </c>
    </row>
    <row r="8">
      <c r="A8" s="7" t="inlineStr">
        <is>
          <t>물고기</t>
        </is>
      </c>
      <c r="B8" s="7" t="inlineStr">
        <is>
          <t>연어</t>
        </is>
      </c>
      <c r="C8" s="7" t="inlineStr">
        <is>
          <t>uncommon</t>
        </is>
      </c>
      <c r="D8" s="7" t="inlineStr">
        <is>
          <t>120G</t>
        </is>
      </c>
      <c r="E8" s="7" t="inlineStr">
        <is>
          <t>20</t>
        </is>
      </c>
      <c r="F8" s="7" t="inlineStr">
        <is>
          <t>25 EXP</t>
        </is>
      </c>
      <c r="G8" s="7" t="inlineStr">
        <is>
          <t>Lv.5</t>
        </is>
      </c>
    </row>
    <row r="9">
      <c r="A9" s="8" t="inlineStr">
        <is>
          <t>물고기</t>
        </is>
      </c>
      <c r="B9" s="8" t="inlineStr">
        <is>
          <t>창꼬치</t>
        </is>
      </c>
      <c r="C9" s="8" t="inlineStr">
        <is>
          <t>rare</t>
        </is>
      </c>
      <c r="D9" s="8" t="inlineStr">
        <is>
          <t>250G</t>
        </is>
      </c>
      <c r="E9" s="8" t="inlineStr">
        <is>
          <t>12</t>
        </is>
      </c>
      <c r="F9" s="8" t="inlineStr">
        <is>
          <t>45 EXP</t>
        </is>
      </c>
      <c r="G9" s="8" t="inlineStr">
        <is>
          <t>Lv.8</t>
        </is>
      </c>
    </row>
    <row r="10">
      <c r="A10" s="7" t="inlineStr">
        <is>
          <t>물고기</t>
        </is>
      </c>
      <c r="B10" s="7" t="inlineStr">
        <is>
          <t>철갑상어</t>
        </is>
      </c>
      <c r="C10" s="7" t="inlineStr">
        <is>
          <t>rare</t>
        </is>
      </c>
      <c r="D10" s="7" t="inlineStr">
        <is>
          <t>400G</t>
        </is>
      </c>
      <c r="E10" s="7" t="inlineStr">
        <is>
          <t>8</t>
        </is>
      </c>
      <c r="F10" s="7" t="inlineStr">
        <is>
          <t>70 EXP</t>
        </is>
      </c>
      <c r="G10" s="7" t="inlineStr">
        <is>
          <t>Lv.12</t>
        </is>
      </c>
    </row>
    <row r="11">
      <c r="A11" s="8" t="inlineStr">
        <is>
          <t>물고기</t>
        </is>
      </c>
      <c r="B11" s="8" t="inlineStr">
        <is>
          <t>황새치</t>
        </is>
      </c>
      <c r="C11" s="8" t="inlineStr">
        <is>
          <t>epic</t>
        </is>
      </c>
      <c r="D11" s="8" t="inlineStr">
        <is>
          <t>800G</t>
        </is>
      </c>
      <c r="E11" s="8" t="inlineStr">
        <is>
          <t>5</t>
        </is>
      </c>
      <c r="F11" s="8" t="inlineStr">
        <is>
          <t>120 EXP</t>
        </is>
      </c>
      <c r="G11" s="8" t="inlineStr">
        <is>
          <t>Lv.15</t>
        </is>
      </c>
    </row>
    <row r="12">
      <c r="A12" s="7" t="inlineStr">
        <is>
          <t>물고기</t>
        </is>
      </c>
      <c r="B12" s="7" t="inlineStr">
        <is>
          <t>청새치</t>
        </is>
      </c>
      <c r="C12" s="7" t="inlineStr">
        <is>
          <t>epic</t>
        </is>
      </c>
      <c r="D12" s="7" t="inlineStr">
        <is>
          <t>1,200G</t>
        </is>
      </c>
      <c r="E12" s="7" t="inlineStr">
        <is>
          <t>3</t>
        </is>
      </c>
      <c r="F12" s="7" t="inlineStr">
        <is>
          <t>180 EXP</t>
        </is>
      </c>
      <c r="G12" s="7" t="inlineStr">
        <is>
          <t>Lv.20</t>
        </is>
      </c>
    </row>
    <row r="13">
      <c r="A13" s="8" t="inlineStr">
        <is>
          <t>물고기</t>
        </is>
      </c>
      <c r="B13" s="8" t="inlineStr">
        <is>
          <t>전설의 비단잉어</t>
        </is>
      </c>
      <c r="C13" s="8" t="inlineStr">
        <is>
          <t>legendary</t>
        </is>
      </c>
      <c r="D13" s="8" t="inlineStr">
        <is>
          <t>5,000G</t>
        </is>
      </c>
      <c r="E13" s="8" t="inlineStr">
        <is>
          <t>1</t>
        </is>
      </c>
      <c r="F13" s="8" t="inlineStr">
        <is>
          <t>500 EXP</t>
        </is>
      </c>
      <c r="G13" s="8" t="inlineStr">
        <is>
          <t>Lv.25</t>
        </is>
      </c>
    </row>
    <row r="14">
      <c r="A14" s="7" t="inlineStr">
        <is>
          <t>물고기</t>
        </is>
      </c>
      <c r="B14" s="7" t="inlineStr">
        <is>
          <t>신화의 크라켄</t>
        </is>
      </c>
      <c r="C14" s="7" t="inlineStr">
        <is>
          <t>mythic</t>
        </is>
      </c>
      <c r="D14" s="7" t="inlineStr">
        <is>
          <t>20,000G</t>
        </is>
      </c>
      <c r="E14" s="7" t="inlineStr">
        <is>
          <t>0.2</t>
        </is>
      </c>
      <c r="F14" s="7" t="inlineStr">
        <is>
          <t>2,000 EXP</t>
        </is>
      </c>
      <c r="G14" s="7" t="inlineStr">
        <is>
          <t>Lv.30</t>
        </is>
      </c>
    </row>
    <row r="15">
      <c r="A15" s="8" t="inlineStr">
        <is>
          <t>낚싯대</t>
        </is>
      </c>
      <c r="B15" s="8" t="inlineStr">
        <is>
          <t>나무 낚싯대</t>
        </is>
      </c>
      <c r="C15" s="8" t="inlineStr">
        <is>
          <t>Tier 1</t>
        </is>
      </c>
      <c r="D15" s="8" t="inlineStr">
        <is>
          <t>200G</t>
        </is>
      </c>
      <c r="E15" s="8" t="inlineStr">
        <is>
          <t>1.0x</t>
        </is>
      </c>
      <c r="F15" s="8" t="inlineStr">
        <is>
          <t>희귀 +0%</t>
        </is>
      </c>
      <c r="G15" s="8" t="inlineStr">
        <is>
          <t>-</t>
        </is>
      </c>
    </row>
    <row r="16">
      <c r="A16" s="7" t="inlineStr">
        <is>
          <t>낚싯대</t>
        </is>
      </c>
      <c r="B16" s="7" t="inlineStr">
        <is>
          <t>철제 낚싯대</t>
        </is>
      </c>
      <c r="C16" s="7" t="inlineStr">
        <is>
          <t>Tier 2</t>
        </is>
      </c>
      <c r="D16" s="7" t="inlineStr">
        <is>
          <t>1,500G</t>
        </is>
      </c>
      <c r="E16" s="7" t="inlineStr">
        <is>
          <t>1.2x</t>
        </is>
      </c>
      <c r="F16" s="7" t="inlineStr">
        <is>
          <t>희귀 +5%</t>
        </is>
      </c>
      <c r="G16" s="7" t="inlineStr">
        <is>
          <t>-</t>
        </is>
      </c>
    </row>
    <row r="17">
      <c r="A17" s="8" t="inlineStr">
        <is>
          <t>낚싯대</t>
        </is>
      </c>
      <c r="B17" s="8" t="inlineStr">
        <is>
          <t>은제 낚싯대</t>
        </is>
      </c>
      <c r="C17" s="8" t="inlineStr">
        <is>
          <t>Tier 3</t>
        </is>
      </c>
      <c r="D17" s="8" t="inlineStr">
        <is>
          <t>8,000G</t>
        </is>
      </c>
      <c r="E17" s="8" t="inlineStr">
        <is>
          <t>1.5x</t>
        </is>
      </c>
      <c r="F17" s="8" t="inlineStr">
        <is>
          <t>희귀 +12%</t>
        </is>
      </c>
      <c r="G17" s="8" t="inlineStr">
        <is>
          <t>-</t>
        </is>
      </c>
    </row>
    <row r="18">
      <c r="A18" s="7" t="inlineStr">
        <is>
          <t>낚싯대</t>
        </is>
      </c>
      <c r="B18" s="7" t="inlineStr">
        <is>
          <t>미스릴 낚싯대</t>
        </is>
      </c>
      <c r="C18" s="7" t="inlineStr">
        <is>
          <t>Tier 4</t>
        </is>
      </c>
      <c r="D18" s="7" t="inlineStr">
        <is>
          <t>200D</t>
        </is>
      </c>
      <c r="E18" s="7" t="inlineStr">
        <is>
          <t>2.0x</t>
        </is>
      </c>
      <c r="F18" s="7" t="inlineStr">
        <is>
          <t>희귀 +20%</t>
        </is>
      </c>
      <c r="G18" s="7" t="inlineStr">
        <is>
          <t>-</t>
        </is>
      </c>
    </row>
    <row r="19">
      <c r="A19" s="8" t="inlineStr">
        <is>
          <t>낚싯대</t>
        </is>
      </c>
      <c r="B19" s="8" t="inlineStr">
        <is>
          <t>드래곤 낚싯대</t>
        </is>
      </c>
      <c r="C19" s="8" t="inlineStr">
        <is>
          <t>Tier 5</t>
        </is>
      </c>
      <c r="D19" s="8" t="inlineStr">
        <is>
          <t>800D</t>
        </is>
      </c>
      <c r="E19" s="8" t="inlineStr">
        <is>
          <t>3.0x</t>
        </is>
      </c>
      <c r="F19" s="8" t="inlineStr">
        <is>
          <t>희귀 +35%</t>
        </is>
      </c>
      <c r="G19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  <col width="18" customWidth="1" min="11" max="11"/>
  </cols>
  <sheetData>
    <row r="1">
      <c r="A1" s="5" t="inlineStr">
        <is>
          <t>혈맹 레이드 상세</t>
        </is>
      </c>
    </row>
    <row r="3">
      <c r="A3" s="6" t="inlineStr">
        <is>
          <t>레이드명</t>
        </is>
      </c>
      <c r="B3" s="6" t="inlineStr">
        <is>
          <t>ID</t>
        </is>
      </c>
      <c r="C3" s="6" t="inlineStr">
        <is>
          <t>혈맹 레벨</t>
        </is>
      </c>
      <c r="D3" s="6" t="inlineStr">
        <is>
          <t>최소 인원</t>
        </is>
      </c>
      <c r="E3" s="6" t="inlineStr">
        <is>
          <t>웨이브</t>
        </is>
      </c>
      <c r="F3" s="6" t="inlineStr">
        <is>
          <t>보스 HP</t>
        </is>
      </c>
      <c r="G3" s="6" t="inlineStr">
        <is>
          <t>보스 ATK</t>
        </is>
      </c>
      <c r="H3" s="6" t="inlineStr">
        <is>
          <t>골드</t>
        </is>
      </c>
      <c r="I3" s="6" t="inlineStr">
        <is>
          <t>EXP</t>
        </is>
      </c>
      <c r="J3" s="6" t="inlineStr">
        <is>
          <t>다이아</t>
        </is>
      </c>
      <c r="K3" s="6" t="inlineStr">
        <is>
          <t>특수 보상</t>
        </is>
      </c>
    </row>
    <row r="4">
      <c r="A4" s="7" t="inlineStr">
        <is>
          <t>혈맹 동굴</t>
        </is>
      </c>
      <c r="B4" s="7" t="inlineStr">
        <is>
          <t>raid_cave</t>
        </is>
      </c>
      <c r="C4" s="7" t="inlineStr">
        <is>
          <t>Lv.2</t>
        </is>
      </c>
      <c r="D4" s="7" t="inlineStr">
        <is>
          <t>3명</t>
        </is>
      </c>
      <c r="E4" s="7" t="inlineStr">
        <is>
          <t>5</t>
        </is>
      </c>
      <c r="F4" s="7" t="inlineStr">
        <is>
          <t>10,000</t>
        </is>
      </c>
      <c r="G4" s="7" t="inlineStr">
        <is>
          <t>40</t>
        </is>
      </c>
      <c r="H4" s="7" t="inlineStr">
        <is>
          <t>3,000G</t>
        </is>
      </c>
      <c r="I4" s="7" t="inlineStr">
        <is>
          <t>5,000 EXP</t>
        </is>
      </c>
      <c r="J4" s="7" t="inlineStr">
        <is>
          <t>30D</t>
        </is>
      </c>
      <c r="K4" s="7" t="inlineStr">
        <is>
          <t>없음</t>
        </is>
      </c>
    </row>
    <row r="5">
      <c r="A5" s="8" t="inlineStr">
        <is>
          <t>혈맹 드래곤</t>
        </is>
      </c>
      <c r="B5" s="8" t="inlineStr">
        <is>
          <t>raid_dragon</t>
        </is>
      </c>
      <c r="C5" s="8" t="inlineStr">
        <is>
          <t>Lv.3</t>
        </is>
      </c>
      <c r="D5" s="8" t="inlineStr">
        <is>
          <t>4명</t>
        </is>
      </c>
      <c r="E5" s="8" t="inlineStr">
        <is>
          <t>7</t>
        </is>
      </c>
      <c r="F5" s="8" t="inlineStr">
        <is>
          <t>30,000</t>
        </is>
      </c>
      <c r="G5" s="8" t="inlineStr">
        <is>
          <t>80</t>
        </is>
      </c>
      <c r="H5" s="8" t="inlineStr">
        <is>
          <t>8,000G</t>
        </is>
      </c>
      <c r="I5" s="8" t="inlineStr">
        <is>
          <t>15,000 EXP</t>
        </is>
      </c>
      <c r="J5" s="8" t="inlineStr">
        <is>
          <t>80D</t>
        </is>
      </c>
      <c r="K5" s="8" t="inlineStr">
        <is>
          <t>없음</t>
        </is>
      </c>
    </row>
    <row r="6">
      <c r="A6" s="7" t="inlineStr">
        <is>
          <t>혈맹 공허</t>
        </is>
      </c>
      <c r="B6" s="7" t="inlineStr">
        <is>
          <t>raid_void</t>
        </is>
      </c>
      <c r="C6" s="7" t="inlineStr">
        <is>
          <t>Lv.5</t>
        </is>
      </c>
      <c r="D6" s="7" t="inlineStr">
        <is>
          <t>5명</t>
        </is>
      </c>
      <c r="E6" s="7" t="inlineStr">
        <is>
          <t>10</t>
        </is>
      </c>
      <c r="F6" s="7" t="inlineStr">
        <is>
          <t>80,000</t>
        </is>
      </c>
      <c r="G6" s="7" t="inlineStr">
        <is>
          <t>150</t>
        </is>
      </c>
      <c r="H6" s="7" t="inlineStr">
        <is>
          <t>20,000G</t>
        </is>
      </c>
      <c r="I6" s="7" t="inlineStr">
        <is>
          <t>40,000 EXP</t>
        </is>
      </c>
      <c r="J6" s="7" t="inlineStr">
        <is>
          <t>200D</t>
        </is>
      </c>
      <c r="K6" s="7" t="inlineStr">
        <is>
          <t>없음</t>
        </is>
      </c>
    </row>
    <row r="7">
      <c r="A7" s="8" t="inlineStr">
        <is>
          <t>혈맹 거인</t>
        </is>
      </c>
      <c r="B7" s="8" t="inlineStr">
        <is>
          <t>raid_titan</t>
        </is>
      </c>
      <c r="C7" s="8" t="inlineStr">
        <is>
          <t>Lv.4</t>
        </is>
      </c>
      <c r="D7" s="8" t="inlineStr">
        <is>
          <t>6명</t>
        </is>
      </c>
      <c r="E7" s="8" t="inlineStr">
        <is>
          <t>8</t>
        </is>
      </c>
      <c r="F7" s="8" t="inlineStr">
        <is>
          <t>60,000</t>
        </is>
      </c>
      <c r="G7" s="8" t="inlineStr">
        <is>
          <t>120</t>
        </is>
      </c>
      <c r="H7" s="8" t="inlineStr">
        <is>
          <t>15,000G</t>
        </is>
      </c>
      <c r="I7" s="8" t="inlineStr">
        <is>
          <t>30,000 EXP</t>
        </is>
      </c>
      <c r="J7" s="8" t="inlineStr">
        <is>
          <t>150D</t>
        </is>
      </c>
      <c r="K7" s="8" t="inlineStr">
        <is>
          <t>mat_dragon x5</t>
        </is>
      </c>
    </row>
    <row r="8">
      <c r="A8" s="7" t="inlineStr">
        <is>
          <t>혈맹 천상</t>
        </is>
      </c>
      <c r="B8" s="7" t="inlineStr">
        <is>
          <t>raid_celestial</t>
        </is>
      </c>
      <c r="C8" s="7" t="inlineStr">
        <is>
          <t>Lv.5</t>
        </is>
      </c>
      <c r="D8" s="7" t="inlineStr">
        <is>
          <t>8명</t>
        </is>
      </c>
      <c r="E8" s="7" t="inlineStr">
        <is>
          <t>12</t>
        </is>
      </c>
      <c r="F8" s="7" t="inlineStr">
        <is>
          <t>120,000</t>
        </is>
      </c>
      <c r="G8" s="7" t="inlineStr">
        <is>
          <t>200</t>
        </is>
      </c>
      <c r="H8" s="7" t="inlineStr">
        <is>
          <t>30,000G</t>
        </is>
      </c>
      <c r="I8" s="7" t="inlineStr">
        <is>
          <t>60,000 EXP</t>
        </is>
      </c>
      <c r="J8" s="7" t="inlineStr">
        <is>
          <t>300D</t>
        </is>
      </c>
      <c r="K8" s="7" t="inlineStr">
        <is>
          <t>equip_mythic_armor</t>
        </is>
      </c>
    </row>
  </sheetData>
  <mergeCells count="1">
    <mergeCell ref="A1:K1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5" t="inlineStr">
        <is>
          <t>무한의 탑 상세 (100층)</t>
        </is>
      </c>
    </row>
    <row r="3">
      <c r="A3" s="6" t="inlineStr">
        <is>
          <t>층 범위</t>
        </is>
      </c>
      <c r="B3" s="6" t="inlineStr">
        <is>
          <t>등급</t>
        </is>
      </c>
      <c r="C3" s="6" t="inlineStr">
        <is>
          <t>몬스터 수</t>
        </is>
      </c>
      <c r="D3" s="6" t="inlineStr">
        <is>
          <t>HP 공식</t>
        </is>
      </c>
      <c r="E3" s="6" t="inlineStr">
        <is>
          <t>ATK 공식</t>
        </is>
      </c>
      <c r="F3" s="6" t="inlineStr">
        <is>
          <t>DEF 공식</t>
        </is>
      </c>
      <c r="G3" s="6" t="inlineStr">
        <is>
          <t>골드 공식</t>
        </is>
      </c>
      <c r="H3" s="6" t="inlineStr">
        <is>
          <t>EXP 공식</t>
        </is>
      </c>
      <c r="I3" s="6" t="inlineStr">
        <is>
          <t>특수 보상</t>
        </is>
      </c>
    </row>
    <row r="4">
      <c r="A4" s="7" t="inlineStr">
        <is>
          <t>1~9층</t>
        </is>
      </c>
      <c r="B4" s="7" t="inlineStr">
        <is>
          <t>normal</t>
        </is>
      </c>
      <c r="C4" s="7" t="inlineStr">
        <is>
          <t>3 + 층/5</t>
        </is>
      </c>
      <c r="D4" s="7" t="inlineStr">
        <is>
          <t>80 + 층×40</t>
        </is>
      </c>
      <c r="E4" s="7" t="inlineStr">
        <is>
          <t>8 + 층×3</t>
        </is>
      </c>
      <c r="F4" s="7" t="inlineStr">
        <is>
          <t>3 + 층×1.5</t>
        </is>
      </c>
      <c r="G4" s="7" t="inlineStr">
        <is>
          <t>100 + 층×50</t>
        </is>
      </c>
      <c r="H4" s="7" t="inlineStr">
        <is>
          <t>200 + 층×80</t>
        </is>
      </c>
      <c r="I4" s="7" t="inlineStr">
        <is>
          <t>없음</t>
        </is>
      </c>
    </row>
    <row r="5">
      <c r="A5" s="8" t="inlineStr">
        <is>
          <t>10~29층</t>
        </is>
      </c>
      <c r="B5" s="8" t="inlineStr">
        <is>
          <t>elite</t>
        </is>
      </c>
      <c r="C5" s="8" t="inlineStr">
        <is>
          <t>3 + 층/5</t>
        </is>
      </c>
      <c r="D5" s="8" t="inlineStr">
        <is>
          <t>80 + 층×40</t>
        </is>
      </c>
      <c r="E5" s="8" t="inlineStr">
        <is>
          <t>8 + 층×3</t>
        </is>
      </c>
      <c r="F5" s="8" t="inlineStr">
        <is>
          <t>3 + 층×1.5</t>
        </is>
      </c>
      <c r="G5" s="8" t="inlineStr">
        <is>
          <t>100 + 층×50</t>
        </is>
      </c>
      <c r="H5" s="8" t="inlineStr">
        <is>
          <t>200 + 층×80</t>
        </is>
      </c>
      <c r="I5" s="8" t="inlineStr">
        <is>
          <t>10층마다 장비</t>
        </is>
      </c>
    </row>
    <row r="6">
      <c r="A6" s="7" t="inlineStr">
        <is>
          <t>30~49층</t>
        </is>
      </c>
      <c r="B6" s="7" t="inlineStr">
        <is>
          <t>rare</t>
        </is>
      </c>
      <c r="C6" s="7" t="inlineStr">
        <is>
          <t>3 + 층/5</t>
        </is>
      </c>
      <c r="D6" s="7" t="inlineStr">
        <is>
          <t>80 + 층×40</t>
        </is>
      </c>
      <c r="E6" s="7" t="inlineStr">
        <is>
          <t>8 + 층×3</t>
        </is>
      </c>
      <c r="F6" s="7" t="inlineStr">
        <is>
          <t>3 + 층×1.5</t>
        </is>
      </c>
      <c r="G6" s="7" t="inlineStr">
        <is>
          <t>100 + 층×50</t>
        </is>
      </c>
      <c r="H6" s="7" t="inlineStr">
        <is>
          <t>200 + 층×80</t>
        </is>
      </c>
      <c r="I6" s="7" t="inlineStr">
        <is>
          <t>장비 드롭 확률 증가</t>
        </is>
      </c>
    </row>
    <row r="7">
      <c r="A7" s="8" t="inlineStr">
        <is>
          <t>50~100층</t>
        </is>
      </c>
      <c r="B7" s="8" t="inlineStr">
        <is>
          <t>boss</t>
        </is>
      </c>
      <c r="C7" s="8" t="inlineStr">
        <is>
          <t>3 + 층/5</t>
        </is>
      </c>
      <c r="D7" s="8" t="inlineStr">
        <is>
          <t>80 + 층×40</t>
        </is>
      </c>
      <c r="E7" s="8" t="inlineStr">
        <is>
          <t>8 + 층×3</t>
        </is>
      </c>
      <c r="F7" s="8" t="inlineStr">
        <is>
          <t>3 + 층×1.5</t>
        </is>
      </c>
      <c r="G7" s="8" t="inlineStr">
        <is>
          <t>100 + 층×50</t>
        </is>
      </c>
      <c r="H7" s="8" t="inlineStr">
        <is>
          <t>200 + 층×80</t>
        </is>
      </c>
      <c r="I7" s="8" t="inlineStr">
        <is>
          <t>10층마다 다이아 (층/2)</t>
        </is>
      </c>
    </row>
    <row r="8">
      <c r="A8" s="7" t="inlineStr">
        <is>
          <t>설정</t>
        </is>
      </c>
      <c r="B8" s="7" t="inlineStr">
        <is>
          <t>최대 층</t>
        </is>
      </c>
      <c r="C8" s="7" t="inlineStr">
        <is>
          <t>100</t>
        </is>
      </c>
      <c r="D8" s="7" t="inlineStr">
        <is>
          <t>클리어 시 리셋</t>
        </is>
      </c>
      <c r="E8" s="7" t="inlineStr">
        <is>
          <t>보상 누적</t>
        </is>
      </c>
      <c r="F8" s="7" t="inlineStr">
        <is>
          <t>자동 전투</t>
        </is>
      </c>
      <c r="G8" s="7" t="inlineStr">
        <is>
          <t>도전 비용 없음</t>
        </is>
      </c>
      <c r="H8" s="7" t="inlineStr">
        <is>
          <t>-</t>
        </is>
      </c>
      <c r="I8" s="7" t="inlineStr">
        <is>
          <t>-</t>
        </is>
      </c>
    </row>
  </sheetData>
  <mergeCells count="1">
    <mergeCell ref="A1:I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</cols>
  <sheetData>
    <row r="1">
      <c r="A1" s="5" t="inlineStr">
        <is>
          <t>차원 균열 테마 (4종)</t>
        </is>
      </c>
    </row>
    <row r="3">
      <c r="A3" s="6" t="inlineStr">
        <is>
          <t>테마</t>
        </is>
      </c>
      <c r="B3" s="6" t="inlineStr">
        <is>
          <t>ID</t>
        </is>
      </c>
      <c r="C3" s="6" t="inlineStr">
        <is>
          <t>속성</t>
        </is>
      </c>
      <c r="D3" s="6" t="inlineStr">
        <is>
          <t>ATK 배율</t>
        </is>
      </c>
      <c r="E3" s="6" t="inlineStr">
        <is>
          <t>DEF 배율</t>
        </is>
      </c>
      <c r="F3" s="6" t="inlineStr">
        <is>
          <t>SPD 배율</t>
        </is>
      </c>
      <c r="G3" s="6" t="inlineStr">
        <is>
          <t>Crit 배율</t>
        </is>
      </c>
      <c r="H3" s="6" t="inlineStr">
        <is>
          <t>기타 배율</t>
        </is>
      </c>
      <c r="I3" s="6" t="inlineStr">
        <is>
          <t>색상</t>
        </is>
      </c>
    </row>
    <row r="4">
      <c r="A4" s="7" t="inlineStr">
        <is>
          <t>얼어붙은 심연</t>
        </is>
      </c>
      <c r="B4" s="7" t="inlineStr">
        <is>
          <t>frozen</t>
        </is>
      </c>
      <c r="C4" s="7" t="inlineStr">
        <is>
          <t>water</t>
        </is>
      </c>
      <c r="D4" s="7" t="inlineStr">
        <is>
          <t>ATK 1.0x</t>
        </is>
      </c>
      <c r="E4" s="7" t="inlineStr">
        <is>
          <t>DEF 0.8x</t>
        </is>
      </c>
      <c r="F4" s="7" t="inlineStr">
        <is>
          <t>-</t>
        </is>
      </c>
      <c r="G4" s="7" t="inlineStr">
        <is>
          <t>Crit 1.3x</t>
        </is>
      </c>
      <c r="H4" s="7" t="inlineStr">
        <is>
          <t>-</t>
        </is>
      </c>
      <c r="I4" s="7" t="inlineStr">
        <is>
          <t>#88ccff</t>
        </is>
      </c>
    </row>
    <row r="5">
      <c r="A5" s="8" t="inlineStr">
        <is>
          <t>불타는 사막</t>
        </is>
      </c>
      <c r="B5" s="8" t="inlineStr">
        <is>
          <t>burning</t>
        </is>
      </c>
      <c r="C5" s="8" t="inlineStr">
        <is>
          <t>fire</t>
        </is>
      </c>
      <c r="D5" s="8" t="inlineStr">
        <is>
          <t>ATK 1.2x</t>
        </is>
      </c>
      <c r="E5" s="8" t="inlineStr">
        <is>
          <t>DEF 1.0x</t>
        </is>
      </c>
      <c r="F5" s="8" t="inlineStr">
        <is>
          <t>SPD 0.8x</t>
        </is>
      </c>
      <c r="G5" s="8" t="inlineStr">
        <is>
          <t>-</t>
        </is>
      </c>
      <c r="H5" s="8" t="inlineStr">
        <is>
          <t>-</t>
        </is>
      </c>
      <c r="I5" s="8" t="inlineStr">
        <is>
          <t>#ff6600</t>
        </is>
      </c>
    </row>
    <row r="6">
      <c r="A6" s="7" t="inlineStr">
        <is>
          <t>공허의 폭풍</t>
        </is>
      </c>
      <c r="B6" s="7" t="inlineStr">
        <is>
          <t>void</t>
        </is>
      </c>
      <c r="C6" s="7" t="inlineStr">
        <is>
          <t>wind</t>
        </is>
      </c>
      <c r="D6" s="7" t="inlineStr">
        <is>
          <t>ATK 0.9x</t>
        </is>
      </c>
      <c r="E6" s="7" t="inlineStr">
        <is>
          <t>DEF 0.9x</t>
        </is>
      </c>
      <c r="F6" s="7" t="inlineStr">
        <is>
          <t>-</t>
        </is>
      </c>
      <c r="G6" s="7" t="inlineStr">
        <is>
          <t>-</t>
        </is>
      </c>
      <c r="H6" s="7" t="inlineStr">
        <is>
          <t>EXP 2.0x</t>
        </is>
      </c>
      <c r="I6" s="7" t="inlineStr">
        <is>
          <t>#aa44ff</t>
        </is>
      </c>
    </row>
    <row r="7">
      <c r="A7" s="8" t="inlineStr">
        <is>
          <t>대지의 진동</t>
        </is>
      </c>
      <c r="B7" s="8" t="inlineStr">
        <is>
          <t>earth</t>
        </is>
      </c>
      <c r="C7" s="8" t="inlineStr">
        <is>
          <t>earth</t>
        </is>
      </c>
      <c r="D7" s="8" t="inlineStr">
        <is>
          <t>ATK 1.1x</t>
        </is>
      </c>
      <c r="E7" s="8" t="inlineStr">
        <is>
          <t>DEF 1.3x</t>
        </is>
      </c>
      <c r="F7" s="8" t="inlineStr">
        <is>
          <t>-</t>
        </is>
      </c>
      <c r="G7" s="8" t="inlineStr">
        <is>
          <t>-</t>
        </is>
      </c>
      <c r="H7" s="8" t="inlineStr">
        <is>
          <t>Gold 1.5x</t>
        </is>
      </c>
      <c r="I7" s="8" t="inlineStr">
        <is>
          <t>#88aa44</t>
        </is>
      </c>
    </row>
  </sheetData>
  <mergeCells count="1">
    <mergeCell ref="A1:I1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6" customWidth="1" min="4" max="4"/>
    <col width="18" customWidth="1" min="5" max="5"/>
    <col width="22" customWidth="1" min="6" max="6"/>
    <col width="24" customWidth="1" min="7" max="7"/>
  </cols>
  <sheetData>
    <row r="1">
      <c r="A1" s="5" t="inlineStr">
        <is>
          <t>보스 소환 시스템 (v2.20)</t>
        </is>
      </c>
    </row>
    <row r="3">
      <c r="A3" s="6" t="inlineStr">
        <is>
          <t>분류</t>
        </is>
      </c>
      <c r="B3" s="6" t="inlineStr">
        <is>
          <t>ID</t>
        </is>
      </c>
      <c r="C3" s="6" t="inlineStr">
        <is>
          <t>이름</t>
        </is>
      </c>
      <c r="D3" s="6" t="inlineStr">
        <is>
          <t>아이콘</t>
        </is>
      </c>
      <c r="E3" s="6" t="inlineStr">
        <is>
          <t>재료/요구</t>
        </is>
      </c>
      <c r="F3" s="6" t="inlineStr">
        <is>
          <t>스탯</t>
        </is>
      </c>
      <c r="G3" s="6" t="inlineStr">
        <is>
          <t>효과/보상</t>
        </is>
      </c>
    </row>
    <row r="4">
      <c r="A4" s="7" t="inlineStr">
        <is>
          <t>소환석</t>
        </is>
      </c>
      <c r="B4" s="7" t="inlineStr">
        <is>
          <t>stone_fire</t>
        </is>
      </c>
      <c r="C4" s="7" t="inlineStr">
        <is>
          <t>화염 소환석</t>
        </is>
      </c>
      <c r="D4" s="7" t="inlineStr">
        <is>
          <t>🔴</t>
        </is>
      </c>
      <c r="E4" s="7" t="inlineStr">
        <is>
          <t>common</t>
        </is>
      </c>
      <c r="F4" s="7" t="inlineStr">
        <is>
          <t>30</t>
        </is>
      </c>
      <c r="G4" s="7" t="inlineStr">
        <is>
          <t>몬스터 드롭 15%</t>
        </is>
      </c>
    </row>
    <row r="5">
      <c r="A5" s="8" t="inlineStr">
        <is>
          <t>소환석</t>
        </is>
      </c>
      <c r="B5" s="8" t="inlineStr">
        <is>
          <t>stone_water</t>
        </is>
      </c>
      <c r="C5" s="8" t="inlineStr">
        <is>
          <t>수빙 소환석</t>
        </is>
      </c>
      <c r="D5" s="8" t="inlineStr">
        <is>
          <t>🔵</t>
        </is>
      </c>
      <c r="E5" s="8" t="inlineStr">
        <is>
          <t>common</t>
        </is>
      </c>
      <c r="F5" s="8" t="inlineStr">
        <is>
          <t>30</t>
        </is>
      </c>
      <c r="G5" s="8" t="inlineStr">
        <is>
          <t>몬스터 드롭 15%</t>
        </is>
      </c>
    </row>
    <row r="6">
      <c r="A6" s="7" t="inlineStr">
        <is>
          <t>소환석</t>
        </is>
      </c>
      <c r="B6" s="7" t="inlineStr">
        <is>
          <t>stone_wind</t>
        </is>
      </c>
      <c r="C6" s="7" t="inlineStr">
        <is>
          <t>질풍 소환석</t>
        </is>
      </c>
      <c r="D6" s="7" t="inlineStr">
        <is>
          <t>🟢</t>
        </is>
      </c>
      <c r="E6" s="7" t="inlineStr">
        <is>
          <t>common</t>
        </is>
      </c>
      <c r="F6" s="7" t="inlineStr">
        <is>
          <t>30</t>
        </is>
      </c>
      <c r="G6" s="7" t="inlineStr">
        <is>
          <t>몬스터 드롭 15%</t>
        </is>
      </c>
    </row>
    <row r="7">
      <c r="A7" s="8" t="inlineStr">
        <is>
          <t>소환석</t>
        </is>
      </c>
      <c r="B7" s="8" t="inlineStr">
        <is>
          <t>stone_earth</t>
        </is>
      </c>
      <c r="C7" s="8" t="inlineStr">
        <is>
          <t>대지 소환석</t>
        </is>
      </c>
      <c r="D7" s="8" t="inlineStr">
        <is>
          <t>🟤</t>
        </is>
      </c>
      <c r="E7" s="8" t="inlineStr">
        <is>
          <t>common</t>
        </is>
      </c>
      <c r="F7" s="8" t="inlineStr">
        <is>
          <t>30</t>
        </is>
      </c>
      <c r="G7" s="8" t="inlineStr">
        <is>
          <t>몬스터 드롭 15%</t>
        </is>
      </c>
    </row>
    <row r="8">
      <c r="A8" s="7" t="inlineStr">
        <is>
          <t>소환석</t>
        </is>
      </c>
      <c r="B8" s="7" t="inlineStr">
        <is>
          <t>stone_dark</t>
        </is>
      </c>
      <c r="C8" s="7" t="inlineStr">
        <is>
          <t>암흑 소환석</t>
        </is>
      </c>
      <c r="D8" s="7" t="inlineStr">
        <is>
          <t>🟣</t>
        </is>
      </c>
      <c r="E8" s="7" t="inlineStr">
        <is>
          <t>uncommon</t>
        </is>
      </c>
      <c r="F8" s="7" t="inlineStr">
        <is>
          <t>10</t>
        </is>
      </c>
      <c r="G8" s="7" t="inlineStr">
        <is>
          <t>몬스터 드롭 15%</t>
        </is>
      </c>
    </row>
    <row r="9">
      <c r="A9" s="8" t="inlineStr">
        <is>
          <t>소환석</t>
        </is>
      </c>
      <c r="B9" s="8" t="inlineStr">
        <is>
          <t>stone_light</t>
        </is>
      </c>
      <c r="C9" s="8" t="inlineStr">
        <is>
          <t>성광 소환석</t>
        </is>
      </c>
      <c r="D9" s="8" t="inlineStr">
        <is>
          <t>🟡</t>
        </is>
      </c>
      <c r="E9" s="8" t="inlineStr">
        <is>
          <t>uncommon</t>
        </is>
      </c>
      <c r="F9" s="8" t="inlineStr">
        <is>
          <t>10</t>
        </is>
      </c>
      <c r="G9" s="8" t="inlineStr">
        <is>
          <t>몬스터 드롭 15%</t>
        </is>
      </c>
    </row>
    <row r="10">
      <c r="A10" s="7" t="inlineStr">
        <is>
          <t>소환석</t>
        </is>
      </c>
      <c r="B10" s="7" t="inlineStr">
        <is>
          <t>stone_void</t>
        </is>
      </c>
      <c r="C10" s="7" t="inlineStr">
        <is>
          <t>공허 소환석</t>
        </is>
      </c>
      <c r="D10" s="7" t="inlineStr">
        <is>
          <t>⚫</t>
        </is>
      </c>
      <c r="E10" s="7" t="inlineStr">
        <is>
          <t>rare</t>
        </is>
      </c>
      <c r="F10" s="7" t="inlineStr">
        <is>
          <t>3</t>
        </is>
      </c>
      <c r="G10" s="7" t="inlineStr">
        <is>
          <t>몬스터 드롭 15%</t>
        </is>
      </c>
    </row>
    <row r="11">
      <c r="A11" s="8" t="inlineStr">
        <is>
          <t>소환석</t>
        </is>
      </c>
      <c r="B11" s="8" t="inlineStr">
        <is>
          <t>stone_primal</t>
        </is>
      </c>
      <c r="C11" s="8" t="inlineStr">
        <is>
          <t>태초 소환석</t>
        </is>
      </c>
      <c r="D11" s="8" t="inlineStr">
        <is>
          <t>💎</t>
        </is>
      </c>
      <c r="E11" s="8" t="inlineStr">
        <is>
          <t>epic</t>
        </is>
      </c>
      <c r="F11" s="8" t="inlineStr">
        <is>
          <t>1</t>
        </is>
      </c>
      <c r="G11" s="8" t="inlineStr">
        <is>
          <t>몬스터 드롭 15%</t>
        </is>
      </c>
    </row>
    <row r="12">
      <c r="A12" s="7" t="inlineStr">
        <is>
          <t>T1 소환수</t>
        </is>
      </c>
      <c r="B12" s="7" t="inlineStr">
        <is>
          <t>fire_imp</t>
        </is>
      </c>
      <c r="C12" s="7" t="inlineStr">
        <is>
          <t>화염 임프</t>
        </is>
      </c>
      <c r="D12" s="7" t="inlineStr">
        <is>
          <t>🔥</t>
        </is>
      </c>
      <c r="E12" s="7" t="inlineStr">
        <is>
          <t>화염×3</t>
        </is>
      </c>
      <c r="F12" s="7" t="inlineStr">
        <is>
          <t>ATK15/DEF5/HP200</t>
        </is>
      </c>
      <c r="G12" s="7" t="inlineStr">
        <is>
          <t>화염구 (ATK×1.5)</t>
        </is>
      </c>
    </row>
    <row r="13">
      <c r="A13" s="8" t="inlineStr">
        <is>
          <t>T1 소환수</t>
        </is>
      </c>
      <c r="B13" s="8" t="inlineStr">
        <is>
          <t>ice_golem</t>
        </is>
      </c>
      <c r="C13" s="8" t="inlineStr">
        <is>
          <t>빙결 골렘</t>
        </is>
      </c>
      <c r="D13" s="8" t="inlineStr">
        <is>
          <t>🧊</t>
        </is>
      </c>
      <c r="E13" s="8" t="inlineStr">
        <is>
          <t>수빙×3</t>
        </is>
      </c>
      <c r="F13" s="8" t="inlineStr">
        <is>
          <t>ATK8/DEF18/HP400</t>
        </is>
      </c>
      <c r="G13" s="8" t="inlineStr">
        <is>
          <t>빙결 (3초 둔화)</t>
        </is>
      </c>
    </row>
    <row r="14">
      <c r="A14" s="7" t="inlineStr">
        <is>
          <t>T1 소환수</t>
        </is>
      </c>
      <c r="B14" s="7" t="inlineStr">
        <is>
          <t>wind_hawk</t>
        </is>
      </c>
      <c r="C14" s="7" t="inlineStr">
        <is>
          <t>질풍 매</t>
        </is>
      </c>
      <c r="D14" s="7" t="inlineStr">
        <is>
          <t>🦅</t>
        </is>
      </c>
      <c r="E14" s="7" t="inlineStr">
        <is>
          <t>질풍×3</t>
        </is>
      </c>
      <c r="F14" s="7" t="inlineStr">
        <is>
          <t>ATK20/DEF3/HP150</t>
        </is>
      </c>
      <c r="G14" s="7" t="inlineStr">
        <is>
          <t>돌풍 (넉백)</t>
        </is>
      </c>
    </row>
    <row r="15">
      <c r="A15" s="8" t="inlineStr">
        <is>
          <t>T1 소환수</t>
        </is>
      </c>
      <c r="B15" s="8" t="inlineStr">
        <is>
          <t>earth_bear</t>
        </is>
      </c>
      <c r="C15" s="8" t="inlineStr">
        <is>
          <t>대지 곰</t>
        </is>
      </c>
      <c r="D15" s="8" t="inlineStr">
        <is>
          <t>🐻</t>
        </is>
      </c>
      <c r="E15" s="8" t="inlineStr">
        <is>
          <t>대지×3</t>
        </is>
      </c>
      <c r="F15" s="8" t="inlineStr">
        <is>
          <t>ATK12/DEF15/HP500</t>
        </is>
      </c>
      <c r="G15" s="8" t="inlineStr">
        <is>
          <t>지진 (범위)</t>
        </is>
      </c>
    </row>
    <row r="16">
      <c r="A16" s="7" t="inlineStr">
        <is>
          <t>T2 소환수</t>
        </is>
      </c>
      <c r="B16" s="7" t="inlineStr">
        <is>
          <t>storm_drake</t>
        </is>
      </c>
      <c r="C16" s="7" t="inlineStr">
        <is>
          <t>폭풍 드레이크</t>
        </is>
      </c>
      <c r="D16" s="7" t="inlineStr">
        <is>
          <t>⚡</t>
        </is>
      </c>
      <c r="E16" s="7" t="inlineStr">
        <is>
          <t>화염+질풍×2</t>
        </is>
      </c>
      <c r="F16" s="7" t="inlineStr">
        <is>
          <t>ATK25/DEF10/HP350</t>
        </is>
      </c>
      <c r="G16" s="7" t="inlineStr">
        <is>
          <t>번개 (ATK×2, 마비30%)</t>
        </is>
      </c>
    </row>
    <row r="17">
      <c r="A17" s="8" t="inlineStr">
        <is>
          <t>T2 소환수</t>
        </is>
      </c>
      <c r="B17" s="8" t="inlineStr">
        <is>
          <t>lava_titan</t>
        </is>
      </c>
      <c r="C17" s="8" t="inlineStr">
        <is>
          <t>용암 타이탄</t>
        </is>
      </c>
      <c r="D17" s="8" t="inlineStr">
        <is>
          <t>🌋</t>
        </is>
      </c>
      <c r="E17" s="8" t="inlineStr">
        <is>
          <t>화염×2+대지</t>
        </is>
      </c>
      <c r="F17" s="8" t="inlineStr">
        <is>
          <t>ATK18/DEF22/HP600</t>
        </is>
      </c>
      <c r="G17" s="8" t="inlineStr">
        <is>
          <t>분화 (범위 ATK×1.5)</t>
        </is>
      </c>
    </row>
    <row r="18">
      <c r="A18" s="7" t="inlineStr">
        <is>
          <t>T2 소환수</t>
        </is>
      </c>
      <c r="B18" s="7" t="inlineStr">
        <is>
          <t>frost_fairy</t>
        </is>
      </c>
      <c r="C18" s="7" t="inlineStr">
        <is>
          <t>서리 요정</t>
        </is>
      </c>
      <c r="D18" s="7" t="inlineStr">
        <is>
          <t>❄️</t>
        </is>
      </c>
      <c r="E18" s="7" t="inlineStr">
        <is>
          <t>수빙+성광+질풍</t>
        </is>
      </c>
      <c r="F18" s="7" t="inlineStr">
        <is>
          <t>ATK12/DEF8/HP250</t>
        </is>
      </c>
      <c r="G18" s="7" t="inlineStr">
        <is>
          <t>힐 (HP 20% 회복)</t>
        </is>
      </c>
    </row>
    <row r="19">
      <c r="A19" s="8" t="inlineStr">
        <is>
          <t>T2 소환수</t>
        </is>
      </c>
      <c r="B19" s="8" t="inlineStr">
        <is>
          <t>shadow_wolf</t>
        </is>
      </c>
      <c r="C19" s="8" t="inlineStr">
        <is>
          <t>그림자 늑대</t>
        </is>
      </c>
      <c r="D19" s="8" t="inlineStr">
        <is>
          <t>🐺</t>
        </is>
      </c>
      <c r="E19" s="8" t="inlineStr">
        <is>
          <t>암흑×2+대지</t>
        </is>
      </c>
      <c r="F19" s="8" t="inlineStr">
        <is>
          <t>ATK30/DEF6/HP280</t>
        </is>
      </c>
      <c r="G19" s="8" t="inlineStr">
        <is>
          <t>기습 (ATK×3, 크리100%)</t>
        </is>
      </c>
    </row>
    <row r="20">
      <c r="A20" s="7" t="inlineStr">
        <is>
          <t>T3 소환수</t>
        </is>
      </c>
      <c r="B20" s="7" t="inlineStr">
        <is>
          <t>void_serpent</t>
        </is>
      </c>
      <c r="C20" s="7" t="inlineStr">
        <is>
          <t>공허의 뱀</t>
        </is>
      </c>
      <c r="D20" s="7" t="inlineStr">
        <is>
          <t>🐍</t>
        </is>
      </c>
      <c r="E20" s="7" t="inlineStr">
        <is>
          <t>공허+암흑×2</t>
        </is>
      </c>
      <c r="F20" s="7" t="inlineStr">
        <is>
          <t>ATK35/DEF12/HP450</t>
        </is>
      </c>
      <c r="G20" s="7" t="inlineStr">
        <is>
          <t>포식 (50% 흡혈)</t>
        </is>
      </c>
    </row>
    <row r="21">
      <c r="A21" s="8" t="inlineStr">
        <is>
          <t>T3 소환수</t>
        </is>
      </c>
      <c r="B21" s="8" t="inlineStr">
        <is>
          <t>holy_angel</t>
        </is>
      </c>
      <c r="C21" s="8" t="inlineStr">
        <is>
          <t>성스러운 천사</t>
        </is>
      </c>
      <c r="D21" s="8" t="inlineStr">
        <is>
          <t>👼</t>
        </is>
      </c>
      <c r="E21" s="8" t="inlineStr">
        <is>
          <t>성광×2+태초</t>
        </is>
      </c>
      <c r="F21" s="8" t="inlineStr">
        <is>
          <t>ATK22/DEF20/HP500</t>
        </is>
      </c>
      <c r="G21" s="8" t="inlineStr">
        <is>
          <t>신성 (범위 힐+공격)</t>
        </is>
      </c>
    </row>
    <row r="22">
      <c r="A22" s="7" t="inlineStr">
        <is>
          <t>T3 소환수</t>
        </is>
      </c>
      <c r="B22" s="7" t="inlineStr">
        <is>
          <t>primal_dragon</t>
        </is>
      </c>
      <c r="C22" s="7" t="inlineStr">
        <is>
          <t>태초의 용</t>
        </is>
      </c>
      <c r="D22" s="7" t="inlineStr">
        <is>
          <t>🐲</t>
        </is>
      </c>
      <c r="E22" s="7" t="inlineStr">
        <is>
          <t>태초+공허+화염</t>
        </is>
      </c>
      <c r="F22" s="7" t="inlineStr">
        <is>
          <t>ATK50/DEF25/HP800</t>
        </is>
      </c>
      <c r="G22" s="7" t="inlineStr">
        <is>
          <t>브레스 (ATK×2.5)</t>
        </is>
      </c>
    </row>
    <row r="23">
      <c r="A23" s="8" t="inlineStr">
        <is>
          <t>보스</t>
        </is>
      </c>
      <c r="B23" s="8" t="inlineStr">
        <is>
          <t>inferno</t>
        </is>
      </c>
      <c r="C23" s="8" t="inlineStr">
        <is>
          <t>인페르노</t>
        </is>
      </c>
      <c r="D23" s="8" t="inlineStr">
        <is>
          <t>🔥</t>
        </is>
      </c>
      <c r="E23" s="8" t="inlineStr">
        <is>
          <t>T1 fire×3</t>
        </is>
      </c>
      <c r="F23" s="8" t="inlineStr">
        <is>
          <t>HP15K/ATK120/DEF40</t>
        </is>
      </c>
      <c r="G23" s="8" t="inlineStr">
        <is>
          <t>10K G, 8K EXP, 50D</t>
        </is>
      </c>
    </row>
    <row r="24">
      <c r="A24" s="7" t="inlineStr">
        <is>
          <t>보스</t>
        </is>
      </c>
      <c r="B24" s="7" t="inlineStr">
        <is>
          <t>leviathan</t>
        </is>
      </c>
      <c r="C24" s="7" t="inlineStr">
        <is>
          <t>레비아탄</t>
        </is>
      </c>
      <c r="D24" s="7" t="inlineStr">
        <is>
          <t>🌊</t>
        </is>
      </c>
      <c r="E24" s="7" t="inlineStr">
        <is>
          <t>T1 water×3</t>
        </is>
      </c>
      <c r="F24" s="7" t="inlineStr">
        <is>
          <t>HP20K/ATK90/DEF60</t>
        </is>
      </c>
      <c r="G24" s="7" t="inlineStr">
        <is>
          <t>12K G, 10K EXP, 60D</t>
        </is>
      </c>
    </row>
    <row r="25">
      <c r="A25" s="8" t="inlineStr">
        <is>
          <t>보스</t>
        </is>
      </c>
      <c r="B25" s="8" t="inlineStr">
        <is>
          <t>tempest</t>
        </is>
      </c>
      <c r="C25" s="8" t="inlineStr">
        <is>
          <t>템페스트</t>
        </is>
      </c>
      <c r="D25" s="8" t="inlineStr">
        <is>
          <t>⚡</t>
        </is>
      </c>
      <c r="E25" s="8" t="inlineStr">
        <is>
          <t>T2 any×3</t>
        </is>
      </c>
      <c r="F25" s="8" t="inlineStr">
        <is>
          <t>HP30K/ATK150/DEF50</t>
        </is>
      </c>
      <c r="G25" s="8" t="inlineStr">
        <is>
          <t>20K G, 15K EXP, 100D</t>
        </is>
      </c>
    </row>
    <row r="26">
      <c r="A26" s="7" t="inlineStr">
        <is>
          <t>보스</t>
        </is>
      </c>
      <c r="B26" s="7" t="inlineStr">
        <is>
          <t>apocalypse</t>
        </is>
      </c>
      <c r="C26" s="7" t="inlineStr">
        <is>
          <t>아포칼립스</t>
        </is>
      </c>
      <c r="D26" s="7" t="inlineStr">
        <is>
          <t>💀</t>
        </is>
      </c>
      <c r="E26" s="7" t="inlineStr">
        <is>
          <t>T3 any×3</t>
        </is>
      </c>
      <c r="F26" s="7" t="inlineStr">
        <is>
          <t>HP80K/ATK250/DEF80</t>
        </is>
      </c>
      <c r="G26" s="7" t="inlineStr">
        <is>
          <t>50K G, 40K EXP, 300D + 신화 무기</t>
        </is>
      </c>
    </row>
    <row r="27">
      <c r="A27" s="8" t="inlineStr">
        <is>
          <t>진화</t>
        </is>
      </c>
      <c r="B27" s="8" t="inlineStr">
        <is>
          <t>동종 2마리 합성</t>
        </is>
      </c>
      <c r="C27" s="8" t="inlineStr">
        <is>
          <t>1→2→3★</t>
        </is>
      </c>
      <c r="D27" s="8" t="inlineStr">
        <is>
          <t>ATK/DEF/HP ×1.5</t>
        </is>
      </c>
      <c r="E27" s="8" t="inlineStr">
        <is>
          <t>스킬 ×1.3</t>
        </is>
      </c>
      <c r="F27" s="8" t="inlineStr">
        <is>
          <t>최대 3★</t>
        </is>
      </c>
      <c r="G27" s="8" t="inlineStr">
        <is>
          <t>보관함 20마리</t>
        </is>
      </c>
    </row>
  </sheetData>
  <mergeCells count="1">
    <mergeCell ref="A1:G1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8" customWidth="1" min="4" max="4"/>
    <col width="14" customWidth="1" min="5" max="5"/>
    <col width="28" customWidth="1" min="6" max="6"/>
    <col width="16" customWidth="1" min="7" max="7"/>
    <col width="12" customWidth="1" min="8" max="8"/>
  </cols>
  <sheetData>
    <row r="1">
      <c r="A1" s="5" t="inlineStr">
        <is>
          <t>날씨 던전 시스템 (v2.21)</t>
        </is>
      </c>
    </row>
    <row r="3">
      <c r="A3" s="6" t="inlineStr">
        <is>
          <t>던전명</t>
        </is>
      </c>
      <c r="B3" s="6" t="inlineStr">
        <is>
          <t>날씨 조건</t>
        </is>
      </c>
      <c r="C3" s="6" t="inlineStr">
        <is>
          <t>요구 레벨</t>
        </is>
      </c>
      <c r="D3" s="6" t="inlineStr">
        <is>
          <t>속성</t>
        </is>
      </c>
      <c r="E3" s="6" t="inlineStr">
        <is>
          <t>구성</t>
        </is>
      </c>
      <c r="F3" s="6" t="inlineStr">
        <is>
          <t>클리어 보상</t>
        </is>
      </c>
      <c r="G3" s="6" t="inlineStr">
        <is>
          <t>날씨 보너스</t>
        </is>
      </c>
      <c r="H3" s="6" t="inlineStr">
        <is>
          <t>쿨다운</t>
        </is>
      </c>
    </row>
    <row r="4">
      <c r="A4" s="7" t="inlineStr">
        <is>
          <t>☀️ 태양의 시련장</t>
        </is>
      </c>
      <c r="B4" s="7" t="inlineStr">
        <is>
          <t>clear(맑음)</t>
        </is>
      </c>
      <c r="C4" s="7" t="inlineStr">
        <is>
          <t>Lv.15</t>
        </is>
      </c>
      <c r="D4" s="7" t="inlineStr">
        <is>
          <t>fire</t>
        </is>
      </c>
      <c r="E4" s="7" t="inlineStr">
        <is>
          <t>3스테이지</t>
        </is>
      </c>
      <c r="F4" s="7" t="inlineStr">
        <is>
          <t>5K G, 4K EXP, 30D, 태양의 파편</t>
        </is>
      </c>
      <c r="G4" s="7" t="inlineStr">
        <is>
          <t>맑은 날 보상 1.5배</t>
        </is>
      </c>
      <c r="H4" s="7" t="inlineStr">
        <is>
          <t>30분 쿨다운</t>
        </is>
      </c>
    </row>
    <row r="5">
      <c r="A5" s="8" t="inlineStr">
        <is>
          <t>🌧️ 우천의 미궁</t>
        </is>
      </c>
      <c r="B5" s="8" t="inlineStr">
        <is>
          <t>rain(비)</t>
        </is>
      </c>
      <c r="C5" s="8" t="inlineStr">
        <is>
          <t>Lv.20</t>
        </is>
      </c>
      <c r="D5" s="8" t="inlineStr">
        <is>
          <t>water</t>
        </is>
      </c>
      <c r="E5" s="8" t="inlineStr">
        <is>
          <t>3스테이지</t>
        </is>
      </c>
      <c r="F5" s="8" t="inlineStr">
        <is>
          <t>6K G, 5K EXP, 40D, 빗물 결정</t>
        </is>
      </c>
      <c r="G5" s="8" t="inlineStr">
        <is>
          <t>비 오는 날 1.5배</t>
        </is>
      </c>
      <c r="H5" s="8" t="inlineStr">
        <is>
          <t>30분 쿨다운</t>
        </is>
      </c>
    </row>
    <row r="6">
      <c r="A6" s="7" t="inlineStr">
        <is>
          <t>❄️ 설원의 성채</t>
        </is>
      </c>
      <c r="B6" s="7" t="inlineStr">
        <is>
          <t>snow(눈)</t>
        </is>
      </c>
      <c r="C6" s="7" t="inlineStr">
        <is>
          <t>Lv.25</t>
        </is>
      </c>
      <c r="D6" s="7" t="inlineStr">
        <is>
          <t>water</t>
        </is>
      </c>
      <c r="E6" s="7" t="inlineStr">
        <is>
          <t>3스테이지</t>
        </is>
      </c>
      <c r="F6" s="7" t="inlineStr">
        <is>
          <t>8K G, 7K EXP, 60D, 서리 왕관</t>
        </is>
      </c>
      <c r="G6" s="7" t="inlineStr">
        <is>
          <t>눈 오는 날 1.5배</t>
        </is>
      </c>
      <c r="H6" s="7" t="inlineStr">
        <is>
          <t>30분 쿨다운</t>
        </is>
      </c>
    </row>
    <row r="7">
      <c r="A7" s="8" t="inlineStr">
        <is>
          <t>⛈️ 뇌광의 탑</t>
        </is>
      </c>
      <c r="B7" s="8" t="inlineStr">
        <is>
          <t>storm(폭풍)</t>
        </is>
      </c>
      <c r="C7" s="8" t="inlineStr">
        <is>
          <t>Lv.30</t>
        </is>
      </c>
      <c r="D7" s="8" t="inlineStr">
        <is>
          <t>wind</t>
        </is>
      </c>
      <c r="E7" s="8" t="inlineStr">
        <is>
          <t>3스테이지</t>
        </is>
      </c>
      <c r="F7" s="8" t="inlineStr">
        <is>
          <t>15K G, 12K EXP, 100D, 뇌광 오브</t>
        </is>
      </c>
      <c r="G7" s="8" t="inlineStr">
        <is>
          <t>폭풍 시 2배!</t>
        </is>
      </c>
      <c r="H7" s="8" t="inlineStr">
        <is>
          <t>30분 쿨다운</t>
        </is>
      </c>
    </row>
    <row r="8">
      <c r="A8" s="7" t="inlineStr">
        <is>
          <t>-</t>
        </is>
      </c>
      <c r="B8" s="7" t="inlineStr">
        <is>
          <t>스테이지1</t>
        </is>
      </c>
      <c r="C8" s="7" t="inlineStr">
        <is>
          <t>일반 몬스터 4~6마리</t>
        </is>
      </c>
      <c r="D8" s="7" t="inlineStr">
        <is>
          <t>HP 300~600</t>
        </is>
      </c>
      <c r="E8" s="7" t="inlineStr">
        <is>
          <t>ATK 18~35</t>
        </is>
      </c>
      <c r="F8" s="7" t="inlineStr">
        <is>
          <t>DEF 8~12</t>
        </is>
      </c>
      <c r="G8" s="7" t="inlineStr">
        <is>
          <t>-</t>
        </is>
      </c>
      <c r="H8" s="7" t="inlineStr">
        <is>
          <t>위험/디버프 가능</t>
        </is>
      </c>
    </row>
    <row r="9">
      <c r="A9" s="8" t="inlineStr">
        <is>
          <t>-</t>
        </is>
      </c>
      <c r="B9" s="8" t="inlineStr">
        <is>
          <t>스테이지2</t>
        </is>
      </c>
      <c r="C9" s="8" t="inlineStr">
        <is>
          <t>일반 몬스터 3~4마리</t>
        </is>
      </c>
      <c r="D9" s="8" t="inlineStr">
        <is>
          <t>HP 600~1200</t>
        </is>
      </c>
      <c r="E9" s="8" t="inlineStr">
        <is>
          <t>ATK 30~50</t>
        </is>
      </c>
      <c r="F9" s="8" t="inlineStr">
        <is>
          <t>DEF 12~22</t>
        </is>
      </c>
      <c r="G9" s="8" t="inlineStr">
        <is>
          <t>위험 지형</t>
        </is>
      </c>
      <c r="H9" s="8" t="inlineStr">
        <is>
          <t>지속 데미지</t>
        </is>
      </c>
    </row>
    <row r="10">
      <c r="A10" s="7" t="inlineStr">
        <is>
          <t>-</t>
        </is>
      </c>
      <c r="B10" s="7" t="inlineStr">
        <is>
          <t>스테이지3 (보스)</t>
        </is>
      </c>
      <c r="C10" s="7" t="inlineStr">
        <is>
          <t>보스 1마리</t>
        </is>
      </c>
      <c r="D10" s="7" t="inlineStr">
        <is>
          <t>HP 3K~8K</t>
        </is>
      </c>
      <c r="E10" s="7" t="inlineStr">
        <is>
          <t>ATK 55~100</t>
        </is>
      </c>
      <c r="F10" s="7" t="inlineStr">
        <is>
          <t>DEF 20~35</t>
        </is>
      </c>
      <c r="G10" s="7" t="inlineStr">
        <is>
          <t>보스 스킬</t>
        </is>
      </c>
      <c r="H10" s="7" t="inlineStr">
        <is>
          <t>5~10초 주기</t>
        </is>
      </c>
    </row>
    <row r="11">
      <c r="A11" s="8" t="inlineStr">
        <is>
          <t>-</t>
        </is>
      </c>
      <c r="B11" s="8" t="inlineStr">
        <is>
          <t>보스: 태양의 수호자</t>
        </is>
      </c>
      <c r="C11" s="8" t="inlineStr">
        <is>
          <t>HP 3,000</t>
        </is>
      </c>
      <c r="D11" s="8" t="inlineStr">
        <is>
          <t>ATK 60</t>
        </is>
      </c>
      <c r="E11" s="8" t="inlineStr">
        <is>
          <t>DEF 20</t>
        </is>
      </c>
      <c r="F11" s="8" t="inlineStr">
        <is>
          <t>태양 플레어</t>
        </is>
      </c>
      <c r="G11" s="8" t="inlineStr">
        <is>
          <t>전체 HP 10% / 5초</t>
        </is>
      </c>
      <c r="H11" s="8" t="inlineStr">
        <is>
          <t>-</t>
        </is>
      </c>
    </row>
    <row r="12">
      <c r="A12" s="7" t="inlineStr">
        <is>
          <t>-</t>
        </is>
      </c>
      <c r="B12" s="7" t="inlineStr">
        <is>
          <t>보스: 폭포의 군주</t>
        </is>
      </c>
      <c r="C12" s="7" t="inlineStr">
        <is>
          <t>HP 4,000</t>
        </is>
      </c>
      <c r="D12" s="7" t="inlineStr">
        <is>
          <t>ATK 55</t>
        </is>
      </c>
      <c r="E12" s="7" t="inlineStr">
        <is>
          <t>DEF 25</t>
        </is>
      </c>
      <c r="F12" s="7" t="inlineStr">
        <is>
          <t>해일</t>
        </is>
      </c>
      <c r="G12" s="7" t="inlineStr">
        <is>
          <t>넉백+둔화 / 8초</t>
        </is>
      </c>
      <c r="H12" s="7" t="inlineStr">
        <is>
          <t>-</t>
        </is>
      </c>
    </row>
    <row r="13">
      <c r="A13" s="8" t="inlineStr">
        <is>
          <t>-</t>
        </is>
      </c>
      <c r="B13" s="8" t="inlineStr">
        <is>
          <t>보스: 서리 여왕</t>
        </is>
      </c>
      <c r="C13" s="8" t="inlineStr">
        <is>
          <t>HP 5,500</t>
        </is>
      </c>
      <c r="D13" s="8" t="inlineStr">
        <is>
          <t>ATK 70</t>
        </is>
      </c>
      <c r="E13" s="8" t="inlineStr">
        <is>
          <t>DEF 30</t>
        </is>
      </c>
      <c r="F13" s="8" t="inlineStr">
        <is>
          <t>절대 영도</t>
        </is>
      </c>
      <c r="G13" s="8" t="inlineStr">
        <is>
          <t>전체 빙결 2초 / 10초</t>
        </is>
      </c>
      <c r="H13" s="8" t="inlineStr">
        <is>
          <t>-</t>
        </is>
      </c>
    </row>
    <row r="14">
      <c r="A14" s="7" t="inlineStr">
        <is>
          <t>-</t>
        </is>
      </c>
      <c r="B14" s="7" t="inlineStr">
        <is>
          <t>보스: 뇌신 라이쥬</t>
        </is>
      </c>
      <c r="C14" s="7" t="inlineStr">
        <is>
          <t>HP 8,000</t>
        </is>
      </c>
      <c r="D14" s="7" t="inlineStr">
        <is>
          <t>ATK 100</t>
        </is>
      </c>
      <c r="E14" s="7" t="inlineStr">
        <is>
          <t>DEF 35</t>
        </is>
      </c>
      <c r="F14" s="7" t="inlineStr">
        <is>
          <t>천둥 연쇄</t>
        </is>
      </c>
      <c r="G14" s="7" t="inlineStr">
        <is>
          <t>3명 연쇄 번개 / 3초</t>
        </is>
      </c>
      <c r="H14" s="7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8" customWidth="1" min="4" max="4"/>
    <col width="22" customWidth="1" min="5" max="5"/>
    <col width="18" customWidth="1" min="6" max="6"/>
    <col width="14" customWidth="1" min="7" max="7"/>
  </cols>
  <sheetData>
    <row r="1">
      <c r="A1" s="5" t="inlineStr">
        <is>
          <t>PvP 매칭 시스템 (v2.22)</t>
        </is>
      </c>
    </row>
    <row r="3">
      <c r="A3" s="6" t="inlineStr">
        <is>
          <t>분류</t>
        </is>
      </c>
      <c r="B3" s="6" t="inlineStr">
        <is>
          <t>항목</t>
        </is>
      </c>
      <c r="C3" s="6" t="inlineStr">
        <is>
          <t>인원/값</t>
        </is>
      </c>
      <c r="D3" s="6" t="inlineStr">
        <is>
          <t>ELO/조건</t>
        </is>
      </c>
      <c r="E3" s="6" t="inlineStr">
        <is>
          <t>승리 보상</t>
        </is>
      </c>
      <c r="F3" s="6" t="inlineStr">
        <is>
          <t>패배 보상</t>
        </is>
      </c>
      <c r="G3" s="6" t="inlineStr">
        <is>
          <t>비고</t>
        </is>
      </c>
    </row>
    <row r="4">
      <c r="A4" s="7" t="inlineStr">
        <is>
          <t>모드</t>
        </is>
      </c>
      <c r="B4" s="7" t="inlineStr">
        <is>
          <t>1v1</t>
        </is>
      </c>
      <c r="C4" s="7" t="inlineStr">
        <is>
          <t>2명</t>
        </is>
      </c>
      <c r="D4" s="7" t="inlineStr">
        <is>
          <t>ELO K=32</t>
        </is>
      </c>
      <c r="E4" s="7" t="inlineStr">
        <is>
          <t>승: 500G, 300EXP, 10D</t>
        </is>
      </c>
      <c r="F4" s="7" t="inlineStr">
        <is>
          <t>패: 150G, 90EXP</t>
        </is>
      </c>
      <c r="G4" s="7" t="inlineStr">
        <is>
          <t>대기 60초</t>
        </is>
      </c>
    </row>
    <row r="5">
      <c r="A5" s="8" t="inlineStr">
        <is>
          <t>모드</t>
        </is>
      </c>
      <c r="B5" s="8" t="inlineStr">
        <is>
          <t>3v3</t>
        </is>
      </c>
      <c r="C5" s="8" t="inlineStr">
        <is>
          <t>6명</t>
        </is>
      </c>
      <c r="D5" s="8" t="inlineStr">
        <is>
          <t>ELO K=24</t>
        </is>
      </c>
      <c r="E5" s="8" t="inlineStr">
        <is>
          <t>승: 800G, 500EXP, 15D</t>
        </is>
      </c>
      <c r="F5" s="8" t="inlineStr">
        <is>
          <t>패: 240G, 150EXP</t>
        </is>
      </c>
      <c r="G5" s="8" t="inlineStr">
        <is>
          <t>대기 90초</t>
        </is>
      </c>
    </row>
    <row r="6">
      <c r="A6" s="7" t="inlineStr">
        <is>
          <t>ELO</t>
        </is>
      </c>
      <c r="B6" s="7" t="inlineStr">
        <is>
          <t>기본 레이팅</t>
        </is>
      </c>
      <c r="C6" s="7" t="inlineStr">
        <is>
          <t>1000</t>
        </is>
      </c>
      <c r="D6" s="7" t="inlineStr">
        <is>
          <t>매칭 범위 ±100~500</t>
        </is>
      </c>
      <c r="E6" s="7" t="inlineStr">
        <is>
          <t>10초마다 ±50 확장</t>
        </is>
      </c>
      <c r="F6" s="7" t="inlineStr">
        <is>
          <t>-</t>
        </is>
      </c>
      <c r="G6" s="7" t="inlineStr">
        <is>
          <t>-</t>
        </is>
      </c>
    </row>
    <row r="7">
      <c r="A7" s="8" t="inlineStr">
        <is>
          <t>티어</t>
        </is>
      </c>
      <c r="B7" s="8" t="inlineStr">
        <is>
          <t>🥉 브론즈</t>
        </is>
      </c>
      <c r="C7" s="8" t="inlineStr">
        <is>
          <t>0+</t>
        </is>
      </c>
      <c r="D7" s="8" t="inlineStr">
        <is>
          <t>시작 티어</t>
        </is>
      </c>
      <c r="E7" s="8" t="inlineStr">
        <is>
          <t>-</t>
        </is>
      </c>
      <c r="F7" s="8" t="inlineStr">
        <is>
          <t>-</t>
        </is>
      </c>
      <c r="G7" s="8" t="inlineStr">
        <is>
          <t>-</t>
        </is>
      </c>
    </row>
    <row r="8">
      <c r="A8" s="7" t="inlineStr">
        <is>
          <t>티어</t>
        </is>
      </c>
      <c r="B8" s="7" t="inlineStr">
        <is>
          <t>🥈 실버</t>
        </is>
      </c>
      <c r="C8" s="7" t="inlineStr">
        <is>
          <t>1100+</t>
        </is>
      </c>
      <c r="D8" s="7" t="inlineStr"/>
      <c r="E8" s="7" t="inlineStr"/>
      <c r="F8" s="7" t="inlineStr">
        <is>
          <t>-</t>
        </is>
      </c>
      <c r="G8" s="7" t="inlineStr">
        <is>
          <t>-</t>
        </is>
      </c>
    </row>
    <row r="9">
      <c r="A9" s="8" t="inlineStr">
        <is>
          <t>티어</t>
        </is>
      </c>
      <c r="B9" s="8" t="inlineStr">
        <is>
          <t>🥇 골드</t>
        </is>
      </c>
      <c r="C9" s="8" t="inlineStr">
        <is>
          <t>1300+</t>
        </is>
      </c>
      <c r="D9" s="8" t="inlineStr"/>
      <c r="E9" s="8" t="inlineStr"/>
      <c r="F9" s="8" t="inlineStr">
        <is>
          <t>-</t>
        </is>
      </c>
      <c r="G9" s="8" t="inlineStr">
        <is>
          <t>-</t>
        </is>
      </c>
    </row>
    <row r="10">
      <c r="A10" s="7" t="inlineStr">
        <is>
          <t>티어</t>
        </is>
      </c>
      <c r="B10" s="7" t="inlineStr">
        <is>
          <t>💎 플래티넘</t>
        </is>
      </c>
      <c r="C10" s="7" t="inlineStr">
        <is>
          <t>1500+</t>
        </is>
      </c>
      <c r="D10" s="7" t="inlineStr"/>
      <c r="E10" s="7" t="inlineStr"/>
      <c r="F10" s="7" t="inlineStr">
        <is>
          <t>-</t>
        </is>
      </c>
      <c r="G10" s="7" t="inlineStr">
        <is>
          <t>-</t>
        </is>
      </c>
    </row>
    <row r="11">
      <c r="A11" s="8" t="inlineStr">
        <is>
          <t>티어</t>
        </is>
      </c>
      <c r="B11" s="8" t="inlineStr">
        <is>
          <t>💠 다이아몬드</t>
        </is>
      </c>
      <c r="C11" s="8" t="inlineStr">
        <is>
          <t>1800+</t>
        </is>
      </c>
      <c r="D11" s="8" t="inlineStr"/>
      <c r="E11" s="8" t="inlineStr"/>
      <c r="F11" s="8" t="inlineStr">
        <is>
          <t>-</t>
        </is>
      </c>
      <c r="G11" s="8" t="inlineStr">
        <is>
          <t>-</t>
        </is>
      </c>
    </row>
    <row r="12">
      <c r="A12" s="7" t="inlineStr">
        <is>
          <t>티어</t>
        </is>
      </c>
      <c r="B12" s="7" t="inlineStr">
        <is>
          <t>👑 마스터</t>
        </is>
      </c>
      <c r="C12" s="7" t="inlineStr">
        <is>
          <t>2100+</t>
        </is>
      </c>
      <c r="D12" s="7" t="inlineStr"/>
      <c r="E12" s="7" t="inlineStr"/>
      <c r="F12" s="7" t="inlineStr">
        <is>
          <t>-</t>
        </is>
      </c>
      <c r="G12" s="7" t="inlineStr">
        <is>
          <t>-</t>
        </is>
      </c>
    </row>
    <row r="13">
      <c r="A13" s="8" t="inlineStr">
        <is>
          <t>티어</t>
        </is>
      </c>
      <c r="B13" s="8" t="inlineStr">
        <is>
          <t>🌟 그랜드마스터</t>
        </is>
      </c>
      <c r="C13" s="8" t="inlineStr">
        <is>
          <t>2500+</t>
        </is>
      </c>
      <c r="D13" s="8" t="inlineStr">
        <is>
          <t>최상위 티어</t>
        </is>
      </c>
      <c r="E13" s="8" t="inlineStr">
        <is>
          <t>-</t>
        </is>
      </c>
      <c r="F13" s="8" t="inlineStr">
        <is>
          <t>-</t>
        </is>
      </c>
      <c r="G13" s="8" t="inlineStr">
        <is>
          <t>-</t>
        </is>
      </c>
    </row>
    <row r="14">
      <c r="A14" s="7" t="inlineStr">
        <is>
          <t>시즌</t>
        </is>
      </c>
      <c r="B14" s="7" t="inlineStr">
        <is>
          <t>주기</t>
        </is>
      </c>
      <c r="C14" s="7" t="inlineStr">
        <is>
          <t>7일</t>
        </is>
      </c>
      <c r="D14" s="7" t="inlineStr">
        <is>
          <t>자동 리셋</t>
        </is>
      </c>
      <c r="E14" s="7" t="inlineStr">
        <is>
          <t>상위 100명 기록</t>
        </is>
      </c>
      <c r="F14" s="7" t="inlineStr">
        <is>
          <t>-</t>
        </is>
      </c>
      <c r="G14" s="7" t="inlineStr">
        <is>
          <t>-</t>
        </is>
      </c>
    </row>
    <row r="15">
      <c r="A15" s="8" t="inlineStr">
        <is>
          <t>매칭</t>
        </is>
      </c>
      <c r="B15" s="8" t="inlineStr">
        <is>
          <t>서버 틱</t>
        </is>
      </c>
      <c r="C15" s="8" t="inlineStr">
        <is>
          <t>5초마다</t>
        </is>
      </c>
      <c r="D15" s="8" t="inlineStr">
        <is>
          <t>ELO 기반 자동 매칭</t>
        </is>
      </c>
      <c r="E15" s="8" t="inlineStr">
        <is>
          <t>팀 ELO 균형 배분</t>
        </is>
      </c>
      <c r="F15" s="8" t="inlineStr">
        <is>
          <t>-</t>
        </is>
      </c>
      <c r="G15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0" customWidth="1" min="4" max="4"/>
    <col width="12" customWidth="1" min="5" max="5"/>
    <col width="16" customWidth="1" min="6" max="6"/>
  </cols>
  <sheetData>
    <row r="1">
      <c r="A1" s="5" t="inlineStr">
        <is>
          <t>사냥꾼 시스템 (v2.23)</t>
        </is>
      </c>
    </row>
    <row r="3">
      <c r="A3" s="6" t="inlineStr">
        <is>
          <t>분류</t>
        </is>
      </c>
      <c r="B3" s="6" t="inlineStr">
        <is>
          <t>이름/등급</t>
        </is>
      </c>
      <c r="C3" s="6" t="inlineStr">
        <is>
          <t>조건/효과</t>
        </is>
      </c>
      <c r="D3" s="6" t="inlineStr">
        <is>
          <t>보상/가격</t>
        </is>
      </c>
      <c r="E3" s="6" t="inlineStr">
        <is>
          <t>난이도/타입</t>
        </is>
      </c>
      <c r="F3" s="6" t="inlineStr">
        <is>
          <t>비고</t>
        </is>
      </c>
    </row>
    <row r="4">
      <c r="A4" s="7" t="inlineStr">
        <is>
          <t>일일 의뢰</t>
        </is>
      </c>
      <c r="B4" s="7" t="inlineStr">
        <is>
          <t>늑대 떼 소탕</t>
        </is>
      </c>
      <c r="C4" s="7" t="inlineStr">
        <is>
          <t>숲/normal 10마리</t>
        </is>
      </c>
      <c r="D4" s="7" t="inlineStr">
        <is>
          <t>2K G, 1.5K EXP, 10D</t>
        </is>
      </c>
      <c r="E4" s="7" t="inlineStr">
        <is>
          <t>easy</t>
        </is>
      </c>
      <c r="F4" s="7" t="inlineStr">
        <is>
          <t>매일 3개 갱신</t>
        </is>
      </c>
    </row>
    <row r="5">
      <c r="A5" s="8" t="inlineStr">
        <is>
          <t>일일 의뢰</t>
        </is>
      </c>
      <c r="B5" s="8" t="inlineStr">
        <is>
          <t>산적 소굴 정리</t>
        </is>
      </c>
      <c r="C5" s="8" t="inlineStr">
        <is>
          <t>산악/elite 8마리</t>
        </is>
      </c>
      <c r="D5" s="8" t="inlineStr">
        <is>
          <t>4K G, 3K EXP, 20D</t>
        </is>
      </c>
      <c r="E5" s="8" t="inlineStr">
        <is>
          <t>normal</t>
        </is>
      </c>
      <c r="F5" s="8" t="inlineStr"/>
    </row>
    <row r="6">
      <c r="A6" s="7" t="inlineStr">
        <is>
          <t>일일 의뢰</t>
        </is>
      </c>
      <c r="B6" s="7" t="inlineStr">
        <is>
          <t>드래곤 알 수거</t>
        </is>
      </c>
      <c r="C6" s="7" t="inlineStr">
        <is>
          <t>용둥지/수집 5개</t>
        </is>
      </c>
      <c r="D6" s="7" t="inlineStr">
        <is>
          <t>8K G, 6K EXP, 40D</t>
        </is>
      </c>
      <c r="E6" s="7" t="inlineStr">
        <is>
          <t>hard</t>
        </is>
      </c>
      <c r="F6" s="7" t="inlineStr"/>
    </row>
    <row r="7">
      <c r="A7" s="8" t="inlineStr">
        <is>
          <t>일일 의뢰</t>
        </is>
      </c>
      <c r="B7" s="8" t="inlineStr">
        <is>
          <t>유령선 정벌</t>
        </is>
      </c>
      <c r="C7" s="8" t="inlineStr">
        <is>
          <t>항구/rare 12마리</t>
        </is>
      </c>
      <c r="D7" s="8" t="inlineStr">
        <is>
          <t>6K G, 5K EXP, 30D</t>
        </is>
      </c>
      <c r="E7" s="8" t="inlineStr">
        <is>
          <t>normal</t>
        </is>
      </c>
      <c r="F7" s="8" t="inlineStr"/>
    </row>
    <row r="8">
      <c r="A8" s="7" t="inlineStr">
        <is>
          <t>일일 의뢰</t>
        </is>
      </c>
      <c r="B8" s="7" t="inlineStr">
        <is>
          <t>공허 균열 봉인</t>
        </is>
      </c>
      <c r="C8" s="7" t="inlineStr">
        <is>
          <t>심연/boss 6마리</t>
        </is>
      </c>
      <c r="D8" s="7" t="inlineStr">
        <is>
          <t>15K G, 12K EXP, 80D</t>
        </is>
      </c>
      <c r="E8" s="7" t="inlineStr">
        <is>
          <t>extreme</t>
        </is>
      </c>
      <c r="F8" s="7" t="inlineStr"/>
    </row>
    <row r="9">
      <c r="A9" s="8" t="inlineStr">
        <is>
          <t>일일 의뢰</t>
        </is>
      </c>
      <c r="B9" s="8" t="inlineStr">
        <is>
          <t>밤의 추적자</t>
        </is>
      </c>
      <c r="C9" s="8" t="inlineStr">
        <is>
          <t>밤 전용 5마리</t>
        </is>
      </c>
      <c r="D9" s="8" t="inlineStr">
        <is>
          <t>7K G, 5K EXP, 35D</t>
        </is>
      </c>
      <c r="E9" s="8" t="inlineStr">
        <is>
          <t>hard</t>
        </is>
      </c>
      <c r="F9" s="8" t="inlineStr">
        <is>
          <t>isNight 조건</t>
        </is>
      </c>
    </row>
    <row r="10">
      <c r="A10" s="7" t="inlineStr">
        <is>
          <t>일일 의뢰</t>
        </is>
      </c>
      <c r="B10" s="7" t="inlineStr">
        <is>
          <t>폭풍 짐승 사냥</t>
        </is>
      </c>
      <c r="C10" s="7" t="inlineStr">
        <is>
          <t>폭풍 전용 4마리</t>
        </is>
      </c>
      <c r="D10" s="7" t="inlineStr">
        <is>
          <t>12K G, 10K EXP, 60D</t>
        </is>
      </c>
      <c r="E10" s="7" t="inlineStr">
        <is>
          <t>extreme</t>
        </is>
      </c>
      <c r="F10" s="7" t="inlineStr">
        <is>
          <t>storm 조건</t>
        </is>
      </c>
    </row>
    <row r="11">
      <c r="A11" s="8" t="inlineStr">
        <is>
          <t>함정</t>
        </is>
      </c>
      <c r="B11" s="8" t="inlineStr">
        <is>
          <t>🪤 올가미</t>
        </is>
      </c>
      <c r="C11" s="8" t="inlineStr">
        <is>
          <t>3초 이동 불가</t>
        </is>
      </c>
      <c r="D11" s="8" t="inlineStr">
        <is>
          <t>500G</t>
        </is>
      </c>
      <c r="E11" s="8" t="inlineStr">
        <is>
          <t>root</t>
        </is>
      </c>
      <c r="F11" s="8" t="inlineStr"/>
    </row>
    <row r="12">
      <c r="A12" s="7" t="inlineStr">
        <is>
          <t>함정</t>
        </is>
      </c>
      <c r="B12" s="7" t="inlineStr">
        <is>
          <t>☠️ 독 함정</t>
        </is>
      </c>
      <c r="C12" s="7" t="inlineStr">
        <is>
          <t>10초 독 DPS 5</t>
        </is>
      </c>
      <c r="D12" s="7" t="inlineStr">
        <is>
          <t>800G</t>
        </is>
      </c>
      <c r="E12" s="7" t="inlineStr">
        <is>
          <t>dot</t>
        </is>
      </c>
      <c r="F12" s="7" t="inlineStr"/>
    </row>
    <row r="13">
      <c r="A13" s="8" t="inlineStr">
        <is>
          <t>함정</t>
        </is>
      </c>
      <c r="B13" s="8" t="inlineStr">
        <is>
          <t>💥 섬광탄</t>
        </is>
      </c>
      <c r="C13" s="8" t="inlineStr">
        <is>
          <t>2초 실명</t>
        </is>
      </c>
      <c r="D13" s="8" t="inlineStr">
        <is>
          <t>600G</t>
        </is>
      </c>
      <c r="E13" s="8" t="inlineStr">
        <is>
          <t>blind</t>
        </is>
      </c>
      <c r="F13" s="8" t="inlineStr"/>
    </row>
    <row r="14">
      <c r="A14" s="7" t="inlineStr">
        <is>
          <t>함정</t>
        </is>
      </c>
      <c r="B14" s="7" t="inlineStr">
        <is>
          <t>🕸️ 투망</t>
        </is>
      </c>
      <c r="C14" s="7" t="inlineStr">
        <is>
          <t>5초 속도 -70%</t>
        </is>
      </c>
      <c r="D14" s="7" t="inlineStr">
        <is>
          <t>700G</t>
        </is>
      </c>
      <c r="E14" s="7" t="inlineStr">
        <is>
          <t>slow</t>
        </is>
      </c>
      <c r="F14" s="7" t="inlineStr"/>
    </row>
    <row r="15">
      <c r="A15" s="8" t="inlineStr">
        <is>
          <t>함정</t>
        </is>
      </c>
      <c r="B15" s="8" t="inlineStr">
        <is>
          <t>💣 폭탄</t>
        </is>
      </c>
      <c r="C15" s="8" t="inlineStr">
        <is>
          <t>즉시 500 데미지</t>
        </is>
      </c>
      <c r="D15" s="8" t="inlineStr">
        <is>
          <t>1,200G</t>
        </is>
      </c>
      <c r="E15" s="8" t="inlineStr">
        <is>
          <t>damage</t>
        </is>
      </c>
      <c r="F15" s="8" t="inlineStr"/>
    </row>
    <row r="16">
      <c r="A16" s="7" t="inlineStr">
        <is>
          <t>등급</t>
        </is>
      </c>
      <c r="B16" s="7" t="inlineStr">
        <is>
          <t>🏹 견습 (0회)</t>
        </is>
      </c>
      <c r="C16" s="7" t="inlineStr">
        <is>
          <t>기본</t>
        </is>
      </c>
      <c r="D16" s="7" t="inlineStr">
        <is>
          <t>-</t>
        </is>
      </c>
      <c r="E16" s="7" t="inlineStr">
        <is>
          <t>-</t>
        </is>
      </c>
      <c r="F16" s="7" t="inlineStr"/>
    </row>
    <row r="17">
      <c r="A17" s="8" t="inlineStr">
        <is>
          <t>등급</t>
        </is>
      </c>
      <c r="B17" s="8" t="inlineStr">
        <is>
          <t>⚔️ 숙련 (10회)</t>
        </is>
      </c>
      <c r="C17" s="8" t="inlineStr">
        <is>
          <t>추적 범위 +10</t>
        </is>
      </c>
      <c r="D17" s="8" t="inlineStr">
        <is>
          <t>-</t>
        </is>
      </c>
      <c r="E17" s="8" t="inlineStr">
        <is>
          <t>-</t>
        </is>
      </c>
      <c r="F17" s="8" t="inlineStr"/>
    </row>
    <row r="18">
      <c r="A18" s="7" t="inlineStr">
        <is>
          <t>등급</t>
        </is>
      </c>
      <c r="B18" s="7" t="inlineStr">
        <is>
          <t>🗡️ 베테랑 (30회)</t>
        </is>
      </c>
      <c r="C18" s="7" t="inlineStr">
        <is>
          <t>보상 +10%</t>
        </is>
      </c>
      <c r="D18" s="7" t="inlineStr">
        <is>
          <t>-</t>
        </is>
      </c>
      <c r="E18" s="7" t="inlineStr">
        <is>
          <t>-</t>
        </is>
      </c>
      <c r="F18" s="7" t="inlineStr"/>
    </row>
    <row r="19">
      <c r="A19" s="8" t="inlineStr">
        <is>
          <t>등급</t>
        </is>
      </c>
      <c r="B19" s="8" t="inlineStr">
        <is>
          <t>🎯 마스터 (60회)</t>
        </is>
      </c>
      <c r="C19" s="8" t="inlineStr">
        <is>
          <t>함정 비용 -20%</t>
        </is>
      </c>
      <c r="D19" s="8" t="inlineStr">
        <is>
          <t>-</t>
        </is>
      </c>
      <c r="E19" s="8" t="inlineStr">
        <is>
          <t>-</t>
        </is>
      </c>
      <c r="F19" s="8" t="inlineStr"/>
    </row>
    <row r="20">
      <c r="A20" s="7" t="inlineStr">
        <is>
          <t>등급</t>
        </is>
      </c>
      <c r="B20" s="7" t="inlineStr">
        <is>
          <t>👑 전설 (100회)</t>
        </is>
      </c>
      <c r="C20" s="7" t="inlineStr">
        <is>
          <t>15% 확률 보상 2배</t>
        </is>
      </c>
      <c r="D20" s="7" t="inlineStr">
        <is>
          <t>-</t>
        </is>
      </c>
      <c r="E20" s="7" t="inlineStr">
        <is>
          <t>-</t>
        </is>
      </c>
      <c r="F20" s="7" t="inlineStr"/>
    </row>
  </sheetData>
  <mergeCells count="1">
    <mergeCell ref="A1:F1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34" customWidth="1" min="5" max="5"/>
    <col width="14" customWidth="1" min="6" max="6"/>
  </cols>
  <sheetData>
    <row r="1">
      <c r="A1" s="5" t="inlineStr">
        <is>
          <t>종족 시스템 (v2.24) — 4종족</t>
        </is>
      </c>
    </row>
    <row r="3">
      <c r="A3" s="6" t="inlineStr">
        <is>
          <t>종족/항목</t>
        </is>
      </c>
      <c r="B3" s="6" t="inlineStr">
        <is>
          <t>해금/조건</t>
        </is>
      </c>
      <c r="C3" s="6" t="inlineStr">
        <is>
          <t>패시브</t>
        </is>
      </c>
      <c r="D3" s="6" t="inlineStr">
        <is>
          <t>성장 보너스</t>
        </is>
      </c>
      <c r="E3" s="6" t="inlineStr">
        <is>
          <t>액티브 스킬</t>
        </is>
      </c>
      <c r="F3" s="6" t="inlineStr">
        <is>
          <t>비고</t>
        </is>
      </c>
    </row>
    <row r="4">
      <c r="A4" s="7" t="inlineStr">
        <is>
          <t>🧑 인간</t>
        </is>
      </c>
      <c r="B4" s="7" t="inlineStr">
        <is>
          <t>Lv.1</t>
        </is>
      </c>
      <c r="C4" s="7" t="inlineStr">
        <is>
          <t>EXP +15%, 모든 장비 가능</t>
        </is>
      </c>
      <c r="D4" s="7" t="inlineStr">
        <is>
          <t>HP+2/Lv, ATK+0.5/Lv, DEF+0.5/Lv</t>
        </is>
      </c>
      <c r="E4" s="7" t="inlineStr">
        <is>
          <t>💪 인간의 의지: 10초 전 스탯 +20% (CD 120초)</t>
        </is>
      </c>
      <c r="F4" s="7" t="inlineStr">
        <is>
          <t>균형형</t>
        </is>
      </c>
    </row>
    <row r="5">
      <c r="A5" s="8" t="inlineStr">
        <is>
          <t>🧝 엘프</t>
        </is>
      </c>
      <c r="B5" s="8" t="inlineStr">
        <is>
          <t>Lv.1</t>
        </is>
      </c>
      <c r="C5" s="8" t="inlineStr">
        <is>
          <t>Crit +8%, Dodge +5%, MP 리젠 +2%</t>
        </is>
      </c>
      <c r="D5" s="8" t="inlineStr">
        <is>
          <t>HP+1/Lv, ATK+0.3/Lv, SPD+0.2/Lv</t>
        </is>
      </c>
      <c r="E5" s="8" t="inlineStr">
        <is>
          <t>🌿 자연의 축복: 15초 HP 리젠 + 독/화상 면역 (CD 90초)</t>
        </is>
      </c>
      <c r="F5" s="8" t="inlineStr">
        <is>
          <t>민첩/마법형</t>
        </is>
      </c>
    </row>
    <row r="6">
      <c r="A6" s="7" t="inlineStr">
        <is>
          <t>⛏️ 드워프</t>
        </is>
      </c>
      <c r="B6" s="7" t="inlineStr">
        <is>
          <t>Lv.1</t>
        </is>
      </c>
      <c r="C6" s="7" t="inlineStr">
        <is>
          <t>DEF +10, HP +100, 제작 +15%, 강화 +10%</t>
        </is>
      </c>
      <c r="D6" s="7" t="inlineStr">
        <is>
          <t>HP+4/Lv, DEF+1.0/Lv</t>
        </is>
      </c>
      <c r="E6" s="7" t="inlineStr">
        <is>
          <t>🛡️ 대지의 방패: 8초 피해 50% 감소 + 넉백 면역 (CD 100초)</t>
        </is>
      </c>
      <c r="F6" s="7" t="inlineStr">
        <is>
          <t>탱커/제작형</t>
        </is>
      </c>
    </row>
    <row r="7">
      <c r="A7" s="8" t="inlineStr">
        <is>
          <t>😈 악마</t>
        </is>
      </c>
      <c r="B7" s="8" t="inlineStr">
        <is>
          <t>Lv.10</t>
        </is>
      </c>
      <c r="C7" s="8" t="inlineStr">
        <is>
          <t>ATK +15, 흡혈 5%, 카르마 감소 50%↓</t>
        </is>
      </c>
      <c r="D7" s="8" t="inlineStr">
        <is>
          <t>ATK+1.0/Lv, HP+1.5/Lv</t>
        </is>
      </c>
      <c r="E7" s="8" t="inlineStr">
        <is>
          <t>🔥 악마의 계약: HP 20% 소모 → 12초 ATK 2배 + 흡혈 15% (CD 150초)</t>
        </is>
      </c>
      <c r="F7" s="8" t="inlineStr">
        <is>
          <t>공격형 (고위험)</t>
        </is>
      </c>
    </row>
    <row r="8">
      <c r="A8" s="7" t="inlineStr">
        <is>
          <t>파티 시너지</t>
        </is>
      </c>
      <c r="B8" s="7" t="inlineStr">
        <is>
          <t>인간+엘프</t>
        </is>
      </c>
      <c r="C8" s="7" t="inlineStr">
        <is>
          <t>숲과 문명의 조화</t>
        </is>
      </c>
      <c r="D8" s="7" t="inlineStr">
        <is>
          <t>EXP +10%</t>
        </is>
      </c>
      <c r="E8" s="7" t="inlineStr">
        <is>
          <t>-</t>
        </is>
      </c>
      <c r="F8" s="7" t="inlineStr">
        <is>
          <t>-</t>
        </is>
      </c>
    </row>
    <row r="9">
      <c r="A9" s="8" t="inlineStr">
        <is>
          <t>파티 시너지</t>
        </is>
      </c>
      <c r="B9" s="8" t="inlineStr">
        <is>
          <t>인간+드워프</t>
        </is>
      </c>
      <c r="C9" s="8" t="inlineStr">
        <is>
          <t>동맹의 힘</t>
        </is>
      </c>
      <c r="D9" s="8" t="inlineStr">
        <is>
          <t>DEF +5, ATK +5</t>
        </is>
      </c>
      <c r="E9" s="8" t="inlineStr">
        <is>
          <t>-</t>
        </is>
      </c>
      <c r="F9" s="8" t="inlineStr">
        <is>
          <t>-</t>
        </is>
      </c>
    </row>
    <row r="10">
      <c r="A10" s="7" t="inlineStr">
        <is>
          <t>파티 시너지</t>
        </is>
      </c>
      <c r="B10" s="7" t="inlineStr">
        <is>
          <t>엘프+드워프</t>
        </is>
      </c>
      <c r="C10" s="7" t="inlineStr">
        <is>
          <t>고대의 약속</t>
        </is>
      </c>
      <c r="D10" s="7" t="inlineStr">
        <is>
          <t>제작 +10%, Crit +3%</t>
        </is>
      </c>
      <c r="E10" s="7" t="inlineStr">
        <is>
          <t>-</t>
        </is>
      </c>
      <c r="F10" s="7" t="inlineStr">
        <is>
          <t>-</t>
        </is>
      </c>
    </row>
    <row r="11">
      <c r="A11" s="8" t="inlineStr">
        <is>
          <t>파티 시너지</t>
        </is>
      </c>
      <c r="B11" s="8" t="inlineStr">
        <is>
          <t>악마+악마</t>
        </is>
      </c>
      <c r="C11" s="8" t="inlineStr">
        <is>
          <t>어둠의 결속</t>
        </is>
      </c>
      <c r="D11" s="8" t="inlineStr">
        <is>
          <t>ATK +10, 흡혈 +3%</t>
        </is>
      </c>
      <c r="E11" s="8" t="inlineStr">
        <is>
          <t>-</t>
        </is>
      </c>
      <c r="F11" s="8" t="inlineStr">
        <is>
          <t>-</t>
        </is>
      </c>
    </row>
    <row r="12">
      <c r="A12" s="7" t="inlineStr">
        <is>
          <t>파티 시너지</t>
        </is>
      </c>
      <c r="B12" s="7" t="inlineStr">
        <is>
          <t>4종족 전부</t>
        </is>
      </c>
      <c r="C12" s="7" t="inlineStr">
        <is>
          <t>종족 대연합</t>
        </is>
      </c>
      <c r="D12" s="7" t="inlineStr">
        <is>
          <t>전체 스탯 +8, EXP +15%</t>
        </is>
      </c>
      <c r="E12" s="7" t="inlineStr">
        <is>
          <t>-</t>
        </is>
      </c>
      <c r="F12" s="7" t="inlineStr">
        <is>
          <t>최고 시너지</t>
        </is>
      </c>
    </row>
    <row r="13">
      <c r="A13" s="8" t="inlineStr">
        <is>
          <t>종족 칭호</t>
        </is>
      </c>
      <c r="B13" s="8" t="inlineStr">
        <is>
          <t>인간 Lv.30</t>
        </is>
      </c>
      <c r="C13" s="8" t="inlineStr">
        <is>
          <t>인류의 희망</t>
        </is>
      </c>
      <c r="D13" s="8" t="inlineStr">
        <is>
          <t>EXP +5%</t>
        </is>
      </c>
      <c r="E13" s="8" t="inlineStr">
        <is>
          <t>-</t>
        </is>
      </c>
      <c r="F13" s="8" t="inlineStr">
        <is>
          <t>-</t>
        </is>
      </c>
    </row>
    <row r="14">
      <c r="A14" s="7" t="inlineStr">
        <is>
          <t>종족 칭호</t>
        </is>
      </c>
      <c r="B14" s="7" t="inlineStr">
        <is>
          <t>엘프 Lv.30</t>
        </is>
      </c>
      <c r="C14" s="7" t="inlineStr">
        <is>
          <t>숲의 수호자</t>
        </is>
      </c>
      <c r="D14" s="7" t="inlineStr">
        <is>
          <t>Dodge +3%</t>
        </is>
      </c>
      <c r="E14" s="7" t="inlineStr">
        <is>
          <t>-</t>
        </is>
      </c>
      <c r="F14" s="7" t="inlineStr">
        <is>
          <t>-</t>
        </is>
      </c>
    </row>
    <row r="15">
      <c r="A15" s="8" t="inlineStr">
        <is>
          <t>종족 칭호</t>
        </is>
      </c>
      <c r="B15" s="8" t="inlineStr">
        <is>
          <t>드워프 Lv.30</t>
        </is>
      </c>
      <c r="C15" s="8" t="inlineStr">
        <is>
          <t>대장장이의 후예</t>
        </is>
      </c>
      <c r="D15" s="8" t="inlineStr">
        <is>
          <t>제작 +10%</t>
        </is>
      </c>
      <c r="E15" s="8" t="inlineStr">
        <is>
          <t>-</t>
        </is>
      </c>
      <c r="F15" s="8" t="inlineStr">
        <is>
          <t>-</t>
        </is>
      </c>
    </row>
    <row r="16">
      <c r="A16" s="7" t="inlineStr">
        <is>
          <t>종족 칭호</t>
        </is>
      </c>
      <c r="B16" s="7" t="inlineStr">
        <is>
          <t>악마 Lv.30</t>
        </is>
      </c>
      <c r="C16" s="7" t="inlineStr">
        <is>
          <t>심연의 아이</t>
        </is>
      </c>
      <c r="D16" s="7" t="inlineStr">
        <is>
          <t>흡혈 +3%</t>
        </is>
      </c>
      <c r="E16" s="7" t="inlineStr">
        <is>
          <t>-</t>
        </is>
      </c>
      <c r="F16" s="7" t="inlineStr">
        <is>
          <t>-</t>
        </is>
      </c>
    </row>
    <row r="17">
      <c r="A17" s="8" t="inlineStr">
        <is>
          <t>변경</t>
        </is>
      </c>
      <c r="B17" s="8" t="inlineStr">
        <is>
          <t>환생 시</t>
        </is>
      </c>
      <c r="C17" s="8" t="inlineStr">
        <is>
          <t>종족 변경 가능</t>
        </is>
      </c>
      <c r="D17" s="8" t="inlineStr">
        <is>
          <t>-</t>
        </is>
      </c>
      <c r="E17" s="8" t="inlineStr">
        <is>
          <t>-</t>
        </is>
      </c>
      <c r="F17" s="8" t="inlineStr">
        <is>
          <t>첫 선택 이후 환생으로만 변경</t>
        </is>
      </c>
    </row>
  </sheetData>
  <mergeCells count="1">
    <mergeCell ref="A1:F1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40" customWidth="1" min="5" max="5"/>
    <col width="14" customWidth="1" min="6" max="6"/>
  </cols>
  <sheetData>
    <row r="1">
      <c r="A1" s="5" t="inlineStr">
        <is>
          <t>유물 조합 시스템 (v2.25)</t>
        </is>
      </c>
    </row>
    <row r="3">
      <c r="A3" s="6" t="inlineStr">
        <is>
          <t>계열</t>
        </is>
      </c>
      <c r="B3" s="6" t="inlineStr">
        <is>
          <t>이름</t>
        </is>
      </c>
      <c r="C3" s="6" t="inlineStr">
        <is>
          <t>재료 (유물 3개)</t>
        </is>
      </c>
      <c r="D3" s="6" t="inlineStr">
        <is>
          <t>등급</t>
        </is>
      </c>
      <c r="E3" s="6" t="inlineStr">
        <is>
          <t>효과</t>
        </is>
      </c>
      <c r="F3" s="6" t="inlineStr">
        <is>
          <t>비고</t>
        </is>
      </c>
    </row>
    <row r="4">
      <c r="A4" s="7" t="inlineStr">
        <is>
          <t>공격</t>
        </is>
      </c>
      <c r="B4" s="7" t="inlineStr">
        <is>
          <t>⚔️🔥 인페르노 블레이드</t>
        </is>
      </c>
      <c r="C4" s="7" t="inlineStr">
        <is>
          <t>혼돈칼날+화염핵+악마뿔</t>
        </is>
      </c>
      <c r="D4" s="7" t="inlineStr">
        <is>
          <t>legendary</t>
        </is>
      </c>
      <c r="E4" s="7" t="inlineStr">
        <is>
          <t>ATK+35, 크리뎀+30%, 10% 화염폭발</t>
        </is>
      </c>
      <c r="F4" s="7" t="inlineStr">
        <is>
          <t>화염+혼돈 시너지</t>
        </is>
      </c>
    </row>
    <row r="5">
      <c r="A5" s="8" t="inlineStr">
        <is>
          <t>공격</t>
        </is>
      </c>
      <c r="B5" s="8" t="inlineStr">
        <is>
          <t>⚡⚔️ 폭풍의 파괴자</t>
        </is>
      </c>
      <c r="C5" s="8" t="inlineStr">
        <is>
          <t>번개송곳니+바람부츠+혼돈칼날</t>
        </is>
      </c>
      <c r="D5" s="8" t="inlineStr">
        <is>
          <t>legendary</t>
        </is>
      </c>
      <c r="E5" s="8" t="inlineStr">
        <is>
          <t>ATK+25, SPD+5, Crit+10%, 15% 연쇄번개</t>
        </is>
      </c>
      <c r="F5" s="8" t="inlineStr">
        <is>
          <t>번개+바람</t>
        </is>
      </c>
    </row>
    <row r="6">
      <c r="A6" s="7" t="inlineStr">
        <is>
          <t>공격</t>
        </is>
      </c>
      <c r="B6" s="7" t="inlineStr">
        <is>
          <t>🕳️⚔️ 공허의 포식자</t>
        </is>
      </c>
      <c r="C6" s="7" t="inlineStr">
        <is>
          <t>공허파편+공허수정+악마뿔</t>
        </is>
      </c>
      <c r="D6" s="7" t="inlineStr">
        <is>
          <t>mythic</t>
        </is>
      </c>
      <c r="E6" s="7" t="inlineStr">
        <is>
          <t>ATK+50, 흡혈12%, 처치 시 HP 15% 회복</t>
        </is>
      </c>
      <c r="F6" s="7" t="inlineStr">
        <is>
          <t>최강 공격</t>
        </is>
      </c>
    </row>
    <row r="7">
      <c r="A7" s="8" t="inlineStr">
        <is>
          <t>방어</t>
        </is>
      </c>
      <c r="B7" s="8" t="inlineStr">
        <is>
          <t>🛡️✨ 영원의 요새</t>
        </is>
      </c>
      <c r="C7" s="8" t="inlineStr">
        <is>
          <t>영원방패+대지뿌리+서리눈물</t>
        </is>
      </c>
      <c r="D7" s="8" t="inlineStr">
        <is>
          <t>legendary</t>
        </is>
      </c>
      <c r="E7" s="8" t="inlineStr">
        <is>
          <t>DEF+40, HP+300, 피감8%, HP30%↓ 무적5초</t>
        </is>
      </c>
      <c r="F7" s="8" t="inlineStr">
        <is>
          <t>최강 방어</t>
        </is>
      </c>
    </row>
    <row r="8">
      <c r="A8" s="7" t="inlineStr">
        <is>
          <t>방어</t>
        </is>
      </c>
      <c r="B8" s="7" t="inlineStr">
        <is>
          <t>👼🛡️ 성스러운 수호자</t>
        </is>
      </c>
      <c r="C8" s="7" t="inlineStr">
        <is>
          <t>성수+천상깃털+영원방패</t>
        </is>
      </c>
      <c r="D8" s="7" t="inlineStr">
        <is>
          <t>legendary</t>
        </is>
      </c>
      <c r="E8" s="7" t="inlineStr">
        <is>
          <t>DEF+30, 힐+25%, 파티DEF+10, 사망 시 부활1회</t>
        </is>
      </c>
      <c r="F8" s="7" t="inlineStr">
        <is>
          <t>서포터</t>
        </is>
      </c>
    </row>
    <row r="9">
      <c r="A9" s="8" t="inlineStr">
        <is>
          <t>유틸</t>
        </is>
      </c>
      <c r="B9" s="8" t="inlineStr">
        <is>
          <t>👑📖 지혜의 왕관</t>
        </is>
      </c>
      <c r="C9" s="8" t="inlineStr">
        <is>
          <t>왕관+고대두루마리+진실의눈</t>
        </is>
      </c>
      <c r="D9" s="8" t="inlineStr">
        <is>
          <t>legendary</t>
        </is>
      </c>
      <c r="E9" s="8" t="inlineStr">
        <is>
          <t>EXP+30%, 골드+20%, 스킬CD-15%</t>
        </is>
      </c>
      <c r="F9" s="8" t="inlineStr">
        <is>
          <t>성장 특화</t>
        </is>
      </c>
    </row>
    <row r="10">
      <c r="A10" s="7" t="inlineStr">
        <is>
          <t>유틸</t>
        </is>
      </c>
      <c r="B10" s="7" t="inlineStr">
        <is>
          <t>🌑💃 그림자 무용수</t>
        </is>
      </c>
      <c r="C10" s="7" t="inlineStr">
        <is>
          <t>그림자진주+바람부츠+진실의눈</t>
        </is>
      </c>
      <c r="D10" s="7" t="inlineStr">
        <is>
          <t>legendary</t>
        </is>
      </c>
      <c r="E10" s="7" t="inlineStr">
        <is>
          <t>Dodge+18%, SPD+8, Crit+8%, 회피 시 투명</t>
        </is>
      </c>
      <c r="F10" s="7" t="inlineStr">
        <is>
          <t>회피 특화</t>
        </is>
      </c>
    </row>
    <row r="11">
      <c r="A11" s="8" t="inlineStr">
        <is>
          <t>원소</t>
        </is>
      </c>
      <c r="B11" s="8" t="inlineStr">
        <is>
          <t>🔥🐦 불사조의 환생</t>
        </is>
      </c>
      <c r="C11" s="8" t="inlineStr">
        <is>
          <t>불사조깃털+화염핵+성수</t>
        </is>
      </c>
      <c r="D11" s="8" t="inlineStr">
        <is>
          <t>mythic</t>
        </is>
      </c>
      <c r="E11" s="8" t="inlineStr">
        <is>
          <t>FireATK+40, Fire면역50%, 자동부활, 부활 시 폭발</t>
        </is>
      </c>
      <c r="F11" s="8" t="inlineStr">
        <is>
          <t>불사</t>
        </is>
      </c>
    </row>
    <row r="12">
      <c r="A12" s="7" t="inlineStr">
        <is>
          <t>원소</t>
        </is>
      </c>
      <c r="B12" s="7" t="inlineStr">
        <is>
          <t>❄️👑 서리 황제</t>
        </is>
      </c>
      <c r="C12" s="7" t="inlineStr">
        <is>
          <t>서리눈물+왕관+대지뿌리</t>
        </is>
      </c>
      <c r="D12" s="7" t="inlineStr">
        <is>
          <t>legendary</t>
        </is>
      </c>
      <c r="E12" s="7" t="inlineStr">
        <is>
          <t>DEF+25, HP+200, 8% 빙결, 주변 속도-20%</t>
        </is>
      </c>
      <c r="F12" s="7" t="inlineStr">
        <is>
          <t>빙결 컨트롤</t>
        </is>
      </c>
    </row>
    <row r="13">
      <c r="A13" s="8" t="inlineStr">
        <is>
          <t>히든</t>
        </is>
      </c>
      <c r="B13" s="8" t="inlineStr">
        <is>
          <t>🌟💎 태초신의 유물</t>
        </is>
      </c>
      <c r="C13" s="8" t="inlineStr">
        <is>
          <t>태초구슬+운명별+천상깃털</t>
        </is>
      </c>
      <c r="D13" s="8" t="inlineStr">
        <is>
          <t>mythic</t>
        </is>
      </c>
      <c r="E13" s="8" t="inlineStr">
        <is>
          <t>전체+20, EXP+50%, 골드+50%, 드롭+30%, 황금오라</t>
        </is>
      </c>
      <c r="F13" s="8" t="inlineStr">
        <is>
          <t>??? 히든</t>
        </is>
      </c>
    </row>
    <row r="14">
      <c r="A14" s="7" t="inlineStr">
        <is>
          <t>히든</t>
        </is>
      </c>
      <c r="B14" s="7" t="inlineStr">
        <is>
          <t>💀🔮 심연의 지배자</t>
        </is>
      </c>
      <c r="C14" s="7" t="inlineStr">
        <is>
          <t>공허파편+악마뿔+그림자진주</t>
        </is>
      </c>
      <c r="D14" s="7" t="inlineStr">
        <is>
          <t>mythic</t>
        </is>
      </c>
      <c r="E14" s="7" t="inlineStr">
        <is>
          <t>ATK+45, 흡혈15%, Dark+40%, 처치 시 ATK+30%</t>
        </is>
      </c>
      <c r="F14" s="7" t="inlineStr">
        <is>
          <t>??? 히든</t>
        </is>
      </c>
    </row>
    <row r="15">
      <c r="A15" s="8" t="inlineStr">
        <is>
          <t>설정</t>
        </is>
      </c>
      <c r="B15" s="8" t="inlineStr">
        <is>
          <t>최대 장착</t>
        </is>
      </c>
      <c r="C15" s="8" t="inlineStr">
        <is>
          <t>2개</t>
        </is>
      </c>
      <c r="D15" s="8" t="inlineStr">
        <is>
          <t>동시 장착 가능</t>
        </is>
      </c>
      <c r="E15" s="8" t="inlineStr">
        <is>
          <t>-</t>
        </is>
      </c>
      <c r="F15" s="8" t="inlineStr">
        <is>
          <t>인벤토리에 보관</t>
        </is>
      </c>
    </row>
    <row r="16">
      <c r="A16" s="7" t="inlineStr">
        <is>
          <t>설정</t>
        </is>
      </c>
      <c r="B16" s="7" t="inlineStr">
        <is>
          <t>유물 풀</t>
        </is>
      </c>
      <c r="C16" s="7" t="inlineStr">
        <is>
          <t>20종</t>
        </is>
      </c>
      <c r="D16" s="7" t="inlineStr">
        <is>
          <t>기존10 + 신규10</t>
        </is>
      </c>
      <c r="E16" s="7" t="inlineStr">
        <is>
          <t>rare~mythic</t>
        </is>
      </c>
      <c r="F16" s="7" t="inlineStr">
        <is>
          <t>조합 재료</t>
        </is>
      </c>
    </row>
    <row r="17">
      <c r="A17" s="8" t="inlineStr">
        <is>
          <t>설정</t>
        </is>
      </c>
      <c r="B17" s="8" t="inlineStr">
        <is>
          <t>레시피</t>
        </is>
      </c>
      <c r="C17" s="8" t="inlineStr">
        <is>
          <t>11종</t>
        </is>
      </c>
      <c r="D17" s="8" t="inlineStr">
        <is>
          <t>공개9 + 히든2</t>
        </is>
      </c>
      <c r="E17" s="8" t="inlineStr">
        <is>
          <t>발견 시 레시피북 등록</t>
        </is>
      </c>
      <c r="F17" s="8" t="inlineStr">
        <is>
          <t>히든은 직접 실험</t>
        </is>
      </c>
    </row>
  </sheetData>
  <mergeCells count="1">
    <mergeCell ref="A1:F1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36" customWidth="1" min="5" max="5"/>
    <col width="14" customWidth="1" min="6" max="6"/>
  </cols>
  <sheetData>
    <row r="1">
      <c r="A1" s="5" t="inlineStr">
        <is>
          <t>스킬 웨이브 시스템 (v2.26)</t>
        </is>
      </c>
    </row>
    <row r="3">
      <c r="A3" s="6" t="inlineStr">
        <is>
          <t>계열</t>
        </is>
      </c>
      <c r="B3" s="6" t="inlineStr">
        <is>
          <t>이름</t>
        </is>
      </c>
      <c r="C3" s="6" t="inlineStr">
        <is>
          <t>조합 (순서대로)</t>
        </is>
      </c>
      <c r="D3" s="6" t="inlineStr">
        <is>
          <t>등급</t>
        </is>
      </c>
      <c r="E3" s="6" t="inlineStr">
        <is>
          <t>효과</t>
        </is>
      </c>
      <c r="F3" s="6" t="inlineStr">
        <is>
          <t>비고</t>
        </is>
      </c>
    </row>
    <row r="4">
      <c r="A4" s="7" t="inlineStr">
        <is>
          <t>공격</t>
        </is>
      </c>
      <c r="B4" s="7" t="inlineStr">
        <is>
          <t>🔥🌪️ 인페르노 스톰</t>
        </is>
      </c>
      <c r="C4" s="7" t="inlineStr">
        <is>
          <t>파이어볼→메테오→파이어볼</t>
        </is>
      </c>
      <c r="D4" s="7" t="inlineStr">
        <is>
          <t>epic</t>
        </is>
      </c>
      <c r="E4" s="7" t="inlineStr">
        <is>
          <t>범위8 ATK×3.5 + 화상5초</t>
        </is>
      </c>
      <c r="F4" s="7" t="inlineStr">
        <is>
          <t>CD 60초</t>
        </is>
      </c>
    </row>
    <row r="5">
      <c r="A5" s="8" t="inlineStr">
        <is>
          <t>공격</t>
        </is>
      </c>
      <c r="B5" s="8" t="inlineStr">
        <is>
          <t>🗡️💀 그림자 난무</t>
        </is>
      </c>
      <c r="C5" s="8" t="inlineStr">
        <is>
          <t>쉐도우×3</t>
        </is>
      </c>
      <c r="D5" s="8" t="inlineStr">
        <is>
          <t>epic</t>
        </is>
      </c>
      <c r="E5" s="8" t="inlineStr">
        <is>
          <t>7연타 ATK×0.8 + 전부 크리</t>
        </is>
      </c>
      <c r="F5" s="8" t="inlineStr">
        <is>
          <t>CD 45초</t>
        </is>
      </c>
    </row>
    <row r="6">
      <c r="A6" s="7" t="inlineStr">
        <is>
          <t>공격</t>
        </is>
      </c>
      <c r="B6" s="7" t="inlineStr">
        <is>
          <t>✨⚡ 성스러운 심판</t>
        </is>
      </c>
      <c r="C6" s="7" t="inlineStr">
        <is>
          <t>홀리×2→파워</t>
        </is>
      </c>
      <c r="D6" s="7" t="inlineStr">
        <is>
          <t>epic</t>
        </is>
      </c>
      <c r="E6" s="7" t="inlineStr">
        <is>
          <t>범위10 ATK×2.5 + 힐30%</t>
        </is>
      </c>
      <c r="F6" s="7" t="inlineStr">
        <is>
          <t>CD 75초</t>
        </is>
      </c>
    </row>
    <row r="7">
      <c r="A7" s="8" t="inlineStr">
        <is>
          <t>공격</t>
        </is>
      </c>
      <c r="B7" s="8" t="inlineStr">
        <is>
          <t>😡⚔️ 광전사의 분노</t>
        </is>
      </c>
      <c r="C7" s="8" t="inlineStr">
        <is>
          <t>분노→파워→파워</t>
        </is>
      </c>
      <c r="D7" s="8" t="inlineStr">
        <is>
          <t>rare</t>
        </is>
      </c>
      <c r="E7" s="8" t="inlineStr">
        <is>
          <t>15초 ATK 2배, DEF 절반</t>
        </is>
      </c>
      <c r="F7" s="8" t="inlineStr">
        <is>
          <t>CD 90초</t>
        </is>
      </c>
    </row>
    <row r="8">
      <c r="A8" s="7" t="inlineStr">
        <is>
          <t>방어</t>
        </is>
      </c>
      <c r="B8" s="7" t="inlineStr">
        <is>
          <t>🛡️🏰 철벽 요새</t>
        </is>
      </c>
      <c r="C8" s="7" t="inlineStr">
        <is>
          <t>실드배쉬→대지방패→실드</t>
        </is>
      </c>
      <c r="D8" s="7" t="inlineStr">
        <is>
          <t>epic</t>
        </is>
      </c>
      <c r="E8" s="7" t="inlineStr">
        <is>
          <t>파티 피감60% + 반사20% 10초</t>
        </is>
      </c>
      <c r="F8" s="7" t="inlineStr">
        <is>
          <t>CD 120초</t>
        </is>
      </c>
    </row>
    <row r="9">
      <c r="A9" s="8" t="inlineStr">
        <is>
          <t>방어</t>
        </is>
      </c>
      <c r="B9" s="8" t="inlineStr">
        <is>
          <t>✨🛡️ 신성한 보호막</t>
        </is>
      </c>
      <c r="C9" s="8" t="inlineStr">
        <is>
          <t>홀리→힐→대지방패</t>
        </is>
      </c>
      <c r="D9" s="8" t="inlineStr">
        <is>
          <t>epic</t>
        </is>
      </c>
      <c r="E9" s="8" t="inlineStr">
        <is>
          <t>파티 보호막 + 초당3% 회복 8초</t>
        </is>
      </c>
      <c r="F9" s="8" t="inlineStr">
        <is>
          <t>CD 100초</t>
        </is>
      </c>
    </row>
    <row r="10">
      <c r="A10" s="7" t="inlineStr">
        <is>
          <t>유틸</t>
        </is>
      </c>
      <c r="B10" s="7" t="inlineStr">
        <is>
          <t>💨💨 질풍 질주</t>
        </is>
      </c>
      <c r="C10" s="7" t="inlineStr">
        <is>
          <t>회피×3</t>
        </is>
      </c>
      <c r="D10" s="7" t="inlineStr">
        <is>
          <t>rare</t>
        </is>
      </c>
      <c r="E10" s="7" t="inlineStr">
        <is>
          <t>10초 속도3배 + 회피50% + 2초무적</t>
        </is>
      </c>
      <c r="F10" s="7" t="inlineStr">
        <is>
          <t>CD 60초</t>
        </is>
      </c>
    </row>
    <row r="11">
      <c r="A11" s="8" t="inlineStr">
        <is>
          <t>유틸</t>
        </is>
      </c>
      <c r="B11" s="8" t="inlineStr">
        <is>
          <t>🌿🌸 자연의 기적</t>
        </is>
      </c>
      <c r="C11" s="8" t="inlineStr">
        <is>
          <t>자연축복→힐→자연축복</t>
        </is>
      </c>
      <c r="D11" s="8" t="inlineStr">
        <is>
          <t>epic</t>
        </is>
      </c>
      <c r="E11" s="8" t="inlineStr">
        <is>
          <t>파티 HP50% + 디버프해제 + 20초리젠</t>
        </is>
      </c>
      <c r="F11" s="8" t="inlineStr">
        <is>
          <t>CD 120초</t>
        </is>
      </c>
    </row>
    <row r="12">
      <c r="A12" s="7" t="inlineStr">
        <is>
          <t>연쇄</t>
        </is>
      </c>
      <c r="B12" s="7" t="inlineStr">
        <is>
          <t>🔥🗡️ 혼돈의 연쇄</t>
        </is>
      </c>
      <c r="C12" s="7" t="inlineStr">
        <is>
          <t>파이어볼→쉐도우→메테오</t>
        </is>
      </c>
      <c r="D12" s="7" t="inlineStr">
        <is>
          <t>legendary</t>
        </is>
      </c>
      <c r="E12" s="7" t="inlineStr">
        <is>
          <t>5연쇄 폭발 ATK×2 + 8초 혼란</t>
        </is>
      </c>
      <c r="F12" s="7" t="inlineStr">
        <is>
          <t>CD 90초</t>
        </is>
      </c>
    </row>
    <row r="13">
      <c r="A13" s="8" t="inlineStr">
        <is>
          <t>연쇄</t>
        </is>
      </c>
      <c r="B13" s="8" t="inlineStr">
        <is>
          <t>🔥💧🌪️ 원소 융합</t>
        </is>
      </c>
      <c r="C13" s="8" t="inlineStr">
        <is>
          <t>파이어볼→힐→회피</t>
        </is>
      </c>
      <c r="D13" s="8" t="inlineStr">
        <is>
          <t>legendary</t>
        </is>
      </c>
      <c r="E13" s="8" t="inlineStr">
        <is>
          <t>범위12 ATK×4 + 원소저항무시</t>
        </is>
      </c>
      <c r="F13" s="8" t="inlineStr">
        <is>
          <t>CD 120초</t>
        </is>
      </c>
    </row>
    <row r="14">
      <c r="A14" s="7" t="inlineStr">
        <is>
          <t>히든</t>
        </is>
      </c>
      <c r="B14" s="7" t="inlineStr">
        <is>
          <t>👑😈 마왕의 강림</t>
        </is>
      </c>
      <c r="C14" s="7" t="inlineStr">
        <is>
          <t>악마계약→쉐도우→분노</t>
        </is>
      </c>
      <c r="D14" s="7" t="inlineStr">
        <is>
          <t>mythic</t>
        </is>
      </c>
      <c r="E14" s="7" t="inlineStr">
        <is>
          <t>20초 마왕 변신! ATK3배+흡혈25%+DPS오라</t>
        </is>
      </c>
      <c r="F14" s="7" t="inlineStr">
        <is>
          <t>CD 180초 (???)</t>
        </is>
      </c>
    </row>
    <row r="15">
      <c r="A15" s="8" t="inlineStr">
        <is>
          <t>히든</t>
        </is>
      </c>
      <c r="B15" s="8" t="inlineStr">
        <is>
          <t>⚔️🌟 신살자</t>
        </is>
      </c>
      <c r="C15" s="8" t="inlineStr">
        <is>
          <t>인간의지→파워→메테오</t>
        </is>
      </c>
      <c r="D15" s="8" t="inlineStr">
        <is>
          <t>mythic</t>
        </is>
      </c>
      <c r="E15" s="8" t="inlineStr">
        <is>
          <t>방어무시 ATK×10 + HP30%↓ 즉사</t>
        </is>
      </c>
      <c r="F15" s="8" t="inlineStr">
        <is>
          <t>CD 300초 (???)</t>
        </is>
      </c>
    </row>
    <row r="16">
      <c r="A16" s="7" t="inlineStr">
        <is>
          <t>시스템</t>
        </is>
      </c>
      <c r="B16" s="7" t="inlineStr">
        <is>
          <t>스킬 기록</t>
        </is>
      </c>
      <c r="C16" s="7" t="inlineStr">
        <is>
          <t>최근 3개</t>
        </is>
      </c>
      <c r="D16" s="7" t="inlineStr">
        <is>
          <t>순서 중요</t>
        </is>
      </c>
      <c r="E16" s="7" t="inlineStr">
        <is>
          <t>매칭 시 자동 발동</t>
        </is>
      </c>
      <c r="F16" s="7" t="inlineStr">
        <is>
          <t>연쇄 카운터</t>
        </is>
      </c>
    </row>
    <row r="17">
      <c r="A17" s="8" t="inlineStr">
        <is>
          <t>시스템</t>
        </is>
      </c>
      <c r="B17" s="8" t="inlineStr">
        <is>
          <t>연쇄 보너스</t>
        </is>
      </c>
      <c r="C17" s="8" t="inlineStr">
        <is>
          <t>3연쇄+</t>
        </is>
      </c>
      <c r="D17" s="8" t="inlineStr">
        <is>
          <t>서버 공지</t>
        </is>
      </c>
      <c r="E17" s="8" t="inlineStr">
        <is>
          <t>연속 웨이브 성공 추적</t>
        </is>
      </c>
      <c r="F17" s="8" t="inlineStr">
        <is>
          <t>리셋: 실패 시</t>
        </is>
      </c>
    </row>
  </sheetData>
  <mergeCells count="1">
    <mergeCell ref="A1:F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도전 과제 100개 (v2.27)</t>
        </is>
      </c>
    </row>
    <row r="3">
      <c r="A3" s="6" t="inlineStr">
        <is>
          <t>카테고리</t>
        </is>
      </c>
      <c r="B3" s="6" t="inlineStr">
        <is>
          <t>이름</t>
        </is>
      </c>
      <c r="C3" s="6" t="inlineStr">
        <is>
          <t>목표 (5단계)</t>
        </is>
      </c>
      <c r="D3" s="6" t="inlineStr">
        <is>
          <t>보상</t>
        </is>
      </c>
      <c r="E3" s="6" t="inlineStr">
        <is>
          <t>비고</t>
        </is>
      </c>
      <c r="F3" s="6" t="inlineStr">
        <is>
          <t>배율</t>
        </is>
      </c>
    </row>
    <row r="4">
      <c r="A4" s="7" t="inlineStr">
        <is>
          <t>전투(20)</t>
        </is>
      </c>
      <c r="B4" s="7" t="inlineStr">
        <is>
          <t>몬스터 처치</t>
        </is>
      </c>
      <c r="C4" s="7" t="inlineStr">
        <is>
          <t>1/10/100/500/2000</t>
        </is>
      </c>
      <c r="D4" s="7" t="inlineStr">
        <is>
          <t>골드+EXP</t>
        </is>
      </c>
      <c r="E4" s="7" t="inlineStr">
        <is>
          <t>5단계 (브/실/골/플/다)</t>
        </is>
      </c>
      <c r="F4" s="7" t="inlineStr">
        <is>
          <t>보상 1x~5x 배율</t>
        </is>
      </c>
    </row>
    <row r="5">
      <c r="A5" s="8" t="inlineStr">
        <is>
          <t>전투</t>
        </is>
      </c>
      <c r="B5" s="8" t="inlineStr">
        <is>
          <t>엘리트 처치</t>
        </is>
      </c>
      <c r="C5" s="8" t="inlineStr">
        <is>
          <t>1/5/20/50/200</t>
        </is>
      </c>
      <c r="D5" s="8" t="inlineStr">
        <is>
          <t>골드+다이아</t>
        </is>
      </c>
      <c r="E5" s="8" t="inlineStr"/>
      <c r="F5" s="8" t="inlineStr"/>
    </row>
    <row r="6">
      <c r="A6" s="7" t="inlineStr">
        <is>
          <t>전투</t>
        </is>
      </c>
      <c r="B6" s="7" t="inlineStr">
        <is>
          <t>보스 슬레이어</t>
        </is>
      </c>
      <c r="C6" s="7" t="inlineStr">
        <is>
          <t>1/3/10/25/50</t>
        </is>
      </c>
      <c r="D6" s="7" t="inlineStr">
        <is>
          <t>골드+다이아</t>
        </is>
      </c>
      <c r="E6" s="7" t="inlineStr"/>
      <c r="F6" s="7" t="inlineStr"/>
    </row>
    <row r="7">
      <c r="A7" s="8" t="inlineStr">
        <is>
          <t>전투</t>
        </is>
      </c>
      <c r="B7" s="8" t="inlineStr">
        <is>
          <t>월드 보스 MVP</t>
        </is>
      </c>
      <c r="C7" s="8" t="inlineStr">
        <is>
          <t>1/3/5/10/20</t>
        </is>
      </c>
      <c r="D7" s="8" t="inlineStr">
        <is>
          <t>골드+다이아</t>
        </is>
      </c>
      <c r="E7" s="8" t="inlineStr">
        <is>
          <t>최고난도</t>
        </is>
      </c>
      <c r="F7" s="8" t="inlineStr"/>
    </row>
    <row r="8">
      <c r="A8" s="7" t="inlineStr">
        <is>
          <t>전투</t>
        </is>
      </c>
      <c r="B8" s="7" t="inlineStr">
        <is>
          <t>스킬 웨이브</t>
        </is>
      </c>
      <c r="C8" s="7" t="inlineStr">
        <is>
          <t>1/10/30/50/100</t>
        </is>
      </c>
      <c r="D8" s="7" t="inlineStr">
        <is>
          <t>골드+EXP</t>
        </is>
      </c>
      <c r="E8" s="7" t="inlineStr"/>
      <c r="F8" s="7" t="inlineStr"/>
    </row>
    <row r="9">
      <c r="A9" s="8" t="inlineStr">
        <is>
          <t>성장(20)</t>
        </is>
      </c>
      <c r="B9" s="8" t="inlineStr">
        <is>
          <t>레벨 달성</t>
        </is>
      </c>
      <c r="C9" s="8" t="inlineStr">
        <is>
          <t>10/20/30/40/50</t>
        </is>
      </c>
      <c r="D9" s="8" t="inlineStr">
        <is>
          <t>골드+EXP</t>
        </is>
      </c>
      <c r="E9" s="8" t="inlineStr"/>
      <c r="F9" s="8" t="inlineStr"/>
    </row>
    <row r="10">
      <c r="A10" s="7" t="inlineStr">
        <is>
          <t>성장</t>
        </is>
      </c>
      <c r="B10" s="7" t="inlineStr">
        <is>
          <t>환생</t>
        </is>
      </c>
      <c r="C10" s="7" t="inlineStr">
        <is>
          <t>1/2/3/5/10</t>
        </is>
      </c>
      <c r="D10" s="7" t="inlineStr">
        <is>
          <t>다이아</t>
        </is>
      </c>
      <c r="E10" s="7" t="inlineStr"/>
      <c r="F10" s="7" t="inlineStr"/>
    </row>
    <row r="11">
      <c r="A11" s="8" t="inlineStr">
        <is>
          <t>성장</t>
        </is>
      </c>
      <c r="B11" s="8" t="inlineStr">
        <is>
          <t>유물 조합</t>
        </is>
      </c>
      <c r="C11" s="8" t="inlineStr">
        <is>
          <t>1/3/5/8/11</t>
        </is>
      </c>
      <c r="D11" s="8" t="inlineStr">
        <is>
          <t>골드+다이아</t>
        </is>
      </c>
      <c r="E11" s="8" t="inlineStr"/>
      <c r="F11" s="8" t="inlineStr"/>
    </row>
    <row r="12">
      <c r="A12" s="7" t="inlineStr">
        <is>
          <t>성장</t>
        </is>
      </c>
      <c r="B12" s="7" t="inlineStr">
        <is>
          <t>별자리 관측</t>
        </is>
      </c>
      <c r="C12" s="7" t="inlineStr">
        <is>
          <t>1/4/8/12/12</t>
        </is>
      </c>
      <c r="D12" s="7" t="inlineStr">
        <is>
          <t>골드+다이아</t>
        </is>
      </c>
      <c r="E12" s="7" t="inlineStr"/>
      <c r="F12" s="7" t="inlineStr"/>
    </row>
    <row r="13">
      <c r="A13" s="8" t="inlineStr">
        <is>
          <t>경제(10)</t>
        </is>
      </c>
      <c r="B13" s="8" t="inlineStr">
        <is>
          <t>골드 누적</t>
        </is>
      </c>
      <c r="C13" s="8" t="inlineStr">
        <is>
          <t>10K/100K/500K/1M/5M</t>
        </is>
      </c>
      <c r="D13" s="8" t="inlineStr">
        <is>
          <t>골드</t>
        </is>
      </c>
      <c r="E13" s="8" t="inlineStr"/>
      <c r="F13" s="8" t="inlineStr"/>
    </row>
    <row r="14">
      <c r="A14" s="7" t="inlineStr">
        <is>
          <t>경제</t>
        </is>
      </c>
      <c r="B14" s="7" t="inlineStr">
        <is>
          <t>전설 낚시</t>
        </is>
      </c>
      <c r="C14" s="7" t="inlineStr">
        <is>
          <t>1/2/3/5/10</t>
        </is>
      </c>
      <c r="D14" s="7" t="inlineStr">
        <is>
          <t>골드+다이아</t>
        </is>
      </c>
      <c r="E14" s="7" t="inlineStr">
        <is>
          <t>희귀</t>
        </is>
      </c>
      <c r="F14" s="7" t="inlineStr"/>
    </row>
    <row r="15">
      <c r="A15" s="8" t="inlineStr">
        <is>
          <t>소셜(10)</t>
        </is>
      </c>
      <c r="B15" s="8" t="inlineStr">
        <is>
          <t>혈맹 활동</t>
        </is>
      </c>
      <c r="C15" s="8" t="inlineStr">
        <is>
          <t>가입</t>
        </is>
      </c>
      <c r="D15" s="8" t="inlineStr">
        <is>
          <t>골드</t>
        </is>
      </c>
      <c r="E15" s="8" t="inlineStr"/>
      <c r="F15" s="8" t="inlineStr"/>
    </row>
    <row r="16">
      <c r="A16" s="7" t="inlineStr">
        <is>
          <t>소셜</t>
        </is>
      </c>
      <c r="B16" s="7" t="inlineStr">
        <is>
          <t>PvP 매칭</t>
        </is>
      </c>
      <c r="C16" s="7" t="inlineStr">
        <is>
          <t>1/10/30/50/100</t>
        </is>
      </c>
      <c r="D16" s="7" t="inlineStr">
        <is>
          <t>골드+다이아</t>
        </is>
      </c>
      <c r="E16" s="7" t="inlineStr"/>
      <c r="F16" s="7" t="inlineStr"/>
    </row>
    <row r="17">
      <c r="A17" s="8" t="inlineStr">
        <is>
          <t>생존(5)</t>
        </is>
      </c>
      <c r="B17" s="8" t="inlineStr">
        <is>
          <t>화산 생존</t>
        </is>
      </c>
      <c r="C17" s="8" t="inlineStr">
        <is>
          <t>60/180/300/600/1200초</t>
        </is>
      </c>
      <c r="D17" s="8" t="inlineStr">
        <is>
          <t>골드+다이아</t>
        </is>
      </c>
      <c r="E17" s="8" t="inlineStr"/>
      <c r="F17" s="8" t="inlineStr"/>
    </row>
    <row r="18">
      <c r="A18" s="7" t="inlineStr">
        <is>
          <t>수집(10)</t>
        </is>
      </c>
      <c r="B18" s="7" t="inlineStr">
        <is>
          <t>히든 발견</t>
        </is>
      </c>
      <c r="C18" s="7" t="inlineStr">
        <is>
          <t>1/3/5/8/12</t>
        </is>
      </c>
      <c r="D18" s="7" t="inlineStr">
        <is>
          <t>골드+다이아</t>
        </is>
      </c>
      <c r="E18" s="7" t="inlineStr"/>
      <c r="F18" s="7" t="inlineStr"/>
    </row>
    <row r="19">
      <c r="A19" s="8" t="inlineStr">
        <is>
          <t>마스터(10)</t>
        </is>
      </c>
      <c r="B19" s="8" t="inlineStr">
        <is>
          <t>만렙 달성</t>
        </is>
      </c>
      <c r="C19" s="8" t="inlineStr">
        <is>
          <t>50</t>
        </is>
      </c>
      <c r="D19" s="8" t="inlineStr">
        <is>
          <t>다이아 200</t>
        </is>
      </c>
      <c r="E19" s="8" t="inlineStr"/>
      <c r="F19" s="8" t="inlineStr"/>
    </row>
    <row r="20">
      <c r="A20" s="7" t="inlineStr">
        <is>
          <t>마스터</t>
        </is>
      </c>
      <c r="B20" s="7" t="inlineStr">
        <is>
          <t>그랜드마스터</t>
        </is>
      </c>
      <c r="C20" s="7" t="inlineStr">
        <is>
          <t>ELO 2500</t>
        </is>
      </c>
      <c r="D20" s="7" t="inlineStr">
        <is>
          <t>다이아 500</t>
        </is>
      </c>
      <c r="E20" s="7" t="inlineStr">
        <is>
          <t>최상위</t>
        </is>
      </c>
      <c r="F20" s="7" t="inlineStr"/>
    </row>
    <row r="21">
      <c r="A21" s="8" t="inlineStr">
        <is>
          <t>특수(15)</t>
        </is>
      </c>
      <c r="B21" s="8" t="inlineStr">
        <is>
          <t>도박 20연승</t>
        </is>
      </c>
      <c r="C21" s="8" t="inlineStr">
        <is>
          <t>주사위</t>
        </is>
      </c>
      <c r="D21" s="8" t="inlineStr">
        <is>
          <t>10K G + 100D</t>
        </is>
      </c>
      <c r="E21" s="8" t="inlineStr">
        <is>
          <t>특수 조건</t>
        </is>
      </c>
      <c r="F21" s="8" t="inlineStr"/>
    </row>
    <row r="22">
      <c r="A22" s="7" t="inlineStr">
        <is>
          <t>특수</t>
        </is>
      </c>
      <c r="B22" s="7" t="inlineStr">
        <is>
          <t>신화 낚시</t>
        </is>
      </c>
      <c r="C22" s="7" t="inlineStr">
        <is>
          <t>크라켄</t>
        </is>
      </c>
      <c r="D22" s="7" t="inlineStr">
        <is>
          <t>20K G + 200D</t>
        </is>
      </c>
      <c r="E22" s="7" t="inlineStr"/>
      <c r="F22" s="7" t="inlineStr"/>
    </row>
    <row r="23">
      <c r="A23" s="8" t="inlineStr">
        <is>
          <t>특수</t>
        </is>
      </c>
      <c r="B23" s="8" t="inlineStr">
        <is>
          <t>#100 완벽한 전설</t>
        </is>
      </c>
      <c r="C23" s="8" t="inlineStr">
        <is>
          <t>100개 전부 다이아</t>
        </is>
      </c>
      <c r="D23" s="8" t="inlineStr">
        <is>
          <t>2000D + 무지개 오라</t>
        </is>
      </c>
      <c r="E23" s="8" t="inlineStr">
        <is>
          <t>최종</t>
        </is>
      </c>
      <c r="F23" s="8" t="inlineStr"/>
    </row>
    <row r="24">
      <c r="A24" s="7" t="inlineStr">
        <is>
          <t>프로필</t>
        </is>
      </c>
      <c r="B24" s="7" t="inlineStr">
        <is>
          <t>프레임 5종</t>
        </is>
      </c>
      <c r="C24" s="7" t="inlineStr">
        <is>
          <t>10/25/50/75/100개</t>
        </is>
      </c>
      <c r="D24" s="7" t="inlineStr">
        <is>
          <t>브~레인보우</t>
        </is>
      </c>
      <c r="E24" s="7" t="inlineStr">
        <is>
          <t>장식</t>
        </is>
      </c>
      <c r="F24" s="7" t="inlineStr"/>
    </row>
    <row r="25">
      <c r="A25" s="8" t="inlineStr">
        <is>
          <t>프로필</t>
        </is>
      </c>
      <c r="B25" s="8" t="inlineStr">
        <is>
          <t>오라 3종</t>
        </is>
      </c>
      <c r="C25" s="8" t="inlineStr">
        <is>
          <t>30(전투)/30(수집)/100(전체)</t>
        </is>
      </c>
      <c r="D25" s="8" t="inlineStr">
        <is>
          <t>화염/빙결/무지개</t>
        </is>
      </c>
      <c r="E25" s="8" t="inlineStr">
        <is>
          <t>장식</t>
        </is>
      </c>
      <c r="F25" s="8" t="inlineStr"/>
    </row>
  </sheetData>
  <mergeCells count="1">
    <mergeCell ref="A1:F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22" customWidth="1" min="5" max="5"/>
    <col width="22" customWidth="1" min="6" max="6"/>
    <col width="24" customWidth="1" min="7" max="7"/>
    <col width="20" customWidth="1" min="8" max="8"/>
  </cols>
  <sheetData>
    <row r="1">
      <c r="A1" s="5" t="inlineStr">
        <is>
          <t>슈퍼 보스 (v2.28)</t>
        </is>
      </c>
    </row>
    <row r="3">
      <c r="A3" s="6" t="inlineStr">
        <is>
          <t>보스명</t>
        </is>
      </c>
      <c r="B3" s="6" t="inlineStr">
        <is>
          <t>속성</t>
        </is>
      </c>
      <c r="C3" s="6" t="inlineStr">
        <is>
          <t>HP</t>
        </is>
      </c>
      <c r="D3" s="6" t="inlineStr">
        <is>
          <t>ATK/DEF</t>
        </is>
      </c>
      <c r="E3" s="6" t="inlineStr">
        <is>
          <t>Phase 1</t>
        </is>
      </c>
      <c r="F3" s="6" t="inlineStr">
        <is>
          <t>Phase 2</t>
        </is>
      </c>
      <c r="G3" s="6" t="inlineStr">
        <is>
          <t>Phase 3</t>
        </is>
      </c>
      <c r="H3" s="6" t="inlineStr">
        <is>
          <t>MVP 보상</t>
        </is>
      </c>
    </row>
    <row r="4">
      <c r="A4" s="7" t="inlineStr">
        <is>
          <t>⏳ 크로노스</t>
        </is>
      </c>
      <c r="B4" s="7" t="inlineStr">
        <is>
          <t>void</t>
        </is>
      </c>
      <c r="C4" s="7" t="inlineStr">
        <is>
          <t>500K</t>
        </is>
      </c>
      <c r="D4" s="7" t="inlineStr">
        <is>
          <t>300/100</t>
        </is>
      </c>
      <c r="E4" s="7" t="inlineStr">
        <is>
          <t>P1: 시간 둔화 (속도-50%)</t>
        </is>
      </c>
      <c r="F4" s="7" t="inlineStr">
        <is>
          <t>P2: 시간 역행 (5명 HP 복원)</t>
        </is>
      </c>
      <c r="G4" s="7" t="inlineStr">
        <is>
          <t>P3: 시간 정지+운석500</t>
        </is>
      </c>
      <c r="H4" s="7" t="inlineStr">
        <is>
          <t>50K G, 300D, 시간 무기</t>
        </is>
      </c>
    </row>
    <row r="5">
      <c r="A5" s="8" t="inlineStr">
        <is>
          <t>🐉 이그니시아</t>
        </is>
      </c>
      <c r="B5" s="8" t="inlineStr">
        <is>
          <t>fire</t>
        </is>
      </c>
      <c r="C5" s="8" t="inlineStr">
        <is>
          <t>600K</t>
        </is>
      </c>
      <c r="D5" s="8" t="inlineStr">
        <is>
          <t>350/80</t>
        </is>
      </c>
      <c r="E5" s="8" t="inlineStr">
        <is>
          <t>P1: 불의 비 (5곳 폭격)</t>
        </is>
      </c>
      <c r="F5" s="8" t="inlineStr">
        <is>
          <t>P2: 용의 포효 (공포+DEF-30%)</t>
        </is>
      </c>
      <c r="G5" s="8" t="inlineStr">
        <is>
          <t>P3: 불멸 불꽃 (1회 풀힐!)</t>
        </is>
      </c>
      <c r="H5" s="8" t="inlineStr">
        <is>
          <t>60K G, 400D, 용 검</t>
        </is>
      </c>
    </row>
    <row r="6">
      <c r="A6" s="7" t="inlineStr">
        <is>
          <t>🕳️ 아자토스</t>
        </is>
      </c>
      <c r="B6" s="7" t="inlineStr">
        <is>
          <t>void</t>
        </is>
      </c>
      <c r="C6" s="7" t="inlineStr">
        <is>
          <t>800K</t>
        </is>
      </c>
      <c r="D6" s="7" t="inlineStr">
        <is>
          <t>400/120</t>
        </is>
      </c>
      <c r="E6" s="7" t="inlineStr">
        <is>
          <t>P1: 공허 침식 (MP 흡수)</t>
        </is>
      </c>
      <c r="F6" s="7" t="inlineStr">
        <is>
          <t>P2: 차원 붕괴 (맵 축소)</t>
        </is>
      </c>
      <c r="G6" s="7" t="inlineStr">
        <is>
          <t>P3: 현실 파괴 (HP↔MP!) ATK3배</t>
        </is>
      </c>
      <c r="H6" s="7" t="inlineStr">
        <is>
          <t>80K G, 500D, 공허 오브</t>
        </is>
      </c>
    </row>
    <row r="7">
      <c r="A7" s="8" t="inlineStr">
        <is>
          <t>설정</t>
        </is>
      </c>
      <c r="B7" s="8" t="inlineStr">
        <is>
          <t>스폰 시간</t>
        </is>
      </c>
      <c r="C7" s="8" t="inlineStr">
        <is>
          <t>6/12/18/22시</t>
        </is>
      </c>
      <c r="D7" s="8" t="inlineStr">
        <is>
          <t>5명+ 접속 시</t>
        </is>
      </c>
      <c r="E7" s="8" t="inlineStr">
        <is>
          <t>10분 제한</t>
        </is>
      </c>
      <c r="F7" s="8" t="inlineStr">
        <is>
          <t>기여도 3티어</t>
        </is>
      </c>
      <c r="G7" s="8" t="inlineStr">
        <is>
          <t>MVP 전설 장비+칭호</t>
        </is>
      </c>
    </row>
  </sheetData>
  <mergeCells count="1">
    <mergeCell ref="A1:H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>
      <c r="A1" s="5" t="inlineStr">
        <is>
          <t>전장 점령 시스템 (v2.29)</t>
        </is>
      </c>
    </row>
    <row r="3">
      <c r="A3" s="6" t="inlineStr">
        <is>
          <t>지역/설정</t>
        </is>
      </c>
      <c r="B3" s="6" t="inlineStr">
        <is>
          <t>골드/비용</t>
        </is>
      </c>
      <c r="C3" s="6" t="inlineStr">
        <is>
          <t>EXP/효과</t>
        </is>
      </c>
      <c r="D3" s="6" t="inlineStr">
        <is>
          <t>방어/경비</t>
        </is>
      </c>
      <c r="E3" s="6" t="inlineStr">
        <is>
          <t>특수</t>
        </is>
      </c>
      <c r="F3" s="6" t="inlineStr">
        <is>
          <t>비고</t>
        </is>
      </c>
    </row>
    <row r="4">
      <c r="A4" s="7" t="inlineStr">
        <is>
          <t>🏰 북부 전초</t>
        </is>
      </c>
      <c r="B4" s="7" t="inlineStr">
        <is>
          <t>100G/주기</t>
        </is>
      </c>
      <c r="C4" s="7" t="inlineStr">
        <is>
          <t>50 EXP</t>
        </is>
      </c>
      <c r="D4" s="7" t="inlineStr">
        <is>
          <t>방어 0</t>
        </is>
      </c>
      <c r="E4" s="7" t="inlineStr">
        <is>
          <t>기본 거점</t>
        </is>
      </c>
      <c r="F4" s="7" t="inlineStr">
        <is>
          <t>점령 30초</t>
        </is>
      </c>
    </row>
    <row r="5">
      <c r="A5" s="8" t="inlineStr">
        <is>
          <t>🏰 남부 전초</t>
        </is>
      </c>
      <c r="B5" s="8" t="inlineStr">
        <is>
          <t>100G/주기</t>
        </is>
      </c>
      <c r="C5" s="8" t="inlineStr">
        <is>
          <t>50 EXP</t>
        </is>
      </c>
      <c r="D5" s="8" t="inlineStr">
        <is>
          <t>방어 0</t>
        </is>
      </c>
      <c r="E5" s="8" t="inlineStr">
        <is>
          <t>기본 거점</t>
        </is>
      </c>
      <c r="F5" s="8" t="inlineStr"/>
    </row>
    <row r="6">
      <c r="A6" s="7" t="inlineStr">
        <is>
          <t>⛏️ 수정 광산</t>
        </is>
      </c>
      <c r="B6" s="7" t="inlineStr">
        <is>
          <t>200G/주기</t>
        </is>
      </c>
      <c r="C6" s="7" t="inlineStr">
        <is>
          <t>30 EXP</t>
        </is>
      </c>
      <c r="D6" s="7" t="inlineStr">
        <is>
          <t>방어 0</t>
        </is>
      </c>
      <c r="E6" s="7" t="inlineStr">
        <is>
          <t>수정 자원</t>
        </is>
      </c>
      <c r="F6" s="7" t="inlineStr"/>
    </row>
    <row r="7">
      <c r="A7" s="8" t="inlineStr">
        <is>
          <t>⛏️ 철광석 광산</t>
        </is>
      </c>
      <c r="B7" s="8" t="inlineStr">
        <is>
          <t>150G/주기</t>
        </is>
      </c>
      <c r="C7" s="8" t="inlineStr">
        <is>
          <t>40 EXP</t>
        </is>
      </c>
      <c r="D7" s="8" t="inlineStr">
        <is>
          <t>방어 0</t>
        </is>
      </c>
      <c r="E7" s="8" t="inlineStr">
        <is>
          <t>철 자원</t>
        </is>
      </c>
      <c r="F7" s="8" t="inlineStr"/>
    </row>
    <row r="8">
      <c r="A8" s="7" t="inlineStr">
        <is>
          <t>🐉 용의 요새</t>
        </is>
      </c>
      <c r="B8" s="7" t="inlineStr">
        <is>
          <t>300G/주기</t>
        </is>
      </c>
      <c r="C8" s="7" t="inlineStr">
        <is>
          <t>100 EXP</t>
        </is>
      </c>
      <c r="D8" s="7" t="inlineStr">
        <is>
          <t>방어+20</t>
        </is>
      </c>
      <c r="E8" s="7" t="inlineStr">
        <is>
          <t>핵심 거점</t>
        </is>
      </c>
      <c r="F8" s="7" t="inlineStr">
        <is>
          <t>최고 수입</t>
        </is>
      </c>
    </row>
    <row r="9">
      <c r="A9" s="8" t="inlineStr">
        <is>
          <t>🕳️ 심연 요새</t>
        </is>
      </c>
      <c r="B9" s="8" t="inlineStr">
        <is>
          <t>250G/주기</t>
        </is>
      </c>
      <c r="C9" s="8" t="inlineStr">
        <is>
          <t>80 EXP</t>
        </is>
      </c>
      <c r="D9" s="8" t="inlineStr">
        <is>
          <t>방어+15</t>
        </is>
      </c>
      <c r="E9" s="8" t="inlineStr"/>
      <c r="F9" s="8" t="inlineStr"/>
    </row>
    <row r="10">
      <c r="A10" s="7" t="inlineStr">
        <is>
          <t>🗼 마법사 탑</t>
        </is>
      </c>
      <c r="B10" s="7" t="inlineStr">
        <is>
          <t>180G/주기</t>
        </is>
      </c>
      <c r="C10" s="7" t="inlineStr">
        <is>
          <t>120 EXP</t>
        </is>
      </c>
      <c r="D10" s="7" t="inlineStr">
        <is>
          <t>방어+10</t>
        </is>
      </c>
      <c r="E10" s="7" t="inlineStr">
        <is>
          <t>EXP 특화</t>
        </is>
      </c>
      <c r="F10" s="7" t="inlineStr"/>
    </row>
    <row r="11">
      <c r="A11" s="8" t="inlineStr">
        <is>
          <t>⛩️ 고대 제단</t>
        </is>
      </c>
      <c r="B11" s="8" t="inlineStr">
        <is>
          <t>200G/주기</t>
        </is>
      </c>
      <c r="C11" s="8" t="inlineStr">
        <is>
          <t>200 EXP</t>
        </is>
      </c>
      <c r="D11" s="8" t="inlineStr">
        <is>
          <t>방어+5</t>
        </is>
      </c>
      <c r="E11" s="8" t="inlineStr">
        <is>
          <t>축복 특수</t>
        </is>
      </c>
      <c r="F11" s="8" t="inlineStr"/>
    </row>
    <row r="12">
      <c r="A12" s="7" t="inlineStr">
        <is>
          <t>강화 1단계</t>
        </is>
      </c>
      <c r="B12" s="7" t="inlineStr">
        <is>
          <t>5,000G</t>
        </is>
      </c>
      <c r="C12" s="7" t="inlineStr">
        <is>
          <t>DEF+10</t>
        </is>
      </c>
      <c r="D12" s="7" t="inlineStr">
        <is>
          <t>경비 2명</t>
        </is>
      </c>
      <c r="E12" s="7" t="inlineStr"/>
      <c r="F12" s="7" t="inlineStr"/>
    </row>
    <row r="13">
      <c r="A13" s="8" t="inlineStr">
        <is>
          <t>강화 5단계</t>
        </is>
      </c>
      <c r="B13" s="8" t="inlineStr">
        <is>
          <t>100,000G</t>
        </is>
      </c>
      <c r="C13" s="8" t="inlineStr">
        <is>
          <t>DEF+50</t>
        </is>
      </c>
      <c r="D13" s="8" t="inlineStr">
        <is>
          <t>경비 8명</t>
        </is>
      </c>
      <c r="E13" s="8" t="inlineStr">
        <is>
          <t>최대</t>
        </is>
      </c>
      <c r="F13" s="8" t="inlineStr"/>
    </row>
    <row r="14">
      <c r="A14" s="7" t="inlineStr">
        <is>
          <t>방어측 보너스</t>
        </is>
      </c>
      <c r="B14" s="7" t="inlineStr">
        <is>
          <t>1.3배</t>
        </is>
      </c>
      <c r="C14" s="7" t="inlineStr">
        <is>
          <t>전투력</t>
        </is>
      </c>
      <c r="D14" s="7" t="inlineStr"/>
      <c r="E14" s="7" t="inlineStr">
        <is>
          <t>점령 진행 감소</t>
        </is>
      </c>
      <c r="F14" s="7" t="inlineStr"/>
    </row>
    <row r="15">
      <c r="A15" s="8" t="inlineStr">
        <is>
          <t>☀️ 태양 기사단</t>
        </is>
      </c>
      <c r="B15" s="8" t="inlineStr">
        <is>
          <t>공격 특화</t>
        </is>
      </c>
      <c r="C15" s="8" t="inlineStr"/>
      <c r="D15" s="8" t="inlineStr"/>
      <c r="E15" s="8" t="inlineStr"/>
      <c r="F15" s="8" t="inlineStr"/>
    </row>
    <row r="16">
      <c r="A16" s="7" t="inlineStr">
        <is>
          <t>🌙 달빛 마법단</t>
        </is>
      </c>
      <c r="B16" s="7" t="inlineStr">
        <is>
          <t>마법 특화</t>
        </is>
      </c>
      <c r="C16" s="7" t="inlineStr"/>
      <c r="D16" s="7" t="inlineStr"/>
      <c r="E16" s="7" t="inlineStr"/>
      <c r="F16" s="7" t="inlineStr"/>
    </row>
    <row r="17">
      <c r="A17" s="8" t="inlineStr">
        <is>
          <t>⭐ 별의 수호자</t>
        </is>
      </c>
      <c r="B17" s="8" t="inlineStr">
        <is>
          <t>방어 특화</t>
        </is>
      </c>
      <c r="C17" s="8" t="inlineStr"/>
      <c r="D17" s="8" t="inlineStr"/>
      <c r="E17" s="8" t="inlineStr"/>
      <c r="F17" s="8" t="inlineStr"/>
    </row>
  </sheetData>
  <mergeCells count="1">
    <mergeCell ref="A1:F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5" t="inlineStr">
        <is>
          <t>소원 나무 시스템 (v2.30)</t>
        </is>
      </c>
    </row>
    <row r="3">
      <c r="A3" s="6" t="inlineStr">
        <is>
          <t>나무/항목</t>
        </is>
      </c>
      <c r="B3" s="6" t="inlineStr">
        <is>
          <t>타입/등급</t>
        </is>
      </c>
      <c r="C3" s="6" t="inlineStr">
        <is>
          <t>열매/효과</t>
        </is>
      </c>
      <c r="D3" s="6" t="inlineStr">
        <is>
          <t>계절/시간</t>
        </is>
      </c>
      <c r="E3" s="6" t="inlineStr">
        <is>
          <t>기타</t>
        </is>
      </c>
      <c r="F3" s="6" t="inlineStr">
        <is>
          <t>비고</t>
        </is>
      </c>
    </row>
    <row r="4">
      <c r="A4" s="7" t="inlineStr">
        <is>
          <t>🌳 세계수</t>
        </is>
      </c>
      <c r="B4" s="7" t="inlineStr">
        <is>
          <t>균형</t>
        </is>
      </c>
      <c r="C4" s="7" t="inlineStr">
        <is>
          <t>모든 열매</t>
        </is>
      </c>
      <c r="D4" s="7" t="inlineStr">
        <is>
          <t>가을 1.5배</t>
        </is>
      </c>
      <c r="E4" s="7" t="inlineStr">
        <is>
          <t>성장률 1.0</t>
        </is>
      </c>
      <c r="F4" s="7" t="inlineStr">
        <is>
          <t>범용</t>
        </is>
      </c>
    </row>
    <row r="5">
      <c r="A5" s="8" t="inlineStr">
        <is>
          <t>🔥 화염수</t>
        </is>
      </c>
      <c r="B5" s="8" t="inlineStr">
        <is>
          <t>공격</t>
        </is>
      </c>
      <c r="C5" s="8" t="inlineStr">
        <is>
          <t>ATK/크리/화염</t>
        </is>
      </c>
      <c r="D5" s="8" t="inlineStr">
        <is>
          <t>여름 1.5배</t>
        </is>
      </c>
      <c r="E5" s="8" t="inlineStr">
        <is>
          <t>성장률 0.9</t>
        </is>
      </c>
      <c r="F5" s="8" t="inlineStr">
        <is>
          <t>딜러</t>
        </is>
      </c>
    </row>
    <row r="6">
      <c r="A6" s="7" t="inlineStr">
        <is>
          <t>❄️ 서리수</t>
        </is>
      </c>
      <c r="B6" s="7" t="inlineStr">
        <is>
          <t>방어</t>
        </is>
      </c>
      <c r="C6" s="7" t="inlineStr">
        <is>
          <t>DEF/HP/빙결</t>
        </is>
      </c>
      <c r="D6" s="7" t="inlineStr">
        <is>
          <t>겨울 1.5배</t>
        </is>
      </c>
      <c r="E6" s="7" t="inlineStr">
        <is>
          <t>성장률 0.9</t>
        </is>
      </c>
      <c r="F6" s="7" t="inlineStr">
        <is>
          <t>탱커</t>
        </is>
      </c>
    </row>
    <row r="7">
      <c r="A7" s="8" t="inlineStr">
        <is>
          <t>✨ 정령수</t>
        </is>
      </c>
      <c r="B7" s="8" t="inlineStr">
        <is>
          <t>성장</t>
        </is>
      </c>
      <c r="C7" s="8" t="inlineStr">
        <is>
          <t>EXP/지혜/행운</t>
        </is>
      </c>
      <c r="D7" s="8" t="inlineStr">
        <is>
          <t>봄 1.5배</t>
        </is>
      </c>
      <c r="E7" s="8" t="inlineStr">
        <is>
          <t>성장률 1.1</t>
        </is>
      </c>
      <c r="F7" s="8" t="inlineStr">
        <is>
          <t>성장</t>
        </is>
      </c>
    </row>
    <row r="8">
      <c r="A8" s="7" t="inlineStr">
        <is>
          <t>열매(20종)</t>
        </is>
      </c>
      <c r="B8" s="7" t="inlineStr">
        <is>
          <t>common 1-2h</t>
        </is>
      </c>
      <c r="C8" s="7" t="inlineStr">
        <is>
          <t>🍊골드,🍇EXP,🍑회복</t>
        </is>
      </c>
      <c r="D8" s="7" t="inlineStr"/>
      <c r="E8" s="7" t="inlineStr"/>
      <c r="F8" s="7" t="inlineStr"/>
    </row>
    <row r="9">
      <c r="A9" s="8" t="inlineStr"/>
      <c r="B9" s="8" t="inlineStr">
        <is>
          <t>uncommon 3-4h</t>
        </is>
      </c>
      <c r="C9" s="8" t="inlineStr">
        <is>
          <t>🌶️힘,🥝수호,🍒크리,💎다이아</t>
        </is>
      </c>
      <c r="D9" s="8" t="inlineStr"/>
      <c r="E9" s="8" t="inlineStr"/>
      <c r="F9" s="8" t="inlineStr"/>
    </row>
    <row r="10">
      <c r="A10" s="7" t="inlineStr"/>
      <c r="B10" s="7" t="inlineStr">
        <is>
          <t>rare 5-6h</t>
        </is>
      </c>
      <c r="C10" s="7" t="inlineStr">
        <is>
          <t>🔥화염,🧊빙결,📖지혜,🍀행운</t>
        </is>
      </c>
      <c r="D10" s="7" t="inlineStr"/>
      <c r="E10" s="7" t="inlineStr"/>
      <c r="F10" s="7" t="inlineStr"/>
    </row>
    <row r="11">
      <c r="A11" s="8" t="inlineStr"/>
      <c r="B11" s="8" t="inlineStr">
        <is>
          <t>legendary 24h</t>
        </is>
      </c>
      <c r="C11" s="8" t="inlineStr">
        <is>
          <t>🌈무지개,☄️지옥불,💠절대영도,🌟깨달음</t>
        </is>
      </c>
      <c r="D11" s="8" t="inlineStr"/>
      <c r="E11" s="8" t="inlineStr"/>
      <c r="F11" s="8" t="inlineStr"/>
    </row>
    <row r="12">
      <c r="A12" s="7" t="inlineStr">
        <is>
          <t>성장</t>
        </is>
      </c>
      <c r="B12" s="7" t="inlineStr">
        <is>
          <t>Lv.0→10</t>
        </is>
      </c>
      <c r="C12" s="7" t="inlineStr">
        <is>
          <t>물 4시간마다</t>
        </is>
      </c>
      <c r="D12" s="7" t="inlineStr">
        <is>
          <t>슬롯 3→6</t>
        </is>
      </c>
      <c r="E12" s="7" t="inlineStr">
        <is>
          <t>Lv.8+ 전설 5%</t>
        </is>
      </c>
      <c r="F12" s="7" t="inlineStr"/>
    </row>
    <row r="13">
      <c r="A13" s="8" t="inlineStr">
        <is>
          <t>소원(500D)</t>
        </is>
      </c>
      <c r="B13" s="8" t="inlineStr">
        <is>
          <t>💰부의</t>
        </is>
      </c>
      <c r="C13" s="8" t="inlineStr">
        <is>
          <t>⚔️힘의</t>
        </is>
      </c>
      <c r="D13" s="8" t="inlineStr">
        <is>
          <t>🛡️수호의</t>
        </is>
      </c>
      <c r="E13" s="8" t="inlineStr">
        <is>
          <t>📖지혜의</t>
        </is>
      </c>
      <c r="F13" s="8" t="inlineStr">
        <is>
          <t>🌟기적(전설10%)</t>
        </is>
      </c>
    </row>
  </sheetData>
  <mergeCells count="1">
    <mergeCell ref="A1:F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6" customWidth="1" min="4" max="4"/>
    <col width="8" customWidth="1" min="5" max="5"/>
    <col width="10" customWidth="1" min="6" max="6"/>
  </cols>
  <sheetData>
    <row r="1">
      <c r="A1" s="5" t="inlineStr">
        <is>
          <t>영혼 시스템 (v2.31)</t>
        </is>
      </c>
    </row>
    <row r="3">
      <c r="A3" s="6" t="inlineStr">
        <is>
          <t>티어(드롭률)</t>
        </is>
      </c>
      <c r="B3" s="6" t="inlineStr">
        <is>
          <t>이름</t>
        </is>
      </c>
      <c r="C3" s="6" t="inlineStr">
        <is>
          <t>패시브</t>
        </is>
      </c>
      <c r="D3" s="6" t="inlineStr">
        <is>
          <t>액티브 스킬</t>
        </is>
      </c>
      <c r="E3" s="6" t="inlineStr">
        <is>
          <t>속성</t>
        </is>
      </c>
      <c r="F3" s="6" t="inlineStr">
        <is>
          <t>비고</t>
        </is>
      </c>
    </row>
    <row r="4">
      <c r="A4" s="7" t="inlineStr">
        <is>
          <t>T1(10%)</t>
        </is>
      </c>
      <c r="B4" s="7" t="inlineStr">
        <is>
          <t>🟢슬라임</t>
        </is>
      </c>
      <c r="C4" s="7" t="inlineStr">
        <is>
          <t>HP+20</t>
        </is>
      </c>
      <c r="D4" s="7" t="inlineStr">
        <is>
          <t>없음</t>
        </is>
      </c>
      <c r="E4" s="7" t="inlineStr">
        <is>
          <t>earth</t>
        </is>
      </c>
      <c r="F4" s="7" t="inlineStr">
        <is>
          <t>일반</t>
        </is>
      </c>
    </row>
    <row r="5">
      <c r="A5" s="8" t="inlineStr">
        <is>
          <t>T1</t>
        </is>
      </c>
      <c r="B5" s="8" t="inlineStr">
        <is>
          <t>🐺늑대</t>
        </is>
      </c>
      <c r="C5" s="8" t="inlineStr">
        <is>
          <t>ATK+3</t>
        </is>
      </c>
      <c r="D5" s="8" t="inlineStr">
        <is>
          <t>없음</t>
        </is>
      </c>
      <c r="E5" s="8" t="inlineStr">
        <is>
          <t>wind</t>
        </is>
      </c>
      <c r="F5" s="8" t="inlineStr"/>
    </row>
    <row r="6">
      <c r="A6" s="7" t="inlineStr">
        <is>
          <t>T1</t>
        </is>
      </c>
      <c r="B6" s="7" t="inlineStr">
        <is>
          <t>💀스켈레톤</t>
        </is>
      </c>
      <c r="C6" s="7" t="inlineStr">
        <is>
          <t>DEF+3</t>
        </is>
      </c>
      <c r="D6" s="7" t="inlineStr">
        <is>
          <t>없음</t>
        </is>
      </c>
      <c r="E6" s="7" t="inlineStr">
        <is>
          <t>dark</t>
        </is>
      </c>
      <c r="F6" s="7" t="inlineStr"/>
    </row>
    <row r="7">
      <c r="A7" s="8" t="inlineStr">
        <is>
          <t>T1</t>
        </is>
      </c>
      <c r="B7" s="8" t="inlineStr">
        <is>
          <t>👹고블린</t>
        </is>
      </c>
      <c r="C7" s="8" t="inlineStr">
        <is>
          <t>골드+3%</t>
        </is>
      </c>
      <c r="D7" s="8" t="inlineStr">
        <is>
          <t>없음</t>
        </is>
      </c>
      <c r="E7" s="8" t="inlineStr">
        <is>
          <t>earth</t>
        </is>
      </c>
      <c r="F7" s="8" t="inlineStr"/>
    </row>
    <row r="8">
      <c r="A8" s="7" t="inlineStr">
        <is>
          <t>T2(5%)</t>
        </is>
      </c>
      <c r="B8" s="7" t="inlineStr">
        <is>
          <t>🐗오크</t>
        </is>
      </c>
      <c r="C8" s="7" t="inlineStr">
        <is>
          <t>ATK+8,HP+30</t>
        </is>
      </c>
      <c r="D8" s="7" t="inlineStr">
        <is>
          <t>전사의 함성 (ATK+20% 5초)</t>
        </is>
      </c>
      <c r="E8" s="7" t="inlineStr">
        <is>
          <t>fire</t>
        </is>
      </c>
      <c r="F8" s="7" t="inlineStr">
        <is>
          <t>액티브 보유</t>
        </is>
      </c>
    </row>
    <row r="9">
      <c r="A9" s="8" t="inlineStr">
        <is>
          <t>T2</t>
        </is>
      </c>
      <c r="B9" s="8" t="inlineStr">
        <is>
          <t>🦅하피</t>
        </is>
      </c>
      <c r="C9" s="8" t="inlineStr">
        <is>
          <t>SPD+2,회피+3%</t>
        </is>
      </c>
      <c r="D9" s="8" t="inlineStr">
        <is>
          <t>질풍 비행 (속도 3배 3초)</t>
        </is>
      </c>
      <c r="E9" s="8" t="inlineStr">
        <is>
          <t>wind</t>
        </is>
      </c>
      <c r="F9" s="8" t="inlineStr"/>
    </row>
    <row r="10">
      <c r="A10" s="7" t="inlineStr">
        <is>
          <t>T2</t>
        </is>
      </c>
      <c r="B10" s="7" t="inlineStr">
        <is>
          <t>🗿골렘</t>
        </is>
      </c>
      <c r="C10" s="7" t="inlineStr">
        <is>
          <t>DEF+12,HP+50</t>
        </is>
      </c>
      <c r="D10" s="7" t="inlineStr">
        <is>
          <t>석화 (4초 무적)</t>
        </is>
      </c>
      <c r="E10" s="7" t="inlineStr">
        <is>
          <t>earth</t>
        </is>
      </c>
      <c r="F10" s="7" t="inlineStr"/>
    </row>
    <row r="11">
      <c r="A11" s="8" t="inlineStr">
        <is>
          <t>T2</t>
        </is>
      </c>
      <c r="B11" s="8" t="inlineStr">
        <is>
          <t>🧙다크메이지</t>
        </is>
      </c>
      <c r="C11" s="8" t="inlineStr">
        <is>
          <t>MP+20,EXP+5%</t>
        </is>
      </c>
      <c r="D11" s="8" t="inlineStr">
        <is>
          <t>마력 폭발 (AoE x2)</t>
        </is>
      </c>
      <c r="E11" s="8" t="inlineStr">
        <is>
          <t>dark</t>
        </is>
      </c>
      <c r="F11" s="8" t="inlineStr"/>
    </row>
    <row r="12">
      <c r="A12" s="7" t="inlineStr">
        <is>
          <t>T3(1%)</t>
        </is>
      </c>
      <c r="B12" s="7" t="inlineStr">
        <is>
          <t>🐲드래곤</t>
        </is>
      </c>
      <c r="C12" s="7" t="inlineStr">
        <is>
          <t>ATK+20,화염+15%</t>
        </is>
      </c>
      <c r="D12" s="7" t="inlineStr">
        <is>
          <t>용의 브레스 (AoE x3+화상)</t>
        </is>
      </c>
      <c r="E12" s="7" t="inlineStr">
        <is>
          <t>fire</t>
        </is>
      </c>
      <c r="F12" s="7" t="inlineStr">
        <is>
          <t>강력</t>
        </is>
      </c>
    </row>
    <row r="13">
      <c r="A13" s="8" t="inlineStr">
        <is>
          <t>T3</t>
        </is>
      </c>
      <c r="B13" s="8" t="inlineStr">
        <is>
          <t>☠️리치</t>
        </is>
      </c>
      <c r="C13" s="8" t="inlineStr">
        <is>
          <t>흡혈8%,MP+50</t>
        </is>
      </c>
      <c r="D13" s="8" t="inlineStr">
        <is>
          <t>죽음의 손길 (x5+50%흡수)</t>
        </is>
      </c>
      <c r="E13" s="8" t="inlineStr">
        <is>
          <t>dark</t>
        </is>
      </c>
      <c r="F13" s="8" t="inlineStr"/>
    </row>
    <row r="14">
      <c r="A14" s="7" t="inlineStr">
        <is>
          <t>T3</t>
        </is>
      </c>
      <c r="B14" s="7" t="inlineStr">
        <is>
          <t>🔥불사조</t>
        </is>
      </c>
      <c r="C14" s="7" t="inlineStr">
        <is>
          <t>HP+150,자동부활</t>
        </is>
      </c>
      <c r="D14" s="7" t="inlineStr">
        <is>
          <t>불사의 불꽃 (부활+폭발)</t>
        </is>
      </c>
      <c r="E14" s="7" t="inlineStr">
        <is>
          <t>fire</t>
        </is>
      </c>
      <c r="F14" s="7" t="inlineStr"/>
    </row>
    <row r="15">
      <c r="A15" s="8" t="inlineStr">
        <is>
          <t>T3</t>
        </is>
      </c>
      <c r="B15" s="8" t="inlineStr">
        <is>
          <t>🐋리바이어던</t>
        </is>
      </c>
      <c r="C15" s="8" t="inlineStr">
        <is>
          <t>DEF+25,HP+200</t>
        </is>
      </c>
      <c r="D15" s="8" t="inlineStr">
        <is>
          <t>해일 (범위 넉백+둔화)</t>
        </is>
      </c>
      <c r="E15" s="8" t="inlineStr">
        <is>
          <t>water</t>
        </is>
      </c>
      <c r="F15" s="8" t="inlineStr"/>
    </row>
    <row r="16">
      <c r="A16" s="7" t="inlineStr">
        <is>
          <t>T4(0.1%)</t>
        </is>
      </c>
      <c r="B16" s="7" t="inlineStr">
        <is>
          <t>⏳크로노스</t>
        </is>
      </c>
      <c r="C16" s="7" t="inlineStr">
        <is>
          <t>전체+8,CD-15%</t>
        </is>
      </c>
      <c r="D16" s="7" t="inlineStr">
        <is>
          <t>시간 정지 (3초!)</t>
        </is>
      </c>
      <c r="E16" s="7" t="inlineStr">
        <is>
          <t>void</t>
        </is>
      </c>
      <c r="F16" s="7" t="inlineStr">
        <is>
          <t>전설</t>
        </is>
      </c>
    </row>
    <row r="17">
      <c r="A17" s="8" t="inlineStr">
        <is>
          <t>T4</t>
        </is>
      </c>
      <c r="B17" s="8" t="inlineStr">
        <is>
          <t>🕳️아자토스</t>
        </is>
      </c>
      <c r="C17" s="8" t="inlineStr">
        <is>
          <t>ATK+30,흡혈10%</t>
        </is>
      </c>
      <c r="D17" s="8" t="inlineStr">
        <is>
          <t>공허 삼키기 (20% 즉사)</t>
        </is>
      </c>
      <c r="E17" s="8" t="inlineStr">
        <is>
          <t>void</t>
        </is>
      </c>
      <c r="F17" s="8" t="inlineStr">
        <is>
          <t>최강</t>
        </is>
      </c>
    </row>
    <row r="18">
      <c r="A18" s="7" t="inlineStr">
        <is>
          <t>합성</t>
        </is>
      </c>
      <c r="B18" s="7" t="inlineStr">
        <is>
          <t>같은 영혼 3개</t>
        </is>
      </c>
      <c r="C18" s="7" t="inlineStr">
        <is>
          <t>Lv+1 (최대 5)</t>
        </is>
      </c>
      <c r="D18" s="7" t="inlineStr">
        <is>
          <t>스탯 +30%/레벨</t>
        </is>
      </c>
      <c r="E18" s="7" t="inlineStr">
        <is>
          <t>2,000G</t>
        </is>
      </c>
      <c r="F18" s="7" t="inlineStr"/>
    </row>
    <row r="19">
      <c r="A19" s="8" t="inlineStr">
        <is>
          <t>각성</t>
        </is>
      </c>
      <c r="B19" s="8" t="inlineStr">
        <is>
          <t>T3+ 영혼</t>
        </is>
      </c>
      <c r="C19" s="8" t="inlineStr">
        <is>
          <t>스탯 2배</t>
        </is>
      </c>
      <c r="D19" s="8" t="inlineStr">
        <is>
          <t>mat_soul 10개 + 50KG</t>
        </is>
      </c>
      <c r="E19" s="8" t="inlineStr"/>
      <c r="F19" s="8" t="inlineStr"/>
    </row>
    <row r="20">
      <c r="A20" s="7" t="inlineStr">
        <is>
          <t>공명</t>
        </is>
      </c>
      <c r="B20" s="7" t="inlineStr">
        <is>
          <t>같은 속성 2+</t>
        </is>
      </c>
      <c r="C20" s="7" t="inlineStr">
        <is>
          <t>원소 보너스</t>
        </is>
      </c>
      <c r="D20" s="7" t="inlineStr">
        <is>
          <t>3속성→원소 조화</t>
        </is>
      </c>
      <c r="E20" s="7" t="inlineStr">
        <is>
          <t>T4×2→전설 공명</t>
        </is>
      </c>
      <c r="F20" s="7" t="inlineStr"/>
    </row>
  </sheetData>
  <mergeCells count="1">
    <mergeCell ref="A1:F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6" customWidth="1" min="3" max="3"/>
    <col width="24" customWidth="1" min="4" max="4"/>
    <col width="12" customWidth="1" min="5" max="5"/>
    <col width="10" customWidth="1" min="6" max="6"/>
  </cols>
  <sheetData>
    <row r="1">
      <c r="A1" s="5" t="inlineStr">
        <is>
          <t>시간 여행 던전 (v2.32)</t>
        </is>
      </c>
    </row>
    <row r="3">
      <c r="A3" s="6" t="inlineStr">
        <is>
          <t>던전</t>
        </is>
      </c>
      <c r="B3" s="6" t="inlineStr">
        <is>
          <t>요구 레벨</t>
        </is>
      </c>
      <c r="C3" s="6" t="inlineStr">
        <is>
          <t>스테이지 (1→2→3)</t>
        </is>
      </c>
      <c r="D3" s="6" t="inlineStr">
        <is>
          <t>클리어 보상</t>
        </is>
      </c>
      <c r="E3" s="6" t="inlineStr">
        <is>
          <t>파편</t>
        </is>
      </c>
      <c r="F3" s="6" t="inlineStr">
        <is>
          <t>비고</t>
        </is>
      </c>
    </row>
    <row r="4">
      <c r="A4" s="7" t="inlineStr">
        <is>
          <t>🏛️ 고대</t>
        </is>
      </c>
      <c r="B4" s="7" t="inlineStr">
        <is>
          <t>Lv.25</t>
        </is>
      </c>
      <c r="C4" s="7" t="inlineStr">
        <is>
          <t>안개+기습 → 석판 퍼즐 → 시간 파수꾼(HP 6K, 10초마다 힐10%)</t>
        </is>
      </c>
      <c r="D4" s="7" t="inlineStr">
        <is>
          <t>10K G, 50D, 고대 봉인</t>
        </is>
      </c>
      <c r="E4" s="7" t="inlineStr">
        <is>
          <t>과거 파편</t>
        </is>
      </c>
      <c r="F4" s="7" t="inlineStr">
        <is>
          <t>1시간 쿨</t>
        </is>
      </c>
    </row>
    <row r="5">
      <c r="A5" s="8" t="inlineStr">
        <is>
          <t>🏙️ 현재</t>
        </is>
      </c>
      <c r="B5" s="8" t="inlineStr">
        <is>
          <t>Lv.35</t>
        </is>
      </c>
      <c r="C5" s="8" t="inlineStr">
        <is>
          <t>컨베이어 → 원소 변환 → 시간 조율자(HP 10K, 가속 2배)</t>
        </is>
      </c>
      <c r="D5" s="8" t="inlineStr">
        <is>
          <t>18K G, 80D, 시간 톱니</t>
        </is>
      </c>
      <c r="E5" s="8" t="inlineStr">
        <is>
          <t>현재 파편</t>
        </is>
      </c>
      <c r="F5" s="8" t="inlineStr">
        <is>
          <t>1시간 쿨</t>
        </is>
      </c>
    </row>
    <row r="6">
      <c r="A6" s="7" t="inlineStr">
        <is>
          <t>🚀 미래</t>
        </is>
      </c>
      <c r="B6" s="7" t="inlineStr">
        <is>
          <t>Lv.45</t>
        </is>
      </c>
      <c r="C6" s="7" t="inlineStr">
        <is>
          <t>포탈 순간이동 → 면역 회전 → 오메가(HP 20K, 3시대 동시!)</t>
        </is>
      </c>
      <c r="D6" s="7" t="inlineStr">
        <is>
          <t>30K G, 150D, 오메가 코어</t>
        </is>
      </c>
      <c r="E6" s="7" t="inlineStr">
        <is>
          <t>미래 파편</t>
        </is>
      </c>
      <c r="F6" s="7" t="inlineStr">
        <is>
          <t>1시간 쿨</t>
        </is>
      </c>
    </row>
    <row r="7">
      <c r="A7" s="8" t="inlineStr">
        <is>
          <t>⏳🌀 역설</t>
        </is>
      </c>
      <c r="B7" s="8" t="inlineStr">
        <is>
          <t>Lv.50</t>
        </is>
      </c>
      <c r="C7" s="8" t="inlineStr">
        <is>
          <t>혼합 8마리 → 시간의 심장(HP 50K!, 즉사 존)</t>
        </is>
      </c>
      <c r="D7" s="8" t="inlineStr">
        <is>
          <t>80K G, 500D, 시간 군주 세트+칭호</t>
        </is>
      </c>
      <c r="E7" s="8" t="inlineStr">
        <is>
          <t>3파편 소모</t>
        </is>
      </c>
      <c r="F7" s="8" t="inlineStr">
        <is>
          <t>3파편 필요</t>
        </is>
      </c>
    </row>
  </sheetData>
  <mergeCells count="1">
    <mergeCell ref="A1:F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4" customWidth="1" min="4" max="4"/>
    <col width="32" customWidth="1" min="5" max="5"/>
    <col width="28" customWidth="1" min="6" max="6"/>
  </cols>
  <sheetData>
    <row r="1">
      <c r="A1" s="5" t="inlineStr">
        <is>
          <t>신화 소환수 (v2.33)</t>
        </is>
      </c>
    </row>
    <row r="3">
      <c r="A3" s="6" t="inlineStr">
        <is>
          <t>소환수/항목</t>
        </is>
      </c>
      <c r="B3" s="6" t="inlineStr">
        <is>
          <t>속성/단계</t>
        </is>
      </c>
      <c r="C3" s="6" t="inlineStr">
        <is>
          <t>출처/요구</t>
        </is>
      </c>
      <c r="D3" s="6" t="inlineStr">
        <is>
          <t>패시브/스탯</t>
        </is>
      </c>
      <c r="E3" s="6" t="inlineStr">
        <is>
          <t>스킬 1 / 스킬 2</t>
        </is>
      </c>
      <c r="F3" s="6" t="inlineStr">
        <is>
          <t>궁극기/보상</t>
        </is>
      </c>
    </row>
    <row r="4">
      <c r="A4" s="7" t="inlineStr">
        <is>
          <t>🐺 펜리르</t>
        </is>
      </c>
      <c r="B4" s="7" t="inlineStr">
        <is>
          <t>dark</t>
        </is>
      </c>
      <c r="C4" s="7" t="inlineStr">
        <is>
          <t>북유럽</t>
        </is>
      </c>
      <c r="D4" s="7" t="inlineStr">
        <is>
          <t>ATK80,크리15%,흡혈8%</t>
        </is>
      </c>
      <c r="E4" s="7" t="inlineStr">
        <is>
          <t>포식(x4+30%흡수) / 멸망의 울부짖음(AoE+공포)</t>
        </is>
      </c>
      <c r="F4" s="7" t="inlineStr">
        <is>
          <t>라그나로크 (전체x6+불사+ATK3배)</t>
        </is>
      </c>
    </row>
    <row r="5">
      <c r="A5" s="8" t="inlineStr">
        <is>
          <t>🐉 바하무트</t>
        </is>
      </c>
      <c r="B5" s="8" t="inlineStr">
        <is>
          <t>fire</t>
        </is>
      </c>
      <c r="C5" s="8" t="inlineStr">
        <is>
          <t>아라비아</t>
        </is>
      </c>
      <c r="D5" s="8" t="inlineStr">
        <is>
          <t>ATK100,화염30%,화상20%</t>
        </is>
      </c>
      <c r="E5" s="8" t="inlineStr">
        <is>
          <t>메가 플레어(범위8 x3) / 용신의 포효(버프/디버프)</t>
        </is>
      </c>
      <c r="F5" s="8" t="inlineStr">
        <is>
          <t>테라 플레어 (전체x8+화면면역)</t>
        </is>
      </c>
    </row>
    <row r="6">
      <c r="A6" s="7" t="inlineStr">
        <is>
          <t>🐋 레비아탄 신</t>
        </is>
      </c>
      <c r="B6" s="7" t="inlineStr">
        <is>
          <t>water</t>
        </is>
      </c>
      <c r="C6" s="7" t="inlineStr">
        <is>
          <t>히브리</t>
        </is>
      </c>
      <c r="D6" s="7" t="inlineStr">
        <is>
          <t>DEF70,HP3500,빙결15%</t>
        </is>
      </c>
      <c r="E6" s="7" t="inlineStr">
        <is>
          <t>심해 감옥(8초 CC) / 쓰나미(범위12 넉백)</t>
        </is>
      </c>
      <c r="F6" s="7" t="inlineStr">
        <is>
          <t>심해의 심판 (전체 5초 익사!)</t>
        </is>
      </c>
    </row>
    <row r="7">
      <c r="A7" s="8" t="inlineStr">
        <is>
          <t>👁️ 오딘</t>
        </is>
      </c>
      <c r="B7" s="8" t="inlineStr">
        <is>
          <t>light</t>
        </is>
      </c>
      <c r="C7" s="8" t="inlineStr">
        <is>
          <t>북유럽</t>
        </is>
      </c>
      <c r="D7" s="8" t="inlineStr">
        <is>
          <t>EXP25%,크리10%,CD-20%</t>
        </is>
      </c>
      <c r="E7" s="8" t="inlineStr">
        <is>
          <t>군그니르(관통x5 방무) / 지혜의 눈(전장 시야)</t>
        </is>
      </c>
      <c r="F7" s="8" t="inlineStr">
        <is>
          <t>발할라 (전사5명+파티 불사)</t>
        </is>
      </c>
    </row>
    <row r="8">
      <c r="A8" s="7" t="inlineStr">
        <is>
          <t>💀 타나토스</t>
        </is>
      </c>
      <c r="B8" s="7" t="inlineStr">
        <is>
          <t>dark</t>
        </is>
      </c>
      <c r="C8" s="7" t="inlineStr">
        <is>
          <t>그리스</t>
        </is>
      </c>
      <c r="D8" s="7" t="inlineStr">
        <is>
          <t>흡혈12%,즉사&lt;20%</t>
        </is>
      </c>
      <c r="E8" s="7" t="inlineStr">
        <is>
          <t>죽음의 낫(30%↓ 즉사) / 영혼 수확(ATK+15%)</t>
        </is>
      </c>
      <c r="F8" s="7" t="inlineStr">
        <is>
          <t>죽음의 문 (HP50%삭감+부활불가)</t>
        </is>
      </c>
    </row>
    <row r="9">
      <c r="A9" s="8" t="inlineStr">
        <is>
          <t>🌍 가이아</t>
        </is>
      </c>
      <c r="B9" s="8" t="inlineStr">
        <is>
          <t>earth</t>
        </is>
      </c>
      <c r="C9" s="8" t="inlineStr">
        <is>
          <t>그리스</t>
        </is>
      </c>
      <c r="D9" s="8" t="inlineStr">
        <is>
          <t>HP4000,힐오라3%</t>
        </is>
      </c>
      <c r="E9" s="8" t="inlineStr">
        <is>
          <t>대지의 축복(40%힐+해제) / 자연의 방벽(15초 방패)</t>
        </is>
      </c>
      <c r="F9" s="8" t="inlineStr">
        <is>
          <t>생명의 기적 (전원 부활+30초 무적!)</t>
        </is>
      </c>
    </row>
    <row r="10">
      <c r="A10" s="7" t="inlineStr">
        <is>
          <t>각성 4단계</t>
        </is>
      </c>
      <c r="B10" s="7" t="inlineStr">
        <is>
          <t>⭐일반(1x)</t>
        </is>
      </c>
      <c r="C10" s="7" t="inlineStr">
        <is>
          <t>⭐⭐각성(1.5x)</t>
        </is>
      </c>
      <c r="D10" s="7" t="inlineStr">
        <is>
          <t>⭐⭐⭐초월(2x)</t>
        </is>
      </c>
      <c r="E10" s="7" t="inlineStr">
        <is>
          <t>🌟신격화(3x)</t>
        </is>
      </c>
      <c r="F10" s="7" t="inlineStr">
        <is>
          <t>mat_soul/dragon/primal 필요</t>
        </is>
      </c>
    </row>
    <row r="11">
      <c r="A11" s="8" t="inlineStr">
        <is>
          <t>신화 보스</t>
        </is>
      </c>
      <c r="B11" s="8" t="inlineStr">
        <is>
          <t>🐍 요르문간드</t>
        </is>
      </c>
      <c r="C11" s="8" t="inlineStr">
        <is>
          <t>HP 200K</t>
        </is>
      </c>
      <c r="D11" s="8" t="inlineStr">
        <is>
          <t>펜리르+레비아탄</t>
        </is>
      </c>
      <c r="E11" s="8" t="inlineStr">
        <is>
          <t>라그나로크 세트+칭호</t>
        </is>
      </c>
      <c r="F11" s="8" t="inlineStr"/>
    </row>
    <row r="12">
      <c r="A12" s="7" t="inlineStr">
        <is>
          <t>신화 보스</t>
        </is>
      </c>
      <c r="B12" s="7" t="inlineStr">
        <is>
          <t>🐉 티아마트</t>
        </is>
      </c>
      <c r="C12" s="7" t="inlineStr">
        <is>
          <t>HP 300K</t>
        </is>
      </c>
      <c r="D12" s="7" t="inlineStr">
        <is>
          <t>바하무트+타나토스</t>
        </is>
      </c>
      <c r="E12" s="7" t="inlineStr">
        <is>
          <t>혼돈의 왕관+칭호</t>
        </is>
      </c>
      <c r="F12" s="7" t="inlineStr"/>
    </row>
  </sheetData>
  <mergeCells count="1">
    <mergeCell ref="A1:F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4" customWidth="1" min="4" max="4"/>
    <col width="14" customWidth="1" min="5" max="5"/>
    <col width="10" customWidth="1" min="6" max="6"/>
  </cols>
  <sheetData>
    <row r="1">
      <c r="A1" s="5" t="inlineStr">
        <is>
          <t>고대 유적 탐험 (v2.34)</t>
        </is>
      </c>
    </row>
    <row r="3">
      <c r="A3" s="6" t="inlineStr">
        <is>
          <t>방 타입</t>
        </is>
      </c>
      <c r="B3" s="6" t="inlineStr">
        <is>
          <t>확률/위치</t>
        </is>
      </c>
      <c r="C3" s="6" t="inlineStr">
        <is>
          <t>내용</t>
        </is>
      </c>
      <c r="D3" s="6" t="inlineStr">
        <is>
          <t>보상/효과</t>
        </is>
      </c>
      <c r="E3" s="6" t="inlineStr">
        <is>
          <t>스케일</t>
        </is>
      </c>
      <c r="F3" s="6" t="inlineStr">
        <is>
          <t>비고</t>
        </is>
      </c>
    </row>
    <row r="4">
      <c r="A4" s="7" t="inlineStr">
        <is>
          <t>⬜ 빈 방</t>
        </is>
      </c>
      <c r="B4" s="7" t="inlineStr">
        <is>
          <t>20%</t>
        </is>
      </c>
      <c r="C4" s="7" t="inlineStr">
        <is>
          <t>안전한 쉼터</t>
        </is>
      </c>
      <c r="D4" s="7" t="inlineStr">
        <is>
          <t>없음</t>
        </is>
      </c>
      <c r="E4" s="7" t="inlineStr"/>
      <c r="F4" s="7" t="inlineStr"/>
    </row>
    <row r="5">
      <c r="A5" s="8" t="inlineStr">
        <is>
          <t>👹 몬스터</t>
        </is>
      </c>
      <c r="B5" s="8" t="inlineStr">
        <is>
          <t>30%</t>
        </is>
      </c>
      <c r="C5" s="8" t="inlineStr">
        <is>
          <t>전투 (층 스케일)</t>
        </is>
      </c>
      <c r="D5" s="8" t="inlineStr">
        <is>
          <t>골드+EXP</t>
        </is>
      </c>
      <c r="E5" s="8" t="inlineStr">
        <is>
          <t>HP=300×1.15^층</t>
        </is>
      </c>
      <c r="F5" s="8" t="inlineStr"/>
    </row>
    <row r="6">
      <c r="A6" s="7" t="inlineStr">
        <is>
          <t>💰 보물</t>
        </is>
      </c>
      <c r="B6" s="7" t="inlineStr">
        <is>
          <t>12%</t>
        </is>
      </c>
      <c r="C6" s="7" t="inlineStr">
        <is>
          <t>상자 (5등급)</t>
        </is>
      </c>
      <c r="D6" s="7" t="inlineStr">
        <is>
          <t>1-4층 common ~ 30+층 legendary</t>
        </is>
      </c>
      <c r="E6" s="7" t="inlineStr"/>
      <c r="F6" s="7" t="inlineStr"/>
    </row>
    <row r="7">
      <c r="A7" s="8" t="inlineStr">
        <is>
          <t>⚠️ 함정</t>
        </is>
      </c>
      <c r="B7" s="8" t="inlineStr">
        <is>
          <t>15%</t>
        </is>
      </c>
      <c r="C7" s="8" t="inlineStr">
        <is>
          <t>독침/화염/낙석/빙결/차원/저주</t>
        </is>
      </c>
      <c r="D7" s="8" t="inlineStr">
        <is>
          <t>HP 데미지+디버프</t>
        </is>
      </c>
      <c r="E7" s="8" t="inlineStr">
        <is>
          <t>6종 랜덤</t>
        </is>
      </c>
      <c r="F7" s="8" t="inlineStr"/>
    </row>
    <row r="8">
      <c r="A8" s="7" t="inlineStr">
        <is>
          <t>🧩 퍼즐</t>
        </is>
      </c>
      <c r="B8" s="7" t="inlineStr">
        <is>
          <t>8%</t>
        </is>
      </c>
      <c r="C8" s="7" t="inlineStr">
        <is>
          <t>순서/수수께끼/기억/전투</t>
        </is>
      </c>
      <c r="D8" s="7" t="inlineStr">
        <is>
          <t>uncommon~epic 보상</t>
        </is>
      </c>
      <c r="E8" s="7" t="inlineStr">
        <is>
          <t>성공률 60%</t>
        </is>
      </c>
      <c r="F8" s="7" t="inlineStr"/>
    </row>
    <row r="9">
      <c r="A9" s="8" t="inlineStr">
        <is>
          <t>🏪 상인</t>
        </is>
      </c>
      <c r="B9" s="8" t="inlineStr">
        <is>
          <t>5%</t>
        </is>
      </c>
      <c r="C9" s="8" t="inlineStr">
        <is>
          <t>횃불/열쇠/지도/탈출</t>
        </is>
      </c>
      <c r="D9" s="8" t="inlineStr">
        <is>
          <t>골드 구매</t>
        </is>
      </c>
      <c r="E9" s="8" t="inlineStr">
        <is>
          <t>5종 상품</t>
        </is>
      </c>
      <c r="F9" s="8" t="inlineStr"/>
    </row>
    <row r="10">
      <c r="A10" s="7" t="inlineStr">
        <is>
          <t>⛩️ 제단</t>
        </is>
      </c>
      <c r="B10" s="7" t="inlineStr">
        <is>
          <t>5%</t>
        </is>
      </c>
      <c r="C10" s="7" t="inlineStr">
        <is>
          <t>힐/ATK버프/EXP버프/저주/행운/맵공개</t>
        </is>
      </c>
      <c r="D10" s="7" t="inlineStr">
        <is>
          <t>6종 랜덤</t>
        </is>
      </c>
      <c r="E10" s="7" t="inlineStr"/>
      <c r="F10" s="7" t="inlineStr"/>
    </row>
    <row r="11">
      <c r="A11" s="8" t="inlineStr">
        <is>
          <t>💀 보스</t>
        </is>
      </c>
      <c r="B11" s="8" t="inlineStr">
        <is>
          <t>매 층 1개</t>
        </is>
      </c>
      <c r="C11" s="8" t="inlineStr">
        <is>
          <t>층 수호자 (처치→출구)</t>
        </is>
      </c>
      <c r="D11" s="8" t="inlineStr">
        <is>
          <t>3000×스케일 HP</t>
        </is>
      </c>
      <c r="E11" s="8" t="inlineStr">
        <is>
          <t>층당 강해짐</t>
        </is>
      </c>
      <c r="F11" s="8" t="inlineStr"/>
    </row>
    <row r="12">
      <c r="A12" s="7" t="inlineStr">
        <is>
          <t>🔮 비밀</t>
        </is>
      </c>
      <c r="B12" s="7" t="inlineStr">
        <is>
          <t>3%</t>
        </is>
      </c>
      <c r="C12" s="7" t="inlineStr">
        <is>
          <t>고급 보물 (rare~epic)</t>
        </is>
      </c>
      <c r="D12" s="7" t="inlineStr">
        <is>
          <t>숨겨진 공간</t>
        </is>
      </c>
      <c r="E12" s="7" t="inlineStr">
        <is>
          <t>열쇠 필요 가능</t>
        </is>
      </c>
      <c r="F12" s="7" t="inlineStr"/>
    </row>
    <row r="13">
      <c r="A13" s="8" t="inlineStr">
        <is>
          <t>🚪 출구</t>
        </is>
      </c>
      <c r="B13" s="8" t="inlineStr">
        <is>
          <t>매 층 1개</t>
        </is>
      </c>
      <c r="C13" s="8" t="inlineStr">
        <is>
          <t>다음 층 (보스 처치 후)</t>
        </is>
      </c>
      <c r="D13" s="8" t="inlineStr">
        <is>
          <t>무한 깊이</t>
        </is>
      </c>
      <c r="E13" s="8" t="inlineStr"/>
      <c r="F13" s="8" t="inlineStr"/>
    </row>
    <row r="14">
      <c r="A14" s="7" t="inlineStr">
        <is>
          <t>무한 스케일</t>
        </is>
      </c>
      <c r="B14" s="7" t="inlineStr">
        <is>
          <t>방 수: 8+1.5×층</t>
        </is>
      </c>
      <c r="C14" s="7" t="inlineStr">
        <is>
          <t>몬스터: HP/ATK/DEF ×1.15^층</t>
        </is>
      </c>
      <c r="D14" s="7" t="inlineStr">
        <is>
          <t>보물: 층↑ 등급↑</t>
        </is>
      </c>
      <c r="E14" s="7" t="inlineStr"/>
      <c r="F14" s="7" t="inlineStr"/>
    </row>
  </sheetData>
  <mergeCells count="1">
    <mergeCell ref="A1:F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0" customWidth="1" min="4" max="4"/>
    <col width="28" customWidth="1" min="5" max="5"/>
    <col width="24" customWidth="1" min="6" max="6"/>
  </cols>
  <sheetData>
    <row r="1">
      <c r="A1" s="5" t="inlineStr">
        <is>
          <t>세계 보스 연대기 (v2.35)</t>
        </is>
      </c>
    </row>
    <row r="3">
      <c r="A3" s="6" t="inlineStr">
        <is>
          <t>시즌</t>
        </is>
      </c>
      <c r="B3" s="6" t="inlineStr">
        <is>
          <t>장</t>
        </is>
      </c>
      <c r="C3" s="6" t="inlineStr">
        <is>
          <t>보스</t>
        </is>
      </c>
      <c r="D3" s="6" t="inlineStr">
        <is>
          <t>HP</t>
        </is>
      </c>
      <c r="E3" s="6" t="inlineStr">
        <is>
          <t>기믹</t>
        </is>
      </c>
      <c r="F3" s="6" t="inlineStr">
        <is>
          <t>보상</t>
        </is>
      </c>
    </row>
    <row r="4">
      <c r="A4" s="7" t="inlineStr">
        <is>
          <t>⚡🔥 라그나로크</t>
        </is>
      </c>
      <c r="B4" s="7" t="inlineStr">
        <is>
          <t>제1장</t>
        </is>
      </c>
      <c r="C4" s="7" t="inlineStr">
        <is>
          <t>🧊 흐림투르스</t>
        </is>
      </c>
      <c r="D4" s="7" t="inlineStr">
        <is>
          <t>HP 150K</t>
        </is>
      </c>
      <c r="E4" s="7" t="inlineStr">
        <is>
          <t>빙결 파도 (전체 3초 빙결)</t>
        </is>
      </c>
      <c r="F4" s="7" t="inlineStr">
        <is>
          <t>8K G, 40D</t>
        </is>
      </c>
    </row>
    <row r="5">
      <c r="A5" s="8" t="inlineStr"/>
      <c r="B5" s="8" t="inlineStr">
        <is>
          <t>제2장</t>
        </is>
      </c>
      <c r="C5" s="8" t="inlineStr">
        <is>
          <t>🔥 수르트</t>
        </is>
      </c>
      <c r="D5" s="8" t="inlineStr">
        <is>
          <t>HP 250K</t>
        </is>
      </c>
      <c r="E5" s="8" t="inlineStr">
        <is>
          <t>맵 절반 화염 즉사 존</t>
        </is>
      </c>
      <c r="F5" s="8" t="inlineStr">
        <is>
          <t>15K G, 80D</t>
        </is>
      </c>
    </row>
    <row r="6">
      <c r="A6" s="7" t="inlineStr"/>
      <c r="B6" s="7" t="inlineStr">
        <is>
          <t>최종장</t>
        </is>
      </c>
      <c r="C6" s="7" t="inlineStr">
        <is>
          <t>🐍 요르문간드</t>
        </is>
      </c>
      <c r="D6" s="7" t="inlineStr">
        <is>
          <t>HP 500K</t>
        </is>
      </c>
      <c r="E6" s="7" t="inlineStr">
        <is>
          <t>해일+독+분노(ATK3배)</t>
        </is>
      </c>
      <c r="F6" s="7" t="inlineStr">
        <is>
          <t>30K G, 200D, 전설 무기+칭호</t>
        </is>
      </c>
    </row>
    <row r="7">
      <c r="A7" s="8" t="inlineStr">
        <is>
          <t>⚡🏛️ 올림포스</t>
        </is>
      </c>
      <c r="B7" s="8" t="inlineStr">
        <is>
          <t>제1장</t>
        </is>
      </c>
      <c r="C7" s="8" t="inlineStr">
        <is>
          <t>🔱 포세이돈</t>
        </is>
      </c>
      <c r="D7" s="8" t="inlineStr">
        <is>
          <t>HP 180K</t>
        </is>
      </c>
      <c r="E7" s="8" t="inlineStr">
        <is>
          <t>소용돌이 즉사</t>
        </is>
      </c>
      <c r="F7" s="8" t="inlineStr">
        <is>
          <t>10K G, 50D</t>
        </is>
      </c>
    </row>
    <row r="8">
      <c r="A8" s="7" t="inlineStr"/>
      <c r="B8" s="7" t="inlineStr">
        <is>
          <t>제2장</t>
        </is>
      </c>
      <c r="C8" s="7" t="inlineStr">
        <is>
          <t>⚔️ 아레스</t>
        </is>
      </c>
      <c r="D8" s="7" t="inlineStr">
        <is>
          <t>HP 300K</t>
        </is>
      </c>
      <c r="E8" s="7" t="inlineStr">
        <is>
          <t>전쟁 광기 (아군 PvP 강제!)</t>
        </is>
      </c>
      <c r="F8" s="7" t="inlineStr">
        <is>
          <t>18K G, 100D</t>
        </is>
      </c>
    </row>
    <row r="9">
      <c r="A9" s="8" t="inlineStr"/>
      <c r="B9" s="8" t="inlineStr">
        <is>
          <t>최종장</t>
        </is>
      </c>
      <c r="C9" s="8" t="inlineStr">
        <is>
          <t>⚡ 제우스</t>
        </is>
      </c>
      <c r="D9" s="8" t="inlineStr">
        <is>
          <t>HP 600K</t>
        </is>
      </c>
      <c r="E9" s="8" t="inlineStr">
        <is>
          <t>DPS 1위 즉사 번개!</t>
        </is>
      </c>
      <c r="F9" s="8" t="inlineStr">
        <is>
          <t>40K G, 300D, 아이기스+칭호</t>
        </is>
      </c>
    </row>
    <row r="10">
      <c r="A10" s="7" t="inlineStr">
        <is>
          <t>🐲🌸 동방</t>
        </is>
      </c>
      <c r="B10" s="7" t="inlineStr">
        <is>
          <t>제1장</t>
        </is>
      </c>
      <c r="C10" s="7" t="inlineStr">
        <is>
          <t>🦊 구미호</t>
        </is>
      </c>
      <c r="D10" s="7" t="inlineStr">
        <is>
          <t>HP 120K</t>
        </is>
      </c>
      <c r="E10" s="7" t="inlineStr">
        <is>
          <t>5명 매혹 (아군 공격!)</t>
        </is>
      </c>
      <c r="F10" s="7" t="inlineStr">
        <is>
          <t>7K G, 35D</t>
        </is>
      </c>
    </row>
    <row r="11">
      <c r="A11" s="8" t="inlineStr"/>
      <c r="B11" s="8" t="inlineStr">
        <is>
          <t>제2장</t>
        </is>
      </c>
      <c r="C11" s="8" t="inlineStr">
        <is>
          <t>🐲 용왕</t>
        </is>
      </c>
      <c r="D11" s="8" t="inlineStr">
        <is>
          <t>HP 280K</t>
        </is>
      </c>
      <c r="E11" s="8" t="inlineStr">
        <is>
          <t>맵 수중 변환 (속도-50%)</t>
        </is>
      </c>
      <c r="F11" s="8" t="inlineStr">
        <is>
          <t>16K G, 90D</t>
        </is>
      </c>
    </row>
    <row r="12">
      <c r="A12" s="7" t="inlineStr"/>
      <c r="B12" s="7" t="inlineStr">
        <is>
          <t>최종장</t>
        </is>
      </c>
      <c r="C12" s="7" t="inlineStr">
        <is>
          <t>☯️ 혼돈</t>
        </is>
      </c>
      <c r="D12" s="7" t="inlineStr">
        <is>
          <t>HP 700K</t>
        </is>
      </c>
      <c r="E12" s="7" t="inlineStr">
        <is>
          <t>속성 반전 (잘못 치면 힐!)</t>
        </is>
      </c>
      <c r="F12" s="7" t="inlineStr">
        <is>
          <t>50K G, 350D, 동방 왕관+칭호</t>
        </is>
      </c>
    </row>
    <row r="13">
      <c r="A13" s="8" t="inlineStr">
        <is>
          <t>설정</t>
        </is>
      </c>
      <c r="B13" s="8" t="inlineStr">
        <is>
          <t>3시즌 회전</t>
        </is>
      </c>
      <c r="C13" s="8" t="inlineStr">
        <is>
          <t>주간 리셋</t>
        </is>
      </c>
      <c r="D13" s="8" t="inlineStr">
        <is>
          <t>1→2→3 순차</t>
        </is>
      </c>
      <c r="E13" s="8" t="inlineStr">
        <is>
          <t>MVP 3배 보상</t>
        </is>
      </c>
      <c r="F13" s="8" t="inlineStr">
        <is>
          <t>전 서버 협동</t>
        </is>
      </c>
    </row>
  </sheetData>
  <mergeCells count="1">
    <mergeCell ref="A1:F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8" customWidth="1" min="4" max="4"/>
    <col width="5" customWidth="1" min="5" max="5"/>
    <col width="8" customWidth="1" min="6" max="6"/>
    <col width="6" customWidth="1" min="7" max="7"/>
    <col width="18" customWidth="1" min="8" max="8"/>
    <col width="10" customWidth="1" min="9" max="9"/>
    <col width="24" customWidth="1" min="10" max="10"/>
    <col width="16" customWidth="1" min="11" max="11"/>
  </cols>
  <sheetData>
    <row r="1">
      <c r="A1" s="5" t="inlineStr">
        <is>
          <t>마법 연구소 (v2.37)</t>
        </is>
      </c>
    </row>
    <row r="3">
      <c r="A3" s="6" t="inlineStr">
        <is>
          <t>연구ID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계열</t>
        </is>
      </c>
      <c r="E3" s="6" t="inlineStr">
        <is>
          <t>티어</t>
        </is>
      </c>
      <c r="F3" s="6" t="inlineStr">
        <is>
          <t>골드</t>
        </is>
      </c>
      <c r="G3" s="6" t="inlineStr">
        <is>
          <t>MP</t>
        </is>
      </c>
      <c r="H3" s="6" t="inlineStr">
        <is>
          <t>재료</t>
        </is>
      </c>
      <c r="I3" s="6" t="inlineStr">
        <is>
          <t>연구시간(초)</t>
        </is>
      </c>
      <c r="J3" s="6" t="inlineStr">
        <is>
          <t>효과</t>
        </is>
      </c>
      <c r="K3" s="6" t="inlineStr">
        <is>
          <t>선행연구</t>
        </is>
      </c>
    </row>
    <row r="4">
      <c r="A4" s="7" t="inlineStr">
        <is>
          <t>fire_mastery</t>
        </is>
      </c>
      <c r="B4" s="7" t="inlineStr">
        <is>
          <t>화염 숙련</t>
        </is>
      </c>
      <c r="C4" s="7" t="inlineStr">
        <is>
          <t>🔥</t>
        </is>
      </c>
      <c r="D4" s="7" t="inlineStr">
        <is>
          <t>화염</t>
        </is>
      </c>
      <c r="E4" s="7" t="n">
        <v>1</v>
      </c>
      <c r="F4" s="7" t="n">
        <v>5000</v>
      </c>
      <c r="G4" s="7" t="n">
        <v>50</v>
      </c>
      <c r="H4" s="7" t="inlineStr">
        <is>
          <t>-</t>
        </is>
      </c>
      <c r="I4" s="7" t="n">
        <v>1800</v>
      </c>
      <c r="J4" s="7" t="inlineStr">
        <is>
          <t>fireAtk +10%</t>
        </is>
      </c>
      <c r="K4" s="7" t="inlineStr">
        <is>
          <t>-</t>
        </is>
      </c>
    </row>
    <row r="5">
      <c r="A5" s="8" t="inlineStr">
        <is>
          <t>fireball_enhance</t>
        </is>
      </c>
      <c r="B5" s="8" t="inlineStr">
        <is>
          <t>파이어볼 강화</t>
        </is>
      </c>
      <c r="C5" s="8" t="inlineStr">
        <is>
          <t>🔥+</t>
        </is>
      </c>
      <c r="D5" s="8" t="inlineStr">
        <is>
          <t>화염</t>
        </is>
      </c>
      <c r="E5" s="8" t="n">
        <v>2</v>
      </c>
      <c r="F5" s="8" t="n">
        <v>15000</v>
      </c>
      <c r="G5" s="8" t="n">
        <v>100</v>
      </c>
      <c r="H5" s="8" t="inlineStr">
        <is>
          <t>-</t>
        </is>
      </c>
      <c r="I5" s="8" t="n">
        <v>3600</v>
      </c>
      <c r="J5" s="8" t="inlineStr">
        <is>
          <t>fireballMult +30%</t>
        </is>
      </c>
      <c r="K5" s="8" t="inlineStr">
        <is>
          <t>fire_mastery</t>
        </is>
      </c>
    </row>
    <row r="6">
      <c r="A6" s="7" t="inlineStr">
        <is>
          <t>meteor_rain</t>
        </is>
      </c>
      <c r="B6" s="7" t="inlineStr">
        <is>
          <t>메테오 레인</t>
        </is>
      </c>
      <c r="C6" s="7" t="inlineStr">
        <is>
          <t>☄️</t>
        </is>
      </c>
      <c r="D6" s="7" t="inlineStr">
        <is>
          <t>화염</t>
        </is>
      </c>
      <c r="E6" s="7" t="n">
        <v>3</v>
      </c>
      <c r="F6" s="7" t="n">
        <v>50000</v>
      </c>
      <c r="G6" s="7" t="n">
        <v>200</v>
      </c>
      <c r="H6" s="7" t="inlineStr">
        <is>
          <t>mat_dragon</t>
        </is>
      </c>
      <c r="I6" s="7" t="n">
        <v>7200</v>
      </c>
      <c r="J6" s="7" t="inlineStr">
        <is>
          <t>신규스킬: 5연속 낙하</t>
        </is>
      </c>
      <c r="K6" s="7" t="inlineStr">
        <is>
          <t>fireball_enhance</t>
        </is>
      </c>
    </row>
    <row r="7">
      <c r="A7" s="8" t="inlineStr">
        <is>
          <t>inferno_aura</t>
        </is>
      </c>
      <c r="B7" s="8" t="inlineStr">
        <is>
          <t>인페르노 오라</t>
        </is>
      </c>
      <c r="C7" s="8" t="inlineStr">
        <is>
          <t>🔥🔥</t>
        </is>
      </c>
      <c r="D7" s="8" t="inlineStr">
        <is>
          <t>화염</t>
        </is>
      </c>
      <c r="E7" s="8" t="n">
        <v>4</v>
      </c>
      <c r="F7" s="8" t="n">
        <v>100000</v>
      </c>
      <c r="G7" s="8" t="n">
        <v>300</v>
      </c>
      <c r="H7" s="8" t="inlineStr">
        <is>
          <t>relic_sun_shard</t>
        </is>
      </c>
      <c r="I7" s="8" t="n">
        <v>14400</v>
      </c>
      <c r="J7" s="8" t="inlineStr">
        <is>
          <t>상시 화염 오라 DPS 10</t>
        </is>
      </c>
      <c r="K7" s="8" t="inlineStr">
        <is>
          <t>meteor_rain</t>
        </is>
      </c>
    </row>
    <row r="8">
      <c r="A8" s="7" t="inlineStr">
        <is>
          <t>ice_mastery</t>
        </is>
      </c>
      <c r="B8" s="7" t="inlineStr">
        <is>
          <t>빙결 숙련</t>
        </is>
      </c>
      <c r="C8" s="7" t="inlineStr">
        <is>
          <t>❄️</t>
        </is>
      </c>
      <c r="D8" s="7" t="inlineStr">
        <is>
          <t>빙결</t>
        </is>
      </c>
      <c r="E8" s="7" t="n">
        <v>1</v>
      </c>
      <c r="F8" s="7" t="n">
        <v>5000</v>
      </c>
      <c r="G8" s="7" t="n">
        <v>50</v>
      </c>
      <c r="H8" s="7" t="inlineStr">
        <is>
          <t>-</t>
        </is>
      </c>
      <c r="I8" s="7" t="n">
        <v>1800</v>
      </c>
      <c r="J8" s="7" t="inlineStr">
        <is>
          <t>iceAtk +10%</t>
        </is>
      </c>
      <c r="K8" s="7" t="inlineStr">
        <is>
          <t>-</t>
        </is>
      </c>
    </row>
    <row r="9">
      <c r="A9" s="8" t="inlineStr">
        <is>
          <t>frost_armor</t>
        </is>
      </c>
      <c r="B9" s="8" t="inlineStr">
        <is>
          <t>서리 갑옷</t>
        </is>
      </c>
      <c r="C9" s="8" t="inlineStr">
        <is>
          <t>🧊</t>
        </is>
      </c>
      <c r="D9" s="8" t="inlineStr">
        <is>
          <t>빙결</t>
        </is>
      </c>
      <c r="E9" s="8" t="n">
        <v>2</v>
      </c>
      <c r="F9" s="8" t="n">
        <v>15000</v>
      </c>
      <c r="G9" s="8" t="n">
        <v>100</v>
      </c>
      <c r="H9" s="8" t="inlineStr">
        <is>
          <t>-</t>
        </is>
      </c>
      <c r="I9" s="8" t="n">
        <v>3600</v>
      </c>
      <c r="J9" s="8" t="inlineStr">
        <is>
          <t>DEF+15, 피격둔화10%</t>
        </is>
      </c>
      <c r="K9" s="8" t="inlineStr">
        <is>
          <t>ice_mastery</t>
        </is>
      </c>
    </row>
    <row r="10">
      <c r="A10" s="7" t="inlineStr">
        <is>
          <t>blizzard</t>
        </is>
      </c>
      <c r="B10" s="7" t="inlineStr">
        <is>
          <t>블리자드</t>
        </is>
      </c>
      <c r="C10" s="7" t="inlineStr">
        <is>
          <t>🌨️</t>
        </is>
      </c>
      <c r="D10" s="7" t="inlineStr">
        <is>
          <t>빙결</t>
        </is>
      </c>
      <c r="E10" s="7" t="n">
        <v>3</v>
      </c>
      <c r="F10" s="7" t="n">
        <v>50000</v>
      </c>
      <c r="G10" s="7" t="n">
        <v>200</v>
      </c>
      <c r="H10" s="7" t="inlineStr">
        <is>
          <t>relic_frost_crown</t>
        </is>
      </c>
      <c r="I10" s="7" t="n">
        <v>7200</v>
      </c>
      <c r="J10" s="7" t="inlineStr">
        <is>
          <t>범위 빙결 3초</t>
        </is>
      </c>
      <c r="K10" s="7" t="inlineStr">
        <is>
          <t>frost_armor</t>
        </is>
      </c>
    </row>
    <row r="11">
      <c r="A11" s="8" t="inlineStr">
        <is>
          <t>absolute_zero_field</t>
        </is>
      </c>
      <c r="B11" s="8" t="inlineStr">
        <is>
          <t>절대 영도 필드</t>
        </is>
      </c>
      <c r="C11" s="8" t="inlineStr">
        <is>
          <t>💠</t>
        </is>
      </c>
      <c r="D11" s="8" t="inlineStr">
        <is>
          <t>빙결</t>
        </is>
      </c>
      <c r="E11" s="8" t="n">
        <v>4</v>
      </c>
      <c r="F11" s="8" t="n">
        <v>100000</v>
      </c>
      <c r="G11" s="8" t="n">
        <v>300</v>
      </c>
      <c r="H11" s="8" t="inlineStr">
        <is>
          <t>relic_rain_crystal</t>
        </is>
      </c>
      <c r="I11" s="8" t="n">
        <v>14400</v>
      </c>
      <c r="J11" s="8" t="inlineStr">
        <is>
          <t>주변 속도-30%</t>
        </is>
      </c>
      <c r="K11" s="8" t="inlineStr">
        <is>
          <t>blizzard</t>
        </is>
      </c>
    </row>
    <row r="12">
      <c r="A12" s="7" t="inlineStr">
        <is>
          <t>thunder_mastery</t>
        </is>
      </c>
      <c r="B12" s="7" t="inlineStr">
        <is>
          <t>번개 숙련</t>
        </is>
      </c>
      <c r="C12" s="7" t="inlineStr">
        <is>
          <t>⚡</t>
        </is>
      </c>
      <c r="D12" s="7" t="inlineStr">
        <is>
          <t>번개</t>
        </is>
      </c>
      <c r="E12" s="7" t="n">
        <v>1</v>
      </c>
      <c r="F12" s="7" t="n">
        <v>5000</v>
      </c>
      <c r="G12" s="7" t="n">
        <v>50</v>
      </c>
      <c r="H12" s="7" t="inlineStr">
        <is>
          <t>-</t>
        </is>
      </c>
      <c r="I12" s="7" t="n">
        <v>1800</v>
      </c>
      <c r="J12" s="7" t="inlineStr">
        <is>
          <t>thunderAtk +10%</t>
        </is>
      </c>
      <c r="K12" s="7" t="inlineStr">
        <is>
          <t>-</t>
        </is>
      </c>
    </row>
    <row r="13">
      <c r="A13" s="8" t="inlineStr">
        <is>
          <t>chain_lightning</t>
        </is>
      </c>
      <c r="B13" s="8" t="inlineStr">
        <is>
          <t>체인 라이트닝</t>
        </is>
      </c>
      <c r="C13" s="8" t="inlineStr">
        <is>
          <t>⚡⚡</t>
        </is>
      </c>
      <c r="D13" s="8" t="inlineStr">
        <is>
          <t>번개</t>
        </is>
      </c>
      <c r="E13" s="8" t="n">
        <v>2</v>
      </c>
      <c r="F13" s="8" t="n">
        <v>15000</v>
      </c>
      <c r="G13" s="8" t="n">
        <v>100</v>
      </c>
      <c r="H13" s="8" t="inlineStr">
        <is>
          <t>-</t>
        </is>
      </c>
      <c r="I13" s="8" t="n">
        <v>3600</v>
      </c>
      <c r="J13" s="8" t="inlineStr">
        <is>
          <t>신규스킬: 연쇄 3명</t>
        </is>
      </c>
      <c r="K13" s="8" t="inlineStr">
        <is>
          <t>thunder_mastery</t>
        </is>
      </c>
    </row>
    <row r="14">
      <c r="A14" s="7" t="inlineStr">
        <is>
          <t>thunder_god</t>
        </is>
      </c>
      <c r="B14" s="7" t="inlineStr">
        <is>
          <t>뇌신의 권능</t>
        </is>
      </c>
      <c r="C14" s="7" t="inlineStr">
        <is>
          <t>🌩️</t>
        </is>
      </c>
      <c r="D14" s="7" t="inlineStr">
        <is>
          <t>번개</t>
        </is>
      </c>
      <c r="E14" s="7" t="n">
        <v>3</v>
      </c>
      <c r="F14" s="7" t="n">
        <v>50000</v>
      </c>
      <c r="G14" s="7" t="n">
        <v>200</v>
      </c>
      <c r="H14" s="7" t="inlineStr">
        <is>
          <t>relic_thunder_orb</t>
        </is>
      </c>
      <c r="I14" s="7" t="n">
        <v>7200</v>
      </c>
      <c r="J14" s="7" t="inlineStr">
        <is>
          <t>번개크리+20%, 기절15%</t>
        </is>
      </c>
      <c r="K14" s="7" t="inlineStr">
        <is>
          <t>chain_lightning</t>
        </is>
      </c>
    </row>
    <row r="15">
      <c r="A15" s="8" t="inlineStr">
        <is>
          <t>ragnarok_bolt</t>
        </is>
      </c>
      <c r="B15" s="8" t="inlineStr">
        <is>
          <t>라그나로크 볼트</t>
        </is>
      </c>
      <c r="C15" s="8" t="inlineStr">
        <is>
          <t>⚡💀</t>
        </is>
      </c>
      <c r="D15" s="8" t="inlineStr">
        <is>
          <t>번개</t>
        </is>
      </c>
      <c r="E15" s="8" t="n">
        <v>4</v>
      </c>
      <c r="F15" s="8" t="n">
        <v>100000</v>
      </c>
      <c r="G15" s="8" t="n">
        <v>300</v>
      </c>
      <c r="H15" s="8" t="inlineStr">
        <is>
          <t>relic_omega_core</t>
        </is>
      </c>
      <c r="I15" s="8" t="n">
        <v>14400</v>
      </c>
      <c r="J15" s="8" t="inlineStr">
        <is>
          <t>궁극 번개 ATKx8</t>
        </is>
      </c>
      <c r="K15" s="8" t="inlineStr">
        <is>
          <t>thunder_god</t>
        </is>
      </c>
    </row>
    <row r="16">
      <c r="A16" s="7" t="inlineStr">
        <is>
          <t>dark_mastery</t>
        </is>
      </c>
      <c r="B16" s="7" t="inlineStr">
        <is>
          <t>암흑 숙련</t>
        </is>
      </c>
      <c r="C16" s="7" t="inlineStr">
        <is>
          <t>🌑</t>
        </is>
      </c>
      <c r="D16" s="7" t="inlineStr">
        <is>
          <t>암흑</t>
        </is>
      </c>
      <c r="E16" s="7" t="n">
        <v>1</v>
      </c>
      <c r="F16" s="7" t="n">
        <v>5000</v>
      </c>
      <c r="G16" s="7" t="n">
        <v>50</v>
      </c>
      <c r="H16" s="7" t="inlineStr">
        <is>
          <t>-</t>
        </is>
      </c>
      <c r="I16" s="7" t="n">
        <v>1800</v>
      </c>
      <c r="J16" s="7" t="inlineStr">
        <is>
          <t>darkAtk +10%</t>
        </is>
      </c>
      <c r="K16" s="7" t="inlineStr">
        <is>
          <t>-</t>
        </is>
      </c>
    </row>
    <row r="17">
      <c r="A17" s="8" t="inlineStr">
        <is>
          <t>soul_drain</t>
        </is>
      </c>
      <c r="B17" s="8" t="inlineStr">
        <is>
          <t>영혼 흡수</t>
        </is>
      </c>
      <c r="C17" s="8" t="inlineStr">
        <is>
          <t>👻</t>
        </is>
      </c>
      <c r="D17" s="8" t="inlineStr">
        <is>
          <t>암흑</t>
        </is>
      </c>
      <c r="E17" s="8" t="n">
        <v>2</v>
      </c>
      <c r="F17" s="8" t="n">
        <v>15000</v>
      </c>
      <c r="G17" s="8" t="n">
        <v>100</v>
      </c>
      <c r="H17" s="8" t="inlineStr">
        <is>
          <t>-</t>
        </is>
      </c>
      <c r="I17" s="8" t="n">
        <v>3600</v>
      </c>
      <c r="J17" s="8" t="inlineStr">
        <is>
          <t>흡혈 +5%</t>
        </is>
      </c>
      <c r="K17" s="8" t="inlineStr">
        <is>
          <t>dark_mastery</t>
        </is>
      </c>
    </row>
    <row r="18">
      <c r="A18" s="7" t="inlineStr">
        <is>
          <t>shadow_realm</t>
        </is>
      </c>
      <c r="B18" s="7" t="inlineStr">
        <is>
          <t>그림자 영역</t>
        </is>
      </c>
      <c r="C18" s="7" t="inlineStr">
        <is>
          <t>🕳️</t>
        </is>
      </c>
      <c r="D18" s="7" t="inlineStr">
        <is>
          <t>암흑</t>
        </is>
      </c>
      <c r="E18" s="7" t="n">
        <v>3</v>
      </c>
      <c r="F18" s="7" t="n">
        <v>50000</v>
      </c>
      <c r="G18" s="7" t="n">
        <v>200</v>
      </c>
      <c r="H18" s="7" t="inlineStr">
        <is>
          <t>mat_soul</t>
        </is>
      </c>
      <c r="I18" s="7" t="n">
        <v>7200</v>
      </c>
      <c r="J18" s="7" t="inlineStr">
        <is>
          <t>5초 은신+ATK2배</t>
        </is>
      </c>
      <c r="K18" s="7" t="inlineStr">
        <is>
          <t>soul_drain</t>
        </is>
      </c>
    </row>
    <row r="19">
      <c r="A19" s="8" t="inlineStr">
        <is>
          <t>void_annihilation</t>
        </is>
      </c>
      <c r="B19" s="8" t="inlineStr">
        <is>
          <t>공허 소멸</t>
        </is>
      </c>
      <c r="C19" s="8" t="inlineStr">
        <is>
          <t>💀🕳️</t>
        </is>
      </c>
      <c r="D19" s="8" t="inlineStr">
        <is>
          <t>암흑</t>
        </is>
      </c>
      <c r="E19" s="8" t="n">
        <v>4</v>
      </c>
      <c r="F19" s="8" t="n">
        <v>100000</v>
      </c>
      <c r="G19" s="8" t="n">
        <v>300</v>
      </c>
      <c r="H19" s="8" t="inlineStr">
        <is>
          <t>-</t>
        </is>
      </c>
      <c r="I19" s="8" t="n">
        <v>14400</v>
      </c>
      <c r="J19" s="8" t="inlineStr">
        <is>
          <t>범위 HP 30% 삭감</t>
        </is>
      </c>
      <c r="K19" s="8" t="inlineStr">
        <is>
          <t>shadow_realm</t>
        </is>
      </c>
    </row>
    <row r="20">
      <c r="A20" s="7" t="inlineStr">
        <is>
          <t>holy_mastery</t>
        </is>
      </c>
      <c r="B20" s="7" t="inlineStr">
        <is>
          <t>성광 숙련</t>
        </is>
      </c>
      <c r="C20" s="7" t="inlineStr">
        <is>
          <t>✨</t>
        </is>
      </c>
      <c r="D20" s="7" t="inlineStr">
        <is>
          <t>성광</t>
        </is>
      </c>
      <c r="E20" s="7" t="n">
        <v>1</v>
      </c>
      <c r="F20" s="7" t="n">
        <v>5000</v>
      </c>
      <c r="G20" s="7" t="n">
        <v>50</v>
      </c>
      <c r="H20" s="7" t="inlineStr">
        <is>
          <t>-</t>
        </is>
      </c>
      <c r="I20" s="7" t="n">
        <v>1800</v>
      </c>
      <c r="J20" s="7" t="inlineStr">
        <is>
          <t>healBonus +10%</t>
        </is>
      </c>
      <c r="K20" s="7" t="inlineStr">
        <is>
          <t>-</t>
        </is>
      </c>
    </row>
    <row r="21">
      <c r="A21" s="8" t="inlineStr">
        <is>
          <t>divine_shield</t>
        </is>
      </c>
      <c r="B21" s="8" t="inlineStr">
        <is>
          <t>신성 보호막</t>
        </is>
      </c>
      <c r="C21" s="8" t="inlineStr">
        <is>
          <t>🛡️✨</t>
        </is>
      </c>
      <c r="D21" s="8" t="inlineStr">
        <is>
          <t>성광</t>
        </is>
      </c>
      <c r="E21" s="8" t="n">
        <v>2</v>
      </c>
      <c r="F21" s="8" t="n">
        <v>15000</v>
      </c>
      <c r="G21" s="8" t="n">
        <v>100</v>
      </c>
      <c r="H21" s="8" t="inlineStr">
        <is>
          <t>-</t>
        </is>
      </c>
      <c r="I21" s="8" t="n">
        <v>3600</v>
      </c>
      <c r="J21" s="8" t="inlineStr">
        <is>
          <t>5초 무적 (CD120초)</t>
        </is>
      </c>
      <c r="K21" s="8" t="inlineStr">
        <is>
          <t>holy_mastery</t>
        </is>
      </c>
    </row>
    <row r="22">
      <c r="A22" s="7" t="inlineStr">
        <is>
          <t>resurrection</t>
        </is>
      </c>
      <c r="B22" s="7" t="inlineStr">
        <is>
          <t>부활</t>
        </is>
      </c>
      <c r="C22" s="7" t="inlineStr">
        <is>
          <t>💫</t>
        </is>
      </c>
      <c r="D22" s="7" t="inlineStr">
        <is>
          <t>성광</t>
        </is>
      </c>
      <c r="E22" s="7" t="n">
        <v>3</v>
      </c>
      <c r="F22" s="7" t="n">
        <v>50000</v>
      </c>
      <c r="G22" s="7" t="n">
        <v>200</v>
      </c>
      <c r="H22" s="7" t="inlineStr">
        <is>
          <t>-</t>
        </is>
      </c>
      <c r="I22" s="7" t="n">
        <v>7200</v>
      </c>
      <c r="J22" s="7" t="inlineStr">
        <is>
          <t>아군 1명 즉시 부활</t>
        </is>
      </c>
      <c r="K22" s="7" t="inlineStr">
        <is>
          <t>divine_shield</t>
        </is>
      </c>
    </row>
    <row r="23">
      <c r="A23" s="8" t="inlineStr">
        <is>
          <t>judgment_light</t>
        </is>
      </c>
      <c r="B23" s="8" t="inlineStr">
        <is>
          <t>심판의 빛</t>
        </is>
      </c>
      <c r="C23" s="8" t="inlineStr">
        <is>
          <t>🌟⚔️</t>
        </is>
      </c>
      <c r="D23" s="8" t="inlineStr">
        <is>
          <t>성광</t>
        </is>
      </c>
      <c r="E23" s="8" t="n">
        <v>4</v>
      </c>
      <c r="F23" s="8" t="n">
        <v>100000</v>
      </c>
      <c r="G23" s="8" t="n">
        <v>300</v>
      </c>
      <c r="H23" s="8" t="inlineStr">
        <is>
          <t>-</t>
        </is>
      </c>
      <c r="I23" s="8" t="n">
        <v>14400</v>
      </c>
      <c r="J23" s="8" t="inlineStr">
        <is>
          <t>범위 ATKx5+힐</t>
        </is>
      </c>
      <c r="K23" s="8" t="inlineStr">
        <is>
          <t>resurrection</t>
        </is>
      </c>
    </row>
    <row r="24">
      <c r="A24" s="7" t="inlineStr">
        <is>
          <t>---</t>
        </is>
      </c>
      <c r="B24" s="7" t="inlineStr">
        <is>
          <t>--- 스킬 결합 ---</t>
        </is>
      </c>
      <c r="C24" s="7" t="inlineStr"/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</row>
    <row r="25">
      <c r="A25" s="8" t="inlineStr">
        <is>
          <t>volcanic_storm</t>
        </is>
      </c>
      <c r="B25" s="8" t="inlineStr">
        <is>
          <t>화산 폭풍</t>
        </is>
      </c>
      <c r="C25" s="8" t="inlineStr">
        <is>
          <t>🌋⚡</t>
        </is>
      </c>
      <c r="D25" s="8" t="inlineStr">
        <is>
          <t>결합</t>
        </is>
      </c>
      <c r="E25" s="8" t="inlineStr">
        <is>
          <t>-</t>
        </is>
      </c>
      <c r="F25" s="8" t="inlineStr">
        <is>
          <t>-</t>
        </is>
      </c>
      <c r="G25" s="8" t="inlineStr">
        <is>
          <t>-</t>
        </is>
      </c>
      <c r="H25" s="8" t="inlineStr">
        <is>
          <t>meteor_rain+chain_lightning</t>
        </is>
      </c>
      <c r="I25" s="8" t="inlineStr">
        <is>
          <t>-</t>
        </is>
      </c>
      <c r="J25" s="8" t="inlineStr">
        <is>
          <t>범위10 x5 + 화상+기절</t>
        </is>
      </c>
      <c r="K25" s="8" t="inlineStr">
        <is>
          <t>CD 180초</t>
        </is>
      </c>
    </row>
    <row r="26">
      <c r="A26" s="7" t="inlineStr">
        <is>
          <t>frozen_inferno</t>
        </is>
      </c>
      <c r="B26" s="7" t="inlineStr">
        <is>
          <t>얼어붙은 지옥</t>
        </is>
      </c>
      <c r="C26" s="7" t="inlineStr">
        <is>
          <t>❄️🔥</t>
        </is>
      </c>
      <c r="D26" s="7" t="inlineStr">
        <is>
          <t>결합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blizzard+inferno_aura</t>
        </is>
      </c>
      <c r="I26" s="7" t="inlineStr">
        <is>
          <t>-</t>
        </is>
      </c>
      <c r="J26" s="7" t="inlineStr">
        <is>
          <t>동상+화상 동시</t>
        </is>
      </c>
      <c r="K26" s="7" t="inlineStr">
        <is>
          <t>CD 150초</t>
        </is>
      </c>
    </row>
    <row r="27">
      <c r="A27" s="8" t="inlineStr">
        <is>
          <t>shadow_lightning</t>
        </is>
      </c>
      <c r="B27" s="8" t="inlineStr">
        <is>
          <t>그림자 번개</t>
        </is>
      </c>
      <c r="C27" s="8" t="inlineStr">
        <is>
          <t>🌑⚡</t>
        </is>
      </c>
      <c r="D27" s="8" t="inlineStr">
        <is>
          <t>결합</t>
        </is>
      </c>
      <c r="E27" s="8" t="inlineStr">
        <is>
          <t>-</t>
        </is>
      </c>
      <c r="F27" s="8" t="inlineStr">
        <is>
          <t>-</t>
        </is>
      </c>
      <c r="G27" s="8" t="inlineStr">
        <is>
          <t>-</t>
        </is>
      </c>
      <c r="H27" s="8" t="inlineStr">
        <is>
          <t>shadow_realm+ragnarok_bolt</t>
        </is>
      </c>
      <c r="I27" s="8" t="inlineStr">
        <is>
          <t>-</t>
        </is>
      </c>
      <c r="J27" s="8" t="inlineStr">
        <is>
          <t>방어무시 12배</t>
        </is>
      </c>
      <c r="K27" s="8" t="inlineStr">
        <is>
          <t>CD 200초</t>
        </is>
      </c>
    </row>
    <row r="28">
      <c r="A28" s="7" t="inlineStr">
        <is>
          <t>divine_apocalypse</t>
        </is>
      </c>
      <c r="B28" s="7" t="inlineStr">
        <is>
          <t>신성한 종말</t>
        </is>
      </c>
      <c r="C28" s="7" t="inlineStr">
        <is>
          <t>✨💀</t>
        </is>
      </c>
      <c r="D28" s="7" t="inlineStr">
        <is>
          <t>결합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judgment_light+void_annihilation</t>
        </is>
      </c>
      <c r="I28" s="7" t="inlineStr">
        <is>
          <t>-</t>
        </is>
      </c>
      <c r="J28" s="7" t="inlineStr">
        <is>
          <t>적HP40%삭감+아군50%힐</t>
        </is>
      </c>
      <c r="K28" s="7" t="inlineStr">
        <is>
          <t>CD 300초</t>
        </is>
      </c>
    </row>
  </sheetData>
  <mergeCells count="1">
    <mergeCell ref="A1:K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2" customWidth="1" min="5" max="5"/>
    <col width="40" customWidth="1" min="6" max="6"/>
  </cols>
  <sheetData>
    <row r="1">
      <c r="A1" s="5" t="inlineStr">
        <is>
          <t>달빛 성역 (v2.38)</t>
        </is>
      </c>
    </row>
    <row r="3">
      <c r="A3" s="6" t="inlineStr">
        <is>
          <t>항목</t>
        </is>
      </c>
      <c r="B3" s="6" t="inlineStr">
        <is>
          <t>ID/이름</t>
        </is>
      </c>
      <c r="C3" s="6" t="inlineStr">
        <is>
          <t>아이콘</t>
        </is>
      </c>
      <c r="D3" s="6" t="inlineStr">
        <is>
          <t>티어/조건</t>
        </is>
      </c>
      <c r="E3" s="6" t="inlineStr">
        <is>
          <t>수치</t>
        </is>
      </c>
      <c r="F3" s="6" t="inlineStr">
        <is>
          <t>효과/설명</t>
        </is>
      </c>
    </row>
    <row r="4">
      <c r="A4" s="7">
        <f>== 달의 위상 (8단계, 4시간 주기) ===</f>
        <v/>
      </c>
      <c r="B4" s="7" t="inlineStr"/>
      <c r="C4" s="7" t="inlineStr"/>
      <c r="D4" s="7" t="inlineStr"/>
      <c r="E4" s="7" t="inlineStr"/>
      <c r="F4" s="7" t="inlineStr"/>
    </row>
    <row r="5">
      <c r="A5" s="8" t="inlineStr">
        <is>
          <t>위상</t>
        </is>
      </c>
      <c r="B5" s="8" t="inlineStr">
        <is>
          <t>신월 (New Moon)</t>
        </is>
      </c>
      <c r="C5" s="8" t="inlineStr">
        <is>
          <t>🌑</t>
        </is>
      </c>
      <c r="D5" s="8" t="inlineStr">
        <is>
          <t>-</t>
        </is>
      </c>
      <c r="E5" s="8" t="inlineStr">
        <is>
          <t>보상 x0.8</t>
        </is>
      </c>
      <c r="F5" s="8" t="inlineStr">
        <is>
          <t>어둠 속 달빛이 사라진 밤</t>
        </is>
      </c>
    </row>
    <row r="6">
      <c r="A6" s="7" t="inlineStr">
        <is>
          <t>위상</t>
        </is>
      </c>
      <c r="B6" s="7" t="inlineStr">
        <is>
          <t>초승달</t>
        </is>
      </c>
      <c r="C6" s="7" t="inlineStr">
        <is>
          <t>🌒</t>
        </is>
      </c>
      <c r="D6" s="7" t="inlineStr">
        <is>
          <t>-</t>
        </is>
      </c>
      <c r="E6" s="7" t="inlineStr">
        <is>
          <t>보상 x0.9</t>
        </is>
      </c>
      <c r="F6" s="7" t="inlineStr">
        <is>
          <t>특수: 암흑 데미지 +20%</t>
        </is>
      </c>
    </row>
    <row r="7">
      <c r="A7" s="8" t="inlineStr">
        <is>
          <t>위상</t>
        </is>
      </c>
      <c r="B7" s="8" t="inlineStr">
        <is>
          <t>상현달</t>
        </is>
      </c>
      <c r="C7" s="8" t="inlineStr">
        <is>
          <t>🌓</t>
        </is>
      </c>
      <c r="D7" s="8" t="inlineStr">
        <is>
          <t>-</t>
        </is>
      </c>
      <c r="E7" s="8" t="inlineStr">
        <is>
          <t>보상 x1.0</t>
        </is>
      </c>
      <c r="F7" s="8" t="inlineStr">
        <is>
          <t>반쪽 달빛</t>
        </is>
      </c>
    </row>
    <row r="8">
      <c r="A8" s="7" t="inlineStr">
        <is>
          <t>위상</t>
        </is>
      </c>
      <c r="B8" s="7" t="inlineStr">
        <is>
          <t>상현망</t>
        </is>
      </c>
      <c r="C8" s="7" t="inlineStr">
        <is>
          <t>🌔</t>
        </is>
      </c>
      <c r="D8" s="7" t="inlineStr">
        <is>
          <t>-</t>
        </is>
      </c>
      <c r="E8" s="7" t="inlineStr">
        <is>
          <t>보상 x1.1</t>
        </is>
      </c>
      <c r="F8" s="7" t="inlineStr">
        <is>
          <t>특수: EXP +30%</t>
        </is>
      </c>
    </row>
    <row r="9">
      <c r="A9" s="8" t="inlineStr">
        <is>
          <t>위상</t>
        </is>
      </c>
      <c r="B9" s="8" t="inlineStr">
        <is>
          <t>보름달 (Full Moon)</t>
        </is>
      </c>
      <c r="C9" s="8" t="inlineStr">
        <is>
          <t>🌕</t>
        </is>
      </c>
      <c r="D9" s="8" t="inlineStr">
        <is>
          <t>-</t>
        </is>
      </c>
      <c r="E9" s="8" t="inlineStr">
        <is>
          <t>보상 x1.5</t>
        </is>
      </c>
      <c r="F9" s="8" t="inlineStr">
        <is>
          <t>★ 히든 보스 등장!</t>
        </is>
      </c>
    </row>
    <row r="10">
      <c r="A10" s="7" t="inlineStr">
        <is>
          <t>위상</t>
        </is>
      </c>
      <c r="B10" s="7" t="inlineStr">
        <is>
          <t>하현망</t>
        </is>
      </c>
      <c r="C10" s="7" t="inlineStr">
        <is>
          <t>🌖</t>
        </is>
      </c>
      <c r="D10" s="7" t="inlineStr">
        <is>
          <t>-</t>
        </is>
      </c>
      <c r="E10" s="7" t="inlineStr">
        <is>
          <t>보상 x1.2</t>
        </is>
      </c>
      <c r="F10" s="7" t="inlineStr">
        <is>
          <t>특수: 드롭률 +25%</t>
        </is>
      </c>
    </row>
    <row r="11">
      <c r="A11" s="8" t="inlineStr">
        <is>
          <t>위상</t>
        </is>
      </c>
      <c r="B11" s="8" t="inlineStr">
        <is>
          <t>하현달</t>
        </is>
      </c>
      <c r="C11" s="8" t="inlineStr">
        <is>
          <t>🌗</t>
        </is>
      </c>
      <c r="D11" s="8" t="inlineStr">
        <is>
          <t>-</t>
        </is>
      </c>
      <c r="E11" s="8" t="inlineStr">
        <is>
          <t>보상 x1.0</t>
        </is>
      </c>
      <c r="F11" s="8" t="inlineStr">
        <is>
          <t>달이 반으로 갈라진 밤</t>
        </is>
      </c>
    </row>
    <row r="12">
      <c r="A12" s="7" t="inlineStr">
        <is>
          <t>위상</t>
        </is>
      </c>
      <c r="B12" s="7" t="inlineStr">
        <is>
          <t>그믐달</t>
        </is>
      </c>
      <c r="C12" s="7" t="inlineStr">
        <is>
          <t>🌘</t>
        </is>
      </c>
      <c r="D12" s="7" t="inlineStr">
        <is>
          <t>-</t>
        </is>
      </c>
      <c r="E12" s="7" t="inlineStr">
        <is>
          <t>보상 x0.9</t>
        </is>
      </c>
      <c r="F12" s="7" t="inlineStr">
        <is>
          <t>특수: 숨겨진 NPC/보물 발견</t>
        </is>
      </c>
    </row>
    <row r="13">
      <c r="A13" s="8" t="inlineStr"/>
      <c r="B13" s="8" t="inlineStr"/>
      <c r="C13" s="8" t="inlineStr"/>
      <c r="D13" s="8" t="inlineStr"/>
      <c r="E13" s="8" t="inlineStr"/>
      <c r="F13" s="8" t="inlineStr"/>
    </row>
    <row r="14">
      <c r="A14" s="7">
        <f>== 성역 층 ===</f>
        <v/>
      </c>
      <c r="B14" s="7" t="inlineStr"/>
      <c r="C14" s="7" t="inlineStr"/>
      <c r="D14" s="7" t="inlineStr"/>
      <c r="E14" s="7" t="inlineStr"/>
      <c r="F14" s="7" t="inlineStr"/>
    </row>
    <row r="15">
      <c r="A15" s="8" t="inlineStr">
        <is>
          <t>1층</t>
        </is>
      </c>
      <c r="B15" s="8" t="inlineStr">
        <is>
          <t>달빛 정원</t>
        </is>
      </c>
      <c r="C15" s="8" t="inlineStr">
        <is>
          <t>🌿🌙</t>
        </is>
      </c>
      <c r="D15" s="8" t="inlineStr">
        <is>
          <t>Lv.15+</t>
        </is>
      </c>
      <c r="E15" s="8" t="inlineStr">
        <is>
          <t>보스HP 500</t>
        </is>
      </c>
      <c r="F15" s="8" t="inlineStr">
        <is>
          <t>2,000G / 800EXP / 몬스터: 달빛 꽃요정, 은빛 나비, 야광 덩굴</t>
        </is>
      </c>
    </row>
    <row r="16">
      <c r="A16" s="7" t="inlineStr">
        <is>
          <t>2층</t>
        </is>
      </c>
      <c r="B16" s="7" t="inlineStr">
        <is>
          <t>은빛 회랑</t>
        </is>
      </c>
      <c r="C16" s="7" t="inlineStr">
        <is>
          <t>🏛️🌙</t>
        </is>
      </c>
      <c r="D16" s="7" t="inlineStr">
        <is>
          <t>Lv.25+</t>
        </is>
      </c>
      <c r="E16" s="7" t="inlineStr">
        <is>
          <t>보스HP 1,500</t>
        </is>
      </c>
      <c r="F16" s="7" t="inlineStr">
        <is>
          <t>5,000G / 2,000EXP / 몬스터: 달의 기사, 은빛 유령</t>
        </is>
      </c>
    </row>
    <row r="17">
      <c r="A17" s="8" t="inlineStr">
        <is>
          <t>3층</t>
        </is>
      </c>
      <c r="B17" s="8" t="inlineStr">
        <is>
          <t>달의 신전</t>
        </is>
      </c>
      <c r="C17" s="8" t="inlineStr">
        <is>
          <t>⛩️🌙</t>
        </is>
      </c>
      <c r="D17" s="8" t="inlineStr">
        <is>
          <t>Lv.35+</t>
        </is>
      </c>
      <c r="E17" s="8" t="inlineStr">
        <is>
          <t>보스HP 4,000</t>
        </is>
      </c>
      <c r="F17" s="8" t="inlineStr">
        <is>
          <t>12,000G / 5,000EXP / 몬스터: 월광 사제, 은하 정령</t>
        </is>
      </c>
    </row>
    <row r="18">
      <c r="A18" s="7" t="inlineStr">
        <is>
          <t>4층</t>
        </is>
      </c>
      <c r="B18" s="7" t="inlineStr">
        <is>
          <t>일식의 성소</t>
        </is>
      </c>
      <c r="C18" s="7" t="inlineStr">
        <is>
          <t>🌑✨</t>
        </is>
      </c>
      <c r="D18" s="7" t="inlineStr">
        <is>
          <t>Lv.45+</t>
        </is>
      </c>
      <c r="E18" s="7" t="inlineStr">
        <is>
          <t>보스HP 10,000</t>
        </is>
      </c>
      <c r="F18" s="7" t="inlineStr">
        <is>
          <t>30,000G / 12,000EXP / 몬스터: 일식 마도사, 그림자 달</t>
        </is>
      </c>
    </row>
    <row r="19">
      <c r="A19" s="8" t="inlineStr"/>
      <c r="B19" s="8" t="inlineStr"/>
      <c r="C19" s="8" t="inlineStr"/>
      <c r="D19" s="8" t="inlineStr"/>
      <c r="E19" s="8" t="inlineStr"/>
      <c r="F19" s="8" t="inlineStr"/>
    </row>
    <row r="20">
      <c r="A20" s="7">
        <f>== 히든 보스 (보름달 전용) ===</f>
        <v/>
      </c>
      <c r="B20" s="7" t="inlineStr"/>
      <c r="C20" s="7" t="inlineStr"/>
      <c r="D20" s="7" t="inlineStr"/>
      <c r="E20" s="7" t="inlineStr"/>
      <c r="F20" s="7" t="inlineStr"/>
    </row>
    <row r="21">
      <c r="A21" s="8" t="inlineStr">
        <is>
          <t>보스</t>
        </is>
      </c>
      <c r="B21" s="8" t="inlineStr">
        <is>
          <t>달의 용 루나리스</t>
        </is>
      </c>
      <c r="C21" s="8" t="inlineStr">
        <is>
          <t>🐉🌕</t>
        </is>
      </c>
      <c r="D21" s="8" t="inlineStr">
        <is>
          <t>Lv.40+</t>
        </is>
      </c>
      <c r="E21" s="8" t="inlineStr">
        <is>
          <t>HP 50K / ATK 800 / DEF 300</t>
        </is>
      </c>
      <c r="F21" s="8" t="inlineStr">
        <is>
          <t>스킬: 달빛 브레스, 은하 포효, 월식 장벽</t>
        </is>
      </c>
    </row>
    <row r="22">
      <c r="A22" s="7" t="inlineStr">
        <is>
          <t>보스</t>
        </is>
      </c>
      <c r="B22" s="7" t="inlineStr">
        <is>
          <t>달의 여신 셀레네</t>
        </is>
      </c>
      <c r="C22" s="7" t="inlineStr">
        <is>
          <t>👸🌕</t>
        </is>
      </c>
      <c r="D22" s="7" t="inlineStr">
        <is>
          <t>Lv.40+</t>
        </is>
      </c>
      <c r="E22" s="7" t="inlineStr">
        <is>
          <t>HP 80K / ATK 600 / DEF 500</t>
        </is>
      </c>
      <c r="F22" s="7" t="inlineStr">
        <is>
          <t>스킬: 달빛 축복, 만월의 분노, 영원한 밤</t>
        </is>
      </c>
    </row>
    <row r="23">
      <c r="A23" s="8" t="inlineStr">
        <is>
          <t>보스</t>
        </is>
      </c>
      <c r="B23" s="8" t="inlineStr">
        <is>
          <t>일식의 거신 움브라</t>
        </is>
      </c>
      <c r="C23" s="8" t="inlineStr">
        <is>
          <t>🗿🌑</t>
        </is>
      </c>
      <c r="D23" s="8" t="inlineStr">
        <is>
          <t>Lv.40+</t>
        </is>
      </c>
      <c r="E23" s="8" t="inlineStr">
        <is>
          <t>HP 120K / ATK 1200 / DEF 200</t>
        </is>
      </c>
      <c r="F23" s="8" t="inlineStr">
        <is>
          <t>스킬: 일식 파동, 그림자 삼킴, 태양 소멸</t>
        </is>
      </c>
    </row>
    <row r="24">
      <c r="A24" s="7" t="inlineStr"/>
      <c r="B24" s="7" t="inlineStr"/>
      <c r="C24" s="7" t="inlineStr"/>
      <c r="D24" s="7" t="inlineStr"/>
      <c r="E24" s="7" t="inlineStr"/>
      <c r="F24" s="7" t="inlineStr"/>
    </row>
    <row r="25">
      <c r="A25" s="8">
        <f>== 달빛 장비 (Mythic) ===</f>
        <v/>
      </c>
      <c r="B25" s="8" t="inlineStr"/>
      <c r="C25" s="8" t="inlineStr"/>
      <c r="D25" s="8" t="inlineStr"/>
      <c r="E25" s="8" t="inlineStr"/>
      <c r="F25" s="8" t="inlineStr"/>
    </row>
    <row r="26">
      <c r="A26" s="7" t="inlineStr">
        <is>
          <t>장비</t>
        </is>
      </c>
      <c r="B26" s="7" t="inlineStr">
        <is>
          <t>셀레네의 눈물</t>
        </is>
      </c>
      <c r="C26" s="7" t="inlineStr">
        <is>
          <t>💧🌕</t>
        </is>
      </c>
      <c r="D26" s="7" t="inlineStr">
        <is>
          <t>악세서리</t>
        </is>
      </c>
      <c r="E26" s="7" t="inlineStr">
        <is>
          <t>ALL+15</t>
        </is>
      </c>
      <c r="F26" s="7" t="inlineStr">
        <is>
          <t>부활 1회 (Mythic)</t>
        </is>
      </c>
    </row>
    <row r="27">
      <c r="A27" s="8" t="inlineStr">
        <is>
          <t>장비</t>
        </is>
      </c>
      <c r="B27" s="8" t="inlineStr">
        <is>
          <t>여신의 법의</t>
        </is>
      </c>
      <c r="C27" s="8" t="inlineStr">
        <is>
          <t>👗✨</t>
        </is>
      </c>
      <c r="D27" s="8" t="inlineStr">
        <is>
          <t>방어구</t>
        </is>
      </c>
      <c r="E27" s="8" t="inlineStr">
        <is>
          <t>DEF50/MP300</t>
        </is>
      </c>
      <c r="F27" s="8" t="inlineStr">
        <is>
          <t>마법위력 +25% (Mythic)</t>
        </is>
      </c>
    </row>
    <row r="28">
      <c r="A28" s="7" t="inlineStr">
        <is>
          <t>장비</t>
        </is>
      </c>
      <c r="B28" s="7" t="inlineStr">
        <is>
          <t>영원한 달빛</t>
        </is>
      </c>
      <c r="C28" s="7" t="inlineStr">
        <is>
          <t>🌕✨</t>
        </is>
      </c>
      <c r="D28" s="7" t="inlineStr">
        <is>
          <t>무기</t>
        </is>
      </c>
      <c r="E28" s="7" t="inlineStr">
        <is>
          <t>ATK120/크리15%</t>
        </is>
      </c>
      <c r="F28" s="7" t="inlineStr">
        <is>
          <t>달빛데미지 +30% (Mythic)</t>
        </is>
      </c>
    </row>
    <row r="29">
      <c r="A29" s="8" t="inlineStr">
        <is>
          <t>장비</t>
        </is>
      </c>
      <c r="B29" s="8" t="inlineStr">
        <is>
          <t>일식검</t>
        </is>
      </c>
      <c r="C29" s="8" t="inlineStr">
        <is>
          <t>⚔️🌑</t>
        </is>
      </c>
      <c r="D29" s="8" t="inlineStr">
        <is>
          <t>무기</t>
        </is>
      </c>
      <c r="E29" s="8" t="inlineStr">
        <is>
          <t>ATK150</t>
        </is>
      </c>
      <c r="F29" s="8" t="inlineStr">
        <is>
          <t>방관 20% + 일식 폭발 (Mythic)</t>
        </is>
      </c>
    </row>
    <row r="30">
      <c r="A30" s="7" t="inlineStr">
        <is>
          <t>장비</t>
        </is>
      </c>
      <c r="B30" s="7" t="inlineStr">
        <is>
          <t>움브라 핵</t>
        </is>
      </c>
      <c r="C30" s="7" t="inlineStr">
        <is>
          <t>🔮🌑</t>
        </is>
      </c>
      <c r="D30" s="7" t="inlineStr">
        <is>
          <t>악세서리</t>
        </is>
      </c>
      <c r="E30" s="7" t="inlineStr">
        <is>
          <t>ATK60/암속+20%</t>
        </is>
      </c>
      <c r="F30" s="7" t="inlineStr">
        <is>
          <t>일식 보호막 500 (Mythic)</t>
        </is>
      </c>
    </row>
    <row r="31">
      <c r="A31" s="8" t="inlineStr"/>
      <c r="B31" s="8" t="inlineStr"/>
      <c r="C31" s="8" t="inlineStr"/>
      <c r="D31" s="8" t="inlineStr"/>
      <c r="E31" s="8" t="inlineStr"/>
      <c r="F31" s="8" t="inlineStr"/>
    </row>
    <row r="32">
      <c r="A32" s="7" t="inlineStr">
        <is>
          <t>시스템</t>
        </is>
      </c>
      <c r="B32" s="7" t="inlineStr">
        <is>
          <t>입장 조건</t>
        </is>
      </c>
      <c r="C32" s="7" t="inlineStr">
        <is>
          <t>밤에만 (isNight)</t>
        </is>
      </c>
      <c r="D32" s="7" t="inlineStr">
        <is>
          <t>쿨다운</t>
        </is>
      </c>
      <c r="E32" s="7" t="inlineStr">
        <is>
          <t>10분</t>
        </is>
      </c>
      <c r="F32" s="7" t="inlineStr">
        <is>
          <t>보름달 축복: 1일 1회</t>
        </is>
      </c>
    </row>
  </sheetData>
  <mergeCells count="1">
    <mergeCell ref="A1:F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8" customWidth="1" min="5" max="5"/>
    <col width="40" customWidth="1" min="6" max="6"/>
  </cols>
  <sheetData>
    <row r="1">
      <c r="A1" s="5" t="inlineStr">
        <is>
          <t>무기 영혼 각성 (v2.39)</t>
        </is>
      </c>
    </row>
    <row r="3">
      <c r="A3" s="6" t="inlineStr">
        <is>
          <t>항목</t>
        </is>
      </c>
      <c r="B3" s="6" t="inlineStr">
        <is>
          <t>ID/이름</t>
        </is>
      </c>
      <c r="C3" s="6" t="inlineStr">
        <is>
          <t>아이콘</t>
        </is>
      </c>
      <c r="D3" s="6" t="inlineStr">
        <is>
          <t>성격</t>
        </is>
      </c>
      <c r="E3" s="6" t="inlineStr">
        <is>
          <t>기본보너스</t>
        </is>
      </c>
      <c r="F3" s="6" t="inlineStr">
        <is>
          <t>인사말/설명</t>
        </is>
      </c>
    </row>
    <row r="4">
      <c r="A4" s="7">
        <f>== 영혼 유형 (6종) ===</f>
        <v/>
      </c>
      <c r="B4" s="7" t="inlineStr"/>
      <c r="C4" s="7" t="inlineStr"/>
      <c r="D4" s="7" t="inlineStr"/>
      <c r="E4" s="7" t="inlineStr"/>
      <c r="F4" s="7" t="inlineStr"/>
    </row>
    <row r="5">
      <c r="A5" s="8" t="inlineStr">
        <is>
          <t>영혼</t>
        </is>
      </c>
      <c r="B5" s="8" t="inlineStr">
        <is>
          <t>전사의 영혼</t>
        </is>
      </c>
      <c r="C5" s="8" t="inlineStr">
        <is>
          <t>⚔️👻</t>
        </is>
      </c>
      <c r="D5" s="8" t="inlineStr">
        <is>
          <t>용감</t>
        </is>
      </c>
      <c r="E5" s="8" t="inlineStr">
        <is>
          <t>ATK+5%, 크리+2%</t>
        </is>
      </c>
      <c r="F5" s="8" t="inlineStr">
        <is>
          <t>나는 전장의 영혼... 함께 적을 베자!</t>
        </is>
      </c>
    </row>
    <row r="6">
      <c r="A6" s="7" t="inlineStr">
        <is>
          <t>영혼</t>
        </is>
      </c>
      <c r="B6" s="7" t="inlineStr">
        <is>
          <t>현자의 영혼</t>
        </is>
      </c>
      <c r="C6" s="7" t="inlineStr">
        <is>
          <t>📖👻</t>
        </is>
      </c>
      <c r="D6" s="7" t="inlineStr">
        <is>
          <t>현명</t>
        </is>
      </c>
      <c r="E6" s="7" t="inlineStr">
        <is>
          <t>마법+5%, MP+30</t>
        </is>
      </c>
      <c r="F6" s="7" t="inlineStr">
        <is>
          <t>지식을 갈망하는가... 내 지혜를 나누겠다.</t>
        </is>
      </c>
    </row>
    <row r="7">
      <c r="A7" s="8" t="inlineStr">
        <is>
          <t>영혼</t>
        </is>
      </c>
      <c r="B7" s="8" t="inlineStr">
        <is>
          <t>암살자의 영혼</t>
        </is>
      </c>
      <c r="C7" s="8" t="inlineStr">
        <is>
          <t>🗡️👻</t>
        </is>
      </c>
      <c r="D7" s="8" t="inlineStr">
        <is>
          <t>교활</t>
        </is>
      </c>
      <c r="E7" s="8" t="inlineStr">
        <is>
          <t>크뎀+10%, 회피+3%</t>
        </is>
      </c>
      <c r="F7" s="8" t="inlineStr">
        <is>
          <t>그림자 속에서 기다렸다...</t>
        </is>
      </c>
    </row>
    <row r="8">
      <c r="A8" s="7" t="inlineStr">
        <is>
          <t>영혼</t>
        </is>
      </c>
      <c r="B8" s="7" t="inlineStr">
        <is>
          <t>수호자의 영혼</t>
        </is>
      </c>
      <c r="C8" s="7" t="inlineStr">
        <is>
          <t>🛡️👻</t>
        </is>
      </c>
      <c r="D8" s="7" t="inlineStr">
        <is>
          <t>과묵</t>
        </is>
      </c>
      <c r="E8" s="7" t="inlineStr">
        <is>
          <t>DEF+8%, HP+50</t>
        </is>
      </c>
      <c r="F8" s="7" t="inlineStr">
        <is>
          <t>지키고자 하는 것이 있는가...</t>
        </is>
      </c>
    </row>
    <row r="9">
      <c r="A9" s="8" t="inlineStr">
        <is>
          <t>영혼</t>
        </is>
      </c>
      <c r="B9" s="8" t="inlineStr">
        <is>
          <t>용의 영혼</t>
        </is>
      </c>
      <c r="C9" s="8" t="inlineStr">
        <is>
          <t>🐉👻</t>
        </is>
      </c>
      <c r="D9" s="8" t="inlineStr">
        <is>
          <t>거만</t>
        </is>
      </c>
      <c r="E9" s="8" t="inlineStr">
        <is>
          <t>ALL+3, 화속+10%</t>
        </is>
      </c>
      <c r="F9" s="8" t="inlineStr">
        <is>
          <t>하찮은 인간이여... 내 불꽃을 감당할 수 있겠느냐!</t>
        </is>
      </c>
    </row>
    <row r="10">
      <c r="A10" s="7" t="inlineStr">
        <is>
          <t>영혼</t>
        </is>
      </c>
      <c r="B10" s="7" t="inlineStr">
        <is>
          <t>정령의 영혼</t>
        </is>
      </c>
      <c r="C10" s="7" t="inlineStr">
        <is>
          <t>🧚👻</t>
        </is>
      </c>
      <c r="D10" s="7" t="inlineStr">
        <is>
          <t>쾌활</t>
        </is>
      </c>
      <c r="E10" s="7" t="inlineStr">
        <is>
          <t>힐+8%, EXP+5%</t>
        </is>
      </c>
      <c r="F10" s="7" t="inlineStr">
        <is>
          <t>안녕~ 재미있는 여행을 하자!</t>
        </is>
      </c>
    </row>
    <row r="11">
      <c r="A11" s="8" t="inlineStr"/>
      <c r="B11" s="8" t="inlineStr"/>
      <c r="C11" s="8" t="inlineStr"/>
      <c r="D11" s="8" t="inlineStr"/>
      <c r="E11" s="8" t="inlineStr"/>
      <c r="F11" s="8" t="inlineStr"/>
    </row>
    <row r="12">
      <c r="A12" s="7">
        <f>== 영혼 스킬트리 ===</f>
        <v/>
      </c>
      <c r="B12" s="7" t="inlineStr"/>
      <c r="C12" s="7" t="inlineStr"/>
      <c r="D12" s="7" t="inlineStr"/>
      <c r="E12" s="7" t="inlineStr"/>
      <c r="F12" s="7" t="inlineStr"/>
    </row>
    <row r="13">
      <c r="A13" s="8" t="inlineStr">
        <is>
          <t>Tier1</t>
        </is>
      </c>
      <c r="B13" s="8" t="inlineStr">
        <is>
          <t>영혼 결합</t>
        </is>
      </c>
      <c r="C13" s="8" t="inlineStr">
        <is>
          <t>🔗</t>
        </is>
      </c>
      <c r="D13" s="8" t="inlineStr">
        <is>
          <t>공통</t>
        </is>
      </c>
      <c r="E13" s="8" t="inlineStr">
        <is>
          <t>포인트1</t>
        </is>
      </c>
      <c r="F13" s="8" t="inlineStr">
        <is>
          <t>무기 유대 +5% 스탯</t>
        </is>
      </c>
    </row>
    <row r="14">
      <c r="A14" s="7" t="inlineStr">
        <is>
          <t>Tier1</t>
        </is>
      </c>
      <c r="B14" s="7" t="inlineStr">
        <is>
          <t>영혼 대화</t>
        </is>
      </c>
      <c r="C14" s="7" t="inlineStr">
        <is>
          <t>💬</t>
        </is>
      </c>
      <c r="D14" s="7" t="inlineStr">
        <is>
          <t>공통</t>
        </is>
      </c>
      <c r="E14" s="7" t="inlineStr">
        <is>
          <t>포인트1</t>
        </is>
      </c>
      <c r="F14" s="7" t="inlineStr">
        <is>
          <t>무기 영혼과 대화 가능</t>
        </is>
      </c>
    </row>
    <row r="15">
      <c r="A15" s="8" t="inlineStr">
        <is>
          <t>Tier2</t>
        </is>
      </c>
      <c r="B15" s="8" t="inlineStr">
        <is>
          <t>영혼 타격</t>
        </is>
      </c>
      <c r="C15" s="8" t="inlineStr">
        <is>
          <t>💥</t>
        </is>
      </c>
      <c r="D15" s="8" t="inlineStr">
        <is>
          <t>공격</t>
        </is>
      </c>
      <c r="E15" s="8" t="inlineStr">
        <is>
          <t>포인트3</t>
        </is>
      </c>
      <c r="F15" s="8" t="inlineStr">
        <is>
          <t>10% 확률 추가 영혼 데미지 +15%</t>
        </is>
      </c>
    </row>
    <row r="16">
      <c r="A16" s="7" t="inlineStr">
        <is>
          <t>Tier2</t>
        </is>
      </c>
      <c r="B16" s="7" t="inlineStr">
        <is>
          <t>영혼의 날</t>
        </is>
      </c>
      <c r="C16" s="7" t="inlineStr">
        <is>
          <t>🗡️✨</t>
        </is>
      </c>
      <c r="D16" s="7" t="inlineStr">
        <is>
          <t>공격</t>
        </is>
      </c>
      <c r="E16" s="7" t="inlineStr">
        <is>
          <t>포인트3</t>
        </is>
      </c>
      <c r="F16" s="7" t="inlineStr">
        <is>
          <t>방어 관통 +5%</t>
        </is>
      </c>
    </row>
    <row r="17">
      <c r="A17" s="8" t="inlineStr">
        <is>
          <t>Tier2</t>
        </is>
      </c>
      <c r="B17" s="8" t="inlineStr">
        <is>
          <t>영혼 방벽</t>
        </is>
      </c>
      <c r="C17" s="8" t="inlineStr">
        <is>
          <t>🛡️✨</t>
        </is>
      </c>
      <c r="D17" s="8" t="inlineStr">
        <is>
          <t>방어</t>
        </is>
      </c>
      <c r="E17" s="8" t="inlineStr">
        <is>
          <t>포인트3</t>
        </is>
      </c>
      <c r="F17" s="8" t="inlineStr">
        <is>
          <t>영혼 보호막 100 HP</t>
        </is>
      </c>
    </row>
    <row r="18">
      <c r="A18" s="7" t="inlineStr">
        <is>
          <t>Tier2</t>
        </is>
      </c>
      <c r="B18" s="7" t="inlineStr">
        <is>
          <t>영혼 재생</t>
        </is>
      </c>
      <c r="C18" s="7" t="inlineStr">
        <is>
          <t>💚</t>
        </is>
      </c>
      <c r="D18" s="7" t="inlineStr">
        <is>
          <t>방어</t>
        </is>
      </c>
      <c r="E18" s="7" t="inlineStr">
        <is>
          <t>포인트3</t>
        </is>
      </c>
      <c r="F18" s="7" t="inlineStr">
        <is>
          <t>초당 HP 재생 +2</t>
        </is>
      </c>
    </row>
    <row r="19">
      <c r="A19" s="8" t="inlineStr">
        <is>
          <t>Tier3</t>
        </is>
      </c>
      <c r="B19" s="8" t="inlineStr">
        <is>
          <t>영혼 폭발</t>
        </is>
      </c>
      <c r="C19" s="8" t="inlineStr">
        <is>
          <t>💥💥</t>
        </is>
      </c>
      <c r="D19" s="8" t="inlineStr">
        <is>
          <t>공격</t>
        </is>
      </c>
      <c r="E19" s="8" t="inlineStr">
        <is>
          <t>포인트5</t>
        </is>
      </c>
      <c r="F19" s="8" t="inlineStr">
        <is>
          <t>액티브: ATK 30% 폭발 (CD 60초)</t>
        </is>
      </c>
    </row>
    <row r="20">
      <c r="A20" s="7" t="inlineStr">
        <is>
          <t>Tier3</t>
        </is>
      </c>
      <c r="B20" s="7" t="inlineStr">
        <is>
          <t>영혼 흡수</t>
        </is>
      </c>
      <c r="C20" s="7" t="inlineStr">
        <is>
          <t>🩸</t>
        </is>
      </c>
      <c r="D20" s="7" t="inlineStr">
        <is>
          <t>공격</t>
        </is>
      </c>
      <c r="E20" s="7" t="inlineStr">
        <is>
          <t>포인트5</t>
        </is>
      </c>
      <c r="F20" s="7" t="inlineStr">
        <is>
          <t>흡혈 +8%</t>
        </is>
      </c>
    </row>
    <row r="21">
      <c r="A21" s="8" t="inlineStr">
        <is>
          <t>Tier3</t>
        </is>
      </c>
      <c r="B21" s="8" t="inlineStr">
        <is>
          <t>영혼 요새</t>
        </is>
      </c>
      <c r="C21" s="8" t="inlineStr">
        <is>
          <t>🏰</t>
        </is>
      </c>
      <c r="D21" s="8" t="inlineStr">
        <is>
          <t>방어</t>
        </is>
      </c>
      <c r="E21" s="8" t="inlineStr">
        <is>
          <t>포인트5</t>
        </is>
      </c>
      <c r="F21" s="8" t="inlineStr">
        <is>
          <t>보호막 300 + 반사 5%</t>
        </is>
      </c>
    </row>
    <row r="22">
      <c r="A22" s="7" t="inlineStr">
        <is>
          <t>Tier3</t>
        </is>
      </c>
      <c r="B22" s="7" t="inlineStr">
        <is>
          <t>영혼 조화</t>
        </is>
      </c>
      <c r="C22" s="7" t="inlineStr">
        <is>
          <t>🎵</t>
        </is>
      </c>
      <c r="D22" s="7" t="inlineStr">
        <is>
          <t>방어</t>
        </is>
      </c>
      <c r="E22" s="7" t="inlineStr">
        <is>
          <t>포인트5</t>
        </is>
      </c>
      <c r="F22" s="7" t="inlineStr">
        <is>
          <t>ALL+5, EXP+10%</t>
        </is>
      </c>
    </row>
    <row r="23">
      <c r="A23" s="8" t="inlineStr">
        <is>
          <t>Tier4</t>
        </is>
      </c>
      <c r="B23" s="8" t="inlineStr">
        <is>
          <t>완전 각성</t>
        </is>
      </c>
      <c r="C23" s="8" t="inlineStr">
        <is>
          <t>🌟</t>
        </is>
      </c>
      <c r="D23" s="8" t="inlineStr">
        <is>
          <t>궁극</t>
        </is>
      </c>
      <c r="E23" s="8" t="inlineStr">
        <is>
          <t>포인트10</t>
        </is>
      </c>
      <c r="F23" s="8" t="inlineStr">
        <is>
          <t>ALL+15% + 궁극기 해금</t>
        </is>
      </c>
    </row>
    <row r="24">
      <c r="A24" s="7" t="inlineStr">
        <is>
          <t>Tier4</t>
        </is>
      </c>
      <c r="B24" s="7" t="inlineStr">
        <is>
          <t>영혼 합일</t>
        </is>
      </c>
      <c r="C24" s="7" t="inlineStr">
        <is>
          <t>👤🔮</t>
        </is>
      </c>
      <c r="D24" s="7" t="inlineStr">
        <is>
          <t>궁극</t>
        </is>
      </c>
      <c r="E24" s="7" t="inlineStr">
        <is>
          <t>포인트10</t>
        </is>
      </c>
      <c r="F24" s="7" t="inlineStr">
        <is>
          <t>30초간 무기와 합체! ALL+25%</t>
        </is>
      </c>
    </row>
    <row r="25">
      <c r="A25" s="8" t="inlineStr"/>
      <c r="B25" s="8" t="inlineStr"/>
      <c r="C25" s="8" t="inlineStr"/>
      <c r="D25" s="8" t="inlineStr"/>
      <c r="E25" s="8" t="inlineStr"/>
      <c r="F25" s="8" t="inlineStr"/>
    </row>
    <row r="26">
      <c r="A26" s="7" t="inlineStr">
        <is>
          <t>시스템</t>
        </is>
      </c>
      <c r="B26" s="7" t="inlineStr">
        <is>
          <t>각성 조건</t>
        </is>
      </c>
      <c r="C26" s="7" t="inlineStr">
        <is>
          <t>Lv.20+</t>
        </is>
      </c>
      <c r="D26" s="7" t="inlineStr">
        <is>
          <t>비용</t>
        </is>
      </c>
      <c r="E26" s="7" t="inlineStr">
        <is>
          <t>50,000G</t>
        </is>
      </c>
      <c r="F26" s="7" t="inlineStr">
        <is>
          <t>영혼 최대 Lv.10 / 친밀도 0~100</t>
        </is>
      </c>
    </row>
    <row r="27">
      <c r="A27" s="8" t="inlineStr">
        <is>
          <t>시스템</t>
        </is>
      </c>
      <c r="B27" s="8" t="inlineStr">
        <is>
          <t>합일 쿨다운</t>
        </is>
      </c>
      <c r="C27" s="8" t="inlineStr">
        <is>
          <t>5분</t>
        </is>
      </c>
      <c r="D27" s="8" t="inlineStr">
        <is>
          <t>경험치 보너스</t>
        </is>
      </c>
      <c r="E27" s="8" t="inlineStr">
        <is>
          <t>친밀도 x0.5%</t>
        </is>
      </c>
      <c r="F27" s="8" t="inlineStr">
        <is>
          <t>대화 시 친밀도 +1</t>
        </is>
      </c>
    </row>
  </sheetData>
  <mergeCells count="1">
    <mergeCell ref="A1:F1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2" customWidth="1" min="5" max="5"/>
    <col width="40" customWidth="1" min="6" max="6"/>
  </cols>
  <sheetData>
    <row r="1">
      <c r="A1" s="5" t="inlineStr">
        <is>
          <t>부유 요새 (v2.40)</t>
        </is>
      </c>
    </row>
    <row r="3">
      <c r="A3" s="6" t="inlineStr">
        <is>
          <t>항목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최대레벨</t>
        </is>
      </c>
      <c r="E3" s="6" t="inlineStr">
        <is>
          <t>기본비용</t>
        </is>
      </c>
      <c r="F3" s="6" t="inlineStr">
        <is>
          <t>효과/설명</t>
        </is>
      </c>
    </row>
    <row r="4">
      <c r="A4" s="7">
        <f>== 요새 시설 (9종) ===</f>
        <v/>
      </c>
      <c r="B4" s="7" t="inlineStr"/>
      <c r="C4" s="7" t="inlineStr"/>
      <c r="D4" s="7" t="inlineStr"/>
      <c r="E4" s="7" t="inlineStr"/>
      <c r="F4" s="7" t="inlineStr"/>
    </row>
    <row r="5">
      <c r="A5" s="8" t="inlineStr">
        <is>
          <t>핵심</t>
        </is>
      </c>
      <c r="B5" s="8" t="inlineStr">
        <is>
          <t>왕좌의 간</t>
        </is>
      </c>
      <c r="C5" s="8" t="inlineStr">
        <is>
          <t>🏰</t>
        </is>
      </c>
      <c r="D5" s="8" t="n">
        <v>5</v>
      </c>
      <c r="E5" s="8" t="n">
        <v>10000</v>
      </c>
      <c r="F5" s="8" t="inlineStr">
        <is>
          <t>요새 핵심. 레벨에 따라 시설 해금</t>
        </is>
      </c>
    </row>
    <row r="6">
      <c r="A6" s="7" t="inlineStr">
        <is>
          <t>방어</t>
        </is>
      </c>
      <c r="B6" s="7" t="inlineStr">
        <is>
          <t>하늘 성벽</t>
        </is>
      </c>
      <c r="C6" s="7" t="inlineStr">
        <is>
          <t>🧱</t>
        </is>
      </c>
      <c r="D6" s="7" t="n">
        <v>10</v>
      </c>
      <c r="E6" s="7" t="n">
        <v>5000</v>
      </c>
      <c r="F6" s="7" t="inlineStr">
        <is>
          <t>성벽 HP +500/레벨</t>
        </is>
      </c>
    </row>
    <row r="7">
      <c r="A7" s="8" t="inlineStr">
        <is>
          <t>공격</t>
        </is>
      </c>
      <c r="B7" s="8" t="inlineStr">
        <is>
          <t>마나 포탑</t>
        </is>
      </c>
      <c r="C7" s="8" t="inlineStr">
        <is>
          <t>🗼</t>
        </is>
      </c>
      <c r="D7" s="8" t="n">
        <v>8</v>
      </c>
      <c r="E7" s="8" t="n">
        <v>8000</v>
      </c>
      <c r="F7" s="8" t="inlineStr">
        <is>
          <t>자동 공격 포탑 데미지 +100/레벨</t>
        </is>
      </c>
    </row>
    <row r="8">
      <c r="A8" s="7" t="inlineStr">
        <is>
          <t>경제</t>
        </is>
      </c>
      <c r="B8" s="7" t="inlineStr">
        <is>
          <t>구름 정원</t>
        </is>
      </c>
      <c r="C8" s="7" t="inlineStr">
        <is>
          <t>🌿☁️</t>
        </is>
      </c>
      <c r="D8" s="7" t="n">
        <v>5</v>
      </c>
      <c r="E8" s="7" t="n">
        <v>6000</v>
      </c>
      <c r="F8" s="7" t="inlineStr">
        <is>
          <t>시간당 골드/재료 생성 (500G/Lv, 2수정/Lv)</t>
        </is>
      </c>
    </row>
    <row r="9">
      <c r="A9" s="8" t="inlineStr">
        <is>
          <t>제작</t>
        </is>
      </c>
      <c r="B9" s="8" t="inlineStr">
        <is>
          <t>별빛 대장간</t>
        </is>
      </c>
      <c r="C9" s="8" t="inlineStr">
        <is>
          <t>⚒️✨</t>
        </is>
      </c>
      <c r="D9" s="8" t="n">
        <v>5</v>
      </c>
      <c r="E9" s="8" t="n">
        <v>12000</v>
      </c>
      <c r="F9" s="8" t="inlineStr">
        <is>
          <t>제작 보너스 +5%/레벨 (왕좌 Lv.2 필요)</t>
        </is>
      </c>
    </row>
    <row r="10">
      <c r="A10" s="7" t="inlineStr">
        <is>
          <t>방어</t>
        </is>
      </c>
      <c r="B10" s="7" t="inlineStr">
        <is>
          <t>바람의 격납고</t>
        </is>
      </c>
      <c r="C10" s="7" t="inlineStr">
        <is>
          <t>🌬️</t>
        </is>
      </c>
      <c r="D10" s="7" t="n">
        <v>3</v>
      </c>
      <c r="E10" s="7" t="n">
        <v>15000</v>
      </c>
      <c r="F10" s="7" t="inlineStr">
        <is>
          <t>공중 유닛 배치 (왕좌 Lv.3 필요)</t>
        </is>
      </c>
    </row>
    <row r="11">
      <c r="A11" s="8" t="inlineStr">
        <is>
          <t>저장</t>
        </is>
      </c>
      <c r="B11" s="8" t="inlineStr">
        <is>
          <t>수정 금고</t>
        </is>
      </c>
      <c r="C11" s="8" t="inlineStr">
        <is>
          <t>💎</t>
        </is>
      </c>
      <c r="D11" s="8" t="n">
        <v>5</v>
      </c>
      <c r="E11" s="8" t="n">
        <v>8000</v>
      </c>
      <c r="F11" s="8" t="inlineStr">
        <is>
          <t>추가 저장 공간 +100/레벨 (왕좌 Lv.2 필요)</t>
        </is>
      </c>
    </row>
    <row r="12">
      <c r="A12" s="7" t="inlineStr">
        <is>
          <t>정보</t>
        </is>
      </c>
      <c r="B12" s="7" t="inlineStr">
        <is>
          <t>신탁의 첨탑</t>
        </is>
      </c>
      <c r="C12" s="7" t="inlineStr">
        <is>
          <t>🔮</t>
        </is>
      </c>
      <c r="D12" s="7" t="n">
        <v>3</v>
      </c>
      <c r="E12" s="7" t="n">
        <v>20000</v>
      </c>
      <c r="F12" s="7" t="inlineStr">
        <is>
          <t>침공 사전 경고 + 정찰 (왕좌 Lv.4 필요)</t>
        </is>
      </c>
    </row>
    <row r="13">
      <c r="A13" s="8" t="inlineStr">
        <is>
          <t>궁극</t>
        </is>
      </c>
      <c r="B13" s="8" t="inlineStr">
        <is>
          <t>용의 둥지</t>
        </is>
      </c>
      <c r="C13" s="8" t="inlineStr">
        <is>
          <t>🐉</t>
        </is>
      </c>
      <c r="D13" s="8" t="n">
        <v>1</v>
      </c>
      <c r="E13" s="8" t="n">
        <v>100000</v>
      </c>
      <c r="F13" s="8" t="inlineStr">
        <is>
          <t>수호룡 배치 — 최강 방어 (왕좌 Lv.5 필요)</t>
        </is>
      </c>
    </row>
    <row r="14">
      <c r="A14" s="7" t="inlineStr"/>
      <c r="B14" s="7" t="inlineStr"/>
      <c r="C14" s="7" t="inlineStr"/>
      <c r="D14" s="7" t="inlineStr"/>
      <c r="E14" s="7" t="inlineStr"/>
      <c r="F14" s="7" t="inlineStr"/>
    </row>
    <row r="15">
      <c r="A15" s="8">
        <f>== 방어전 웨이브 (5단계) ===</f>
        <v/>
      </c>
      <c r="B15" s="8" t="inlineStr"/>
      <c r="C15" s="8" t="inlineStr"/>
      <c r="D15" s="8" t="inlineStr"/>
      <c r="E15" s="8" t="inlineStr"/>
      <c r="F15" s="8" t="inlineStr"/>
    </row>
    <row r="16">
      <c r="A16" s="7" t="inlineStr">
        <is>
          <t>Wave1</t>
        </is>
      </c>
      <c r="B16" s="7" t="inlineStr">
        <is>
          <t>도적단 습격</t>
        </is>
      </c>
      <c r="C16" s="7" t="inlineStr">
        <is>
          <t>🏴‍☠️</t>
        </is>
      </c>
      <c r="D16" s="7" t="inlineStr">
        <is>
          <t>적 5체</t>
        </is>
      </c>
      <c r="E16" s="7" t="inlineStr">
        <is>
          <t>HP200/ATK30</t>
        </is>
      </c>
      <c r="F16" s="7" t="inlineStr">
        <is>
          <t>3,000G / 1,000EXP</t>
        </is>
      </c>
    </row>
    <row r="17">
      <c r="A17" s="8" t="inlineStr">
        <is>
          <t>Wave2</t>
        </is>
      </c>
      <c r="B17" s="8" t="inlineStr">
        <is>
          <t>암흑 비행단</t>
        </is>
      </c>
      <c r="C17" s="8" t="inlineStr">
        <is>
          <t>🦇</t>
        </is>
      </c>
      <c r="D17" s="8" t="inlineStr">
        <is>
          <t>적 8체</t>
        </is>
      </c>
      <c r="E17" s="8" t="inlineStr">
        <is>
          <t>HP400/ATK50</t>
        </is>
      </c>
      <c r="F17" s="8" t="inlineStr">
        <is>
          <t>6,000G / 2,000EXP</t>
        </is>
      </c>
    </row>
    <row r="18">
      <c r="A18" s="7" t="inlineStr">
        <is>
          <t>Wave3</t>
        </is>
      </c>
      <c r="B18" s="7" t="inlineStr">
        <is>
          <t>스톰 골렘 부대</t>
        </is>
      </c>
      <c r="C18" s="7" t="inlineStr">
        <is>
          <t>🗿⚡</t>
        </is>
      </c>
      <c r="D18" s="7" t="inlineStr">
        <is>
          <t>적 6체</t>
        </is>
      </c>
      <c r="E18" s="7" t="inlineStr">
        <is>
          <t>HP800/ATK80</t>
        </is>
      </c>
      <c r="F18" s="7" t="inlineStr">
        <is>
          <t>10,000G / 4,000EXP</t>
        </is>
      </c>
    </row>
    <row r="19">
      <c r="A19" s="8" t="inlineStr">
        <is>
          <t>Wave4</t>
        </is>
      </c>
      <c r="B19" s="8" t="inlineStr">
        <is>
          <t>마왕군 선봉대</t>
        </is>
      </c>
      <c r="C19" s="8" t="inlineStr">
        <is>
          <t>👹</t>
        </is>
      </c>
      <c r="D19" s="8" t="inlineStr">
        <is>
          <t>적 10체</t>
        </is>
      </c>
      <c r="E19" s="8" t="inlineStr">
        <is>
          <t>HP1200/ATK120</t>
        </is>
      </c>
      <c r="F19" s="8" t="inlineStr">
        <is>
          <t>20,000G / 8,000EXP</t>
        </is>
      </c>
    </row>
    <row r="20">
      <c r="A20" s="7" t="inlineStr">
        <is>
          <t>Wave5</t>
        </is>
      </c>
      <c r="B20" s="7" t="inlineStr">
        <is>
          <t>천공의 폭군</t>
        </is>
      </c>
      <c r="C20" s="7" t="inlineStr">
        <is>
          <t>🐲</t>
        </is>
      </c>
      <c r="D20" s="7" t="inlineStr">
        <is>
          <t>적 1체</t>
        </is>
      </c>
      <c r="E20" s="7" t="inlineStr">
        <is>
          <t>HP15000/ATK300</t>
        </is>
      </c>
      <c r="F20" s="7" t="inlineStr">
        <is>
          <t>50,000G / 20,000EXP</t>
        </is>
      </c>
    </row>
    <row r="21">
      <c r="A21" s="8" t="inlineStr"/>
      <c r="B21" s="8" t="inlineStr"/>
      <c r="C21" s="8" t="inlineStr"/>
      <c r="D21" s="8" t="inlineStr"/>
      <c r="E21" s="8" t="inlineStr"/>
      <c r="F21" s="8" t="inlineStr"/>
    </row>
    <row r="22">
      <c r="A22" s="7">
        <f>== 테마 (6종) ===</f>
        <v/>
      </c>
      <c r="B22" s="7" t="inlineStr"/>
      <c r="C22" s="7" t="inlineStr"/>
      <c r="D22" s="7" t="inlineStr"/>
      <c r="E22" s="7" t="inlineStr"/>
      <c r="F22" s="7" t="inlineStr"/>
    </row>
    <row r="23">
      <c r="A23" s="8" t="inlineStr">
        <is>
          <t>기본</t>
        </is>
      </c>
      <c r="B23" s="8" t="inlineStr">
        <is>
          <t>고전 성채</t>
        </is>
      </c>
      <c r="C23" s="8" t="inlineStr">
        <is>
          <t>🏰</t>
        </is>
      </c>
      <c r="D23" s="8" t="inlineStr">
        <is>
          <t>-</t>
        </is>
      </c>
      <c r="E23" s="8" t="inlineStr">
        <is>
          <t>무료</t>
        </is>
      </c>
      <c r="F23" s="8" t="inlineStr">
        <is>
          <t>기본 테마</t>
        </is>
      </c>
    </row>
    <row r="24">
      <c r="A24" s="7" t="inlineStr"/>
      <c r="B24" s="7" t="inlineStr">
        <is>
          <t>수정 궁전</t>
        </is>
      </c>
      <c r="C24" s="7" t="inlineStr">
        <is>
          <t>💎🏰</t>
        </is>
      </c>
      <c r="D24" s="7" t="inlineStr">
        <is>
          <t>-</t>
        </is>
      </c>
      <c r="E24" s="7" t="inlineStr">
        <is>
          <t>30,000G</t>
        </is>
      </c>
      <c r="F24" s="7" t="inlineStr"/>
    </row>
    <row r="25">
      <c r="A25" s="8" t="inlineStr"/>
      <c r="B25" s="8" t="inlineStr">
        <is>
          <t>암흑 요새</t>
        </is>
      </c>
      <c r="C25" s="8" t="inlineStr">
        <is>
          <t>🌑🏰</t>
        </is>
      </c>
      <c r="D25" s="8" t="inlineStr">
        <is>
          <t>-</t>
        </is>
      </c>
      <c r="E25" s="8" t="inlineStr">
        <is>
          <t>30,000G</t>
        </is>
      </c>
      <c r="F25" s="8" t="inlineStr"/>
    </row>
    <row r="26">
      <c r="A26" s="7" t="inlineStr"/>
      <c r="B26" s="7" t="inlineStr">
        <is>
          <t>구름 천궁</t>
        </is>
      </c>
      <c r="C26" s="7" t="inlineStr">
        <is>
          <t>☁️🏰</t>
        </is>
      </c>
      <c r="D26" s="7" t="inlineStr">
        <is>
          <t>-</t>
        </is>
      </c>
      <c r="E26" s="7" t="inlineStr">
        <is>
          <t>50,000G</t>
        </is>
      </c>
      <c r="F26" s="7" t="inlineStr"/>
    </row>
    <row r="27">
      <c r="A27" s="8" t="inlineStr"/>
      <c r="B27" s="8" t="inlineStr">
        <is>
          <t>용의 보루</t>
        </is>
      </c>
      <c r="C27" s="8" t="inlineStr">
        <is>
          <t>🐉🏰</t>
        </is>
      </c>
      <c r="D27" s="8" t="inlineStr">
        <is>
          <t>-</t>
        </is>
      </c>
      <c r="E27" s="8" t="inlineStr">
        <is>
          <t>80,000G</t>
        </is>
      </c>
      <c r="F27" s="8" t="inlineStr"/>
    </row>
    <row r="28">
      <c r="A28" s="7" t="inlineStr"/>
      <c r="B28" s="7" t="inlineStr">
        <is>
          <t>천상 성역</t>
        </is>
      </c>
      <c r="C28" s="7" t="inlineStr">
        <is>
          <t>✨🏰</t>
        </is>
      </c>
      <c r="D28" s="7" t="inlineStr">
        <is>
          <t>-</t>
        </is>
      </c>
      <c r="E28" s="7" t="inlineStr">
        <is>
          <t>100,000G</t>
        </is>
      </c>
      <c r="F28" s="7" t="inlineStr"/>
    </row>
    <row r="29">
      <c r="A29" s="8" t="inlineStr"/>
      <c r="B29" s="8" t="inlineStr"/>
      <c r="C29" s="8" t="inlineStr"/>
      <c r="D29" s="8" t="inlineStr"/>
      <c r="E29" s="8" t="inlineStr"/>
      <c r="F29" s="8" t="inlineStr"/>
    </row>
    <row r="30">
      <c r="A30" s="7" t="inlineStr">
        <is>
          <t>시스템</t>
        </is>
      </c>
      <c r="B30" s="7" t="inlineStr">
        <is>
          <t>건설 조건</t>
        </is>
      </c>
      <c r="C30" s="7" t="inlineStr">
        <is>
          <t>Lv.25+</t>
        </is>
      </c>
      <c r="D30" s="7" t="inlineStr">
        <is>
          <t>비용</t>
        </is>
      </c>
      <c r="E30" s="7" t="inlineStr">
        <is>
          <t>50,000G</t>
        </is>
      </c>
      <c r="F30" s="7" t="inlineStr">
        <is>
          <t>방문 시스템 / 자원 최대 24시간 축적</t>
        </is>
      </c>
    </row>
  </sheetData>
  <mergeCells count="1">
    <mergeCell ref="A1:F1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16" customWidth="1" min="4" max="4"/>
    <col width="22" customWidth="1" min="5" max="5"/>
    <col width="44" customWidth="1" min="6" max="6"/>
  </cols>
  <sheetData>
    <row r="1">
      <c r="A1" s="5" t="inlineStr">
        <is>
          <t>영체 이탈 (v2.41)</t>
        </is>
      </c>
    </row>
    <row r="3">
      <c r="A3" s="6" t="inlineStr">
        <is>
          <t>항목</t>
        </is>
      </c>
      <c r="B3" s="6" t="inlineStr">
        <is>
          <t>ID/이름</t>
        </is>
      </c>
      <c r="C3" s="6" t="inlineStr">
        <is>
          <t>아이콘</t>
        </is>
      </c>
      <c r="D3" s="6" t="inlineStr">
        <is>
          <t>티어/조건</t>
        </is>
      </c>
      <c r="E3" s="6" t="inlineStr">
        <is>
          <t>수치</t>
        </is>
      </c>
      <c r="F3" s="6" t="inlineStr">
        <is>
          <t>효과/설명</t>
        </is>
      </c>
    </row>
    <row r="4">
      <c r="A4" s="7">
        <f>== 숨겨진 차원 (4개) ===</f>
        <v/>
      </c>
      <c r="B4" s="7" t="inlineStr"/>
      <c r="C4" s="7" t="inlineStr"/>
      <c r="D4" s="7" t="inlineStr"/>
      <c r="E4" s="7" t="inlineStr"/>
      <c r="F4" s="7" t="inlineStr"/>
    </row>
    <row r="5">
      <c r="A5" s="8" t="inlineStr">
        <is>
          <t>차원</t>
        </is>
      </c>
      <c r="B5" s="8" t="inlineStr">
        <is>
          <t>황혼의 장막</t>
        </is>
      </c>
      <c r="C5" s="8" t="inlineStr">
        <is>
          <t>🌅👻</t>
        </is>
      </c>
      <c r="D5" s="8" t="inlineStr">
        <is>
          <t>Lv.20+/Tier1</t>
        </is>
      </c>
      <c r="E5" s="8" t="inlineStr">
        <is>
          <t>위험: 잊힌 혼령, 방황하는 그림자</t>
        </is>
      </c>
      <c r="F5" s="8" t="inlineStr">
        <is>
          <t>현실과 영계의 경계 / 보물 3개</t>
        </is>
      </c>
    </row>
    <row r="6">
      <c r="A6" s="7" t="inlineStr">
        <is>
          <t>차원</t>
        </is>
      </c>
      <c r="B6" s="7" t="inlineStr">
        <is>
          <t>영혼의 정원</t>
        </is>
      </c>
      <c r="C6" s="7" t="inlineStr">
        <is>
          <t>🌸👻</t>
        </is>
      </c>
      <c r="D6" s="7" t="inlineStr">
        <is>
          <t>Lv.30+/Tier2</t>
        </is>
      </c>
      <c r="E6" s="7" t="inlineStr">
        <is>
          <t>위험: 정원 수호자, 시든 정령</t>
        </is>
      </c>
      <c r="F6" s="7" t="inlineStr">
        <is>
          <t>죽은 자들이 쉬는 낙원 / 보물 5개</t>
        </is>
      </c>
    </row>
    <row r="7">
      <c r="A7" s="8" t="inlineStr">
        <is>
          <t>차원</t>
        </is>
      </c>
      <c r="B7" s="8" t="inlineStr">
        <is>
          <t>기억의 회랑</t>
        </is>
      </c>
      <c r="C7" s="8" t="inlineStr">
        <is>
          <t>🏛️👻</t>
        </is>
      </c>
      <c r="D7" s="8" t="inlineStr">
        <is>
          <t>Lv.40+/Tier3</t>
        </is>
      </c>
      <c r="E7" s="8" t="inlineStr">
        <is>
          <t>위험: 기억의 파편, 왜곡된 자아</t>
        </is>
      </c>
      <c r="F7" s="8" t="inlineStr">
        <is>
          <t>과거 기억이 재생되는 차원 / 보물 7개</t>
        </is>
      </c>
    </row>
    <row r="8">
      <c r="A8" s="7" t="inlineStr">
        <is>
          <t>차원</t>
        </is>
      </c>
      <c r="B8" s="7" t="inlineStr">
        <is>
          <t>공허의 심연</t>
        </is>
      </c>
      <c r="C8" s="7" t="inlineStr">
        <is>
          <t>🕳️👻</t>
        </is>
      </c>
      <c r="D8" s="7" t="inlineStr">
        <is>
          <t>Lv.50+/Tier4</t>
        </is>
      </c>
      <c r="E8" s="7" t="inlineStr">
        <is>
          <t>위험: 공허 포식자, 차원의 감시자</t>
        </is>
      </c>
      <c r="F8" s="7" t="inlineStr">
        <is>
          <t>존재와 비존재의 경계 / 보물 10개</t>
        </is>
      </c>
    </row>
    <row r="9">
      <c r="A9" s="8" t="inlineStr"/>
      <c r="B9" s="8" t="inlineStr"/>
      <c r="C9" s="8" t="inlineStr"/>
      <c r="D9" s="8" t="inlineStr"/>
      <c r="E9" s="8" t="inlineStr"/>
      <c r="F9" s="8" t="inlineStr"/>
    </row>
    <row r="10">
      <c r="A10" s="7">
        <f>== 영계 NPC (6명) ===</f>
        <v/>
      </c>
      <c r="B10" s="7" t="inlineStr"/>
      <c r="C10" s="7" t="inlineStr"/>
      <c r="D10" s="7" t="inlineStr"/>
      <c r="E10" s="7" t="inlineStr"/>
      <c r="F10" s="7" t="inlineStr"/>
    </row>
    <row r="11">
      <c r="A11" s="8" t="inlineStr">
        <is>
          <t>NPC</t>
        </is>
      </c>
      <c r="B11" s="8" t="inlineStr">
        <is>
          <t>유령 상인 에텔</t>
        </is>
      </c>
      <c r="C11" s="8" t="inlineStr">
        <is>
          <t>👻🏪</t>
        </is>
      </c>
      <c r="D11" s="8" t="inlineStr">
        <is>
          <t>황혼의 장막</t>
        </is>
      </c>
      <c r="E11" s="8" t="inlineStr">
        <is>
          <t>-</t>
        </is>
      </c>
      <c r="F11" s="8" t="inlineStr">
        <is>
          <t>유령 비단 2000G, 영혼물약 1500G, 망령 망토 15000G</t>
        </is>
      </c>
    </row>
    <row r="12">
      <c r="A12" s="7" t="inlineStr">
        <is>
          <t>NPC</t>
        </is>
      </c>
      <c r="B12" s="7" t="inlineStr">
        <is>
          <t>고대 학자 메모리온</t>
        </is>
      </c>
      <c r="C12" s="7" t="inlineStr">
        <is>
          <t>📚👻</t>
        </is>
      </c>
      <c r="D12" s="7" t="inlineStr">
        <is>
          <t>기억의 회랑</t>
        </is>
      </c>
      <c r="E12" s="7" t="inlineStr">
        <is>
          <t>-</t>
        </is>
      </c>
      <c r="F12" s="7" t="inlineStr">
        <is>
          <t>잊혀진 마법 교육: astral_bolt, memory_read, soul_sight</t>
        </is>
      </c>
    </row>
    <row r="13">
      <c r="A13" s="8" t="inlineStr">
        <is>
          <t>NPC</t>
        </is>
      </c>
      <c r="B13" s="8" t="inlineStr">
        <is>
          <t>공허의 신탁 닉스</t>
        </is>
      </c>
      <c r="C13" s="8" t="inlineStr">
        <is>
          <t>🔮👻</t>
        </is>
      </c>
      <c r="D13" s="8" t="inlineStr">
        <is>
          <t>공허의 심연</t>
        </is>
      </c>
      <c r="E13" s="8" t="inlineStr">
        <is>
          <t>-</t>
        </is>
      </c>
      <c r="F13" s="8" t="inlineStr">
        <is>
          <t>랜덤 예언 제공</t>
        </is>
      </c>
    </row>
    <row r="14">
      <c r="A14" s="7" t="inlineStr">
        <is>
          <t>NPC</t>
        </is>
      </c>
      <c r="B14" s="7" t="inlineStr">
        <is>
          <t>꽃의 정령 블로사</t>
        </is>
      </c>
      <c r="C14" s="7" t="inlineStr">
        <is>
          <t>🌸🧚</t>
        </is>
      </c>
      <c r="D14" s="7" t="inlineStr">
        <is>
          <t>영혼의 정원</t>
        </is>
      </c>
      <c r="E14" s="7" t="inlineStr">
        <is>
          <t>-</t>
        </is>
      </c>
      <c r="F14" s="7" t="inlineStr">
        <is>
          <t>1일 1회 랜덤 선물 (영혼의 꽃/치유 꽃잎/정령 넥타르)</t>
        </is>
      </c>
    </row>
    <row r="15">
      <c r="A15" s="8" t="inlineStr">
        <is>
          <t>NPC</t>
        </is>
      </c>
      <c r="B15" s="8" t="inlineStr">
        <is>
          <t>죽음의 기사 모르간</t>
        </is>
      </c>
      <c r="C15" s="8" t="inlineStr">
        <is>
          <t>⚔️💀</t>
        </is>
      </c>
      <c r="D15" s="8" t="inlineStr">
        <is>
          <t>황혼의 장막</t>
        </is>
      </c>
      <c r="E15" s="8" t="inlineStr">
        <is>
          <t>-</t>
        </is>
      </c>
      <c r="F15" s="8" t="inlineStr">
        <is>
          <t>전투 훈련 → 영구 ATK +1 (최대 +20)</t>
        </is>
      </c>
    </row>
    <row r="16">
      <c r="A16" s="7" t="inlineStr">
        <is>
          <t>NPC</t>
        </is>
      </c>
      <c r="B16" s="7" t="inlineStr">
        <is>
          <t>꿈의 직공 소나타</t>
        </is>
      </c>
      <c r="C16" s="7" t="inlineStr">
        <is>
          <t>🕸️✨</t>
        </is>
      </c>
      <c r="D16" s="7" t="inlineStr">
        <is>
          <t>영혼의 정원</t>
        </is>
      </c>
      <c r="E16" s="7" t="inlineStr">
        <is>
          <t>-</t>
        </is>
      </c>
      <c r="F16" s="7" t="inlineStr">
        <is>
          <t>특수 아이템 제작</t>
        </is>
      </c>
    </row>
    <row r="17">
      <c r="A17" s="8" t="inlineStr"/>
      <c r="B17" s="8" t="inlineStr"/>
      <c r="C17" s="8" t="inlineStr"/>
      <c r="D17" s="8" t="inlineStr"/>
      <c r="E17" s="8" t="inlineStr"/>
      <c r="F17" s="8" t="inlineStr"/>
    </row>
    <row r="18">
      <c r="A18" s="7">
        <f>== 영혼 퀘스트 (4종) ===</f>
        <v/>
      </c>
      <c r="B18" s="7" t="inlineStr"/>
      <c r="C18" s="7" t="inlineStr"/>
      <c r="D18" s="7" t="inlineStr"/>
      <c r="E18" s="7" t="inlineStr"/>
      <c r="F18" s="7" t="inlineStr"/>
    </row>
    <row r="19">
      <c r="A19" s="8" t="inlineStr">
        <is>
          <t>퀘스트</t>
        </is>
      </c>
      <c r="B19" s="8" t="inlineStr">
        <is>
          <t>유령 상인의 부탁</t>
        </is>
      </c>
      <c r="C19" s="8" t="inlineStr">
        <is>
          <t>👻📦</t>
        </is>
      </c>
      <c r="D19" s="8" t="inlineStr">
        <is>
          <t>유령 비단 x3</t>
        </is>
      </c>
      <c r="E19" s="8" t="inlineStr">
        <is>
          <t>10,000G</t>
        </is>
      </c>
      <c r="F19" s="8" t="inlineStr">
        <is>
          <t>아이템: 영체 나침반</t>
        </is>
      </c>
    </row>
    <row r="20">
      <c r="A20" s="7" t="inlineStr">
        <is>
          <t>퀘스트</t>
        </is>
      </c>
      <c r="B20" s="7" t="inlineStr">
        <is>
          <t>잃어버린 기억</t>
        </is>
      </c>
      <c r="C20" s="7" t="inlineStr">
        <is>
          <t>🧠✨</t>
        </is>
      </c>
      <c r="D20" s="7" t="inlineStr">
        <is>
          <t>기억의 수정 x5</t>
        </is>
      </c>
      <c r="E20" s="7" t="inlineStr">
        <is>
          <t>20,000G + 10,000EXP</t>
        </is>
      </c>
      <c r="F20" s="7" t="inlineStr">
        <is>
          <t>아이템: 사신의 검 (ATK80, 영혼+20%, 5%즉사)</t>
        </is>
      </c>
    </row>
    <row r="21">
      <c r="A21" s="8" t="inlineStr">
        <is>
          <t>퀘스트</t>
        </is>
      </c>
      <c r="B21" s="8" t="inlineStr">
        <is>
          <t>공허의 계시</t>
        </is>
      </c>
      <c r="C21" s="8" t="inlineStr">
        <is>
          <t>🔮💀</t>
        </is>
      </c>
      <c r="D21" s="8" t="inlineStr">
        <is>
          <t>공허의 파편 x10</t>
        </is>
      </c>
      <c r="E21" s="8" t="inlineStr">
        <is>
          <t>50,000G + 30,000EXP</t>
        </is>
      </c>
      <c r="F21" s="8" t="inlineStr">
        <is>
          <t>아이템: 공허의 눈 (모든 숨겨진 것 시야)</t>
        </is>
      </c>
    </row>
    <row r="22">
      <c r="A22" s="7" t="inlineStr">
        <is>
          <t>퀘스트</t>
        </is>
      </c>
      <c r="B22" s="7" t="inlineStr">
        <is>
          <t>꿈의 태피스트리</t>
        </is>
      </c>
      <c r="C22" s="7" t="inlineStr">
        <is>
          <t>🕸️🌸</t>
        </is>
      </c>
      <c r="D22" s="7" t="inlineStr">
        <is>
          <t>꿈의 실x5 + 영혼꽃x3</t>
        </is>
      </c>
      <c r="E22" s="7" t="inlineStr">
        <is>
          <t>30,000G</t>
        </is>
      </c>
      <c r="F22" s="7" t="inlineStr">
        <is>
          <t>영구 ALL +5</t>
        </is>
      </c>
    </row>
    <row r="23">
      <c r="A23" s="8" t="inlineStr"/>
      <c r="B23" s="8" t="inlineStr"/>
      <c r="C23" s="8" t="inlineStr"/>
      <c r="D23" s="8" t="inlineStr"/>
      <c r="E23" s="8" t="inlineStr"/>
      <c r="F23" s="8" t="inlineStr"/>
    </row>
    <row r="24">
      <c r="A24" s="7" t="inlineStr">
        <is>
          <t>시스템</t>
        </is>
      </c>
      <c r="B24" s="7" t="inlineStr">
        <is>
          <t>지속시간</t>
        </is>
      </c>
      <c r="C24" s="7" t="inlineStr">
        <is>
          <t>3분(180초)</t>
        </is>
      </c>
      <c r="D24" s="7" t="inlineStr">
        <is>
          <t>MP소모</t>
        </is>
      </c>
      <c r="E24" s="7" t="inlineStr">
        <is>
          <t>50</t>
        </is>
      </c>
      <c r="F24" s="7" t="inlineStr">
        <is>
          <t>쿨다운 10분 / 탐험 결과: 보물30% 위험25% 비전15% 고요30%</t>
        </is>
      </c>
    </row>
  </sheetData>
  <mergeCells count="1">
    <mergeCell ref="A1:F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22" customWidth="1" min="4" max="4"/>
    <col width="22" customWidth="1" min="5" max="5"/>
    <col width="36" customWidth="1" min="6" max="6"/>
  </cols>
  <sheetData>
    <row r="1">
      <c r="A1" s="5" t="inlineStr">
        <is>
          <t>저주받은 던전 (v2.42)</t>
        </is>
      </c>
    </row>
    <row r="3">
      <c r="A3" s="6" t="inlineStr">
        <is>
          <t>항목</t>
        </is>
      </c>
      <c r="B3" s="6" t="inlineStr">
        <is>
          <t>ID/이름</t>
        </is>
      </c>
      <c r="C3" s="6" t="inlineStr">
        <is>
          <t>아이콘</t>
        </is>
      </c>
      <c r="D3" s="6" t="inlineStr">
        <is>
          <t>티어</t>
        </is>
      </c>
      <c r="E3" s="6" t="inlineStr">
        <is>
          <t>수치</t>
        </is>
      </c>
      <c r="F3" s="6" t="inlineStr">
        <is>
          <t>효과/역이용</t>
        </is>
      </c>
    </row>
    <row r="4">
      <c r="A4" s="7">
        <f>== 저주 (12종, 5등급) ===</f>
        <v/>
      </c>
      <c r="B4" s="7" t="inlineStr"/>
      <c r="C4" s="7" t="inlineStr"/>
      <c r="D4" s="7" t="inlineStr"/>
      <c r="E4" s="7" t="inlineStr"/>
      <c r="F4" s="7" t="inlineStr"/>
    </row>
    <row r="5">
      <c r="A5" s="8" t="inlineStr">
        <is>
          <t>T1</t>
        </is>
      </c>
      <c r="B5" s="8" t="inlineStr">
        <is>
          <t>유리 몸</t>
        </is>
      </c>
      <c r="C5" s="8" t="inlineStr">
        <is>
          <t>🪟</t>
        </is>
      </c>
      <c r="D5" s="8" t="n">
        <v>1</v>
      </c>
      <c r="E5" s="8" t="inlineStr">
        <is>
          <t>DEF -50%</t>
        </is>
      </c>
      <c r="F5" s="8" t="inlineStr">
        <is>
          <t>역이용: 반사 데미지 활성화</t>
        </is>
      </c>
    </row>
    <row r="6">
      <c r="A6" s="7" t="inlineStr">
        <is>
          <t>T1</t>
        </is>
      </c>
      <c r="B6" s="7" t="inlineStr">
        <is>
          <t>봉인된 팔</t>
        </is>
      </c>
      <c r="C6" s="7" t="inlineStr">
        <is>
          <t>🚫✋</t>
        </is>
      </c>
      <c r="D6" s="7" t="n">
        <v>1</v>
      </c>
      <c r="E6" s="7" t="inlineStr">
        <is>
          <t>ATK -30%</t>
        </is>
      </c>
      <c r="F6" s="7" t="inlineStr">
        <is>
          <t>역이용: 스킬 데미지 +40%</t>
        </is>
      </c>
    </row>
    <row r="7">
      <c r="A7" s="8" t="inlineStr">
        <is>
          <t>T1</t>
        </is>
      </c>
      <c r="B7" s="8" t="inlineStr">
        <is>
          <t>무거운 사슬</t>
        </is>
      </c>
      <c r="C7" s="8" t="inlineStr">
        <is>
          <t>⛓️</t>
        </is>
      </c>
      <c r="D7" s="8" t="n">
        <v>1</v>
      </c>
      <c r="E7" s="8" t="inlineStr">
        <is>
          <t>속도 -40%</t>
        </is>
      </c>
      <c r="F7" s="8" t="inlineStr">
        <is>
          <t>역이용: 방어력 +20%</t>
        </is>
      </c>
    </row>
    <row r="8">
      <c r="A8" s="7" t="inlineStr">
        <is>
          <t>T2</t>
        </is>
      </c>
      <c r="B8" s="7" t="inlineStr">
        <is>
          <t>마나 누출</t>
        </is>
      </c>
      <c r="C8" s="7" t="inlineStr">
        <is>
          <t>💧🔮</t>
        </is>
      </c>
      <c r="D8" s="7" t="n">
        <v>2</v>
      </c>
      <c r="E8" s="7" t="inlineStr">
        <is>
          <t>초당 MP -5</t>
        </is>
      </c>
      <c r="F8" s="7" t="inlineStr">
        <is>
          <t>역이용: MP 0일 때 물리 2배</t>
        </is>
      </c>
    </row>
    <row r="9">
      <c r="A9" s="8" t="inlineStr">
        <is>
          <t>T2</t>
        </is>
      </c>
      <c r="B9" s="8" t="inlineStr">
        <is>
          <t>피의 저주</t>
        </is>
      </c>
      <c r="C9" s="8" t="inlineStr">
        <is>
          <t>🩸</t>
        </is>
      </c>
      <c r="D9" s="8" t="n">
        <v>2</v>
      </c>
      <c r="E9" s="8" t="inlineStr">
        <is>
          <t>초당 HP -3</t>
        </is>
      </c>
      <c r="F9" s="8" t="inlineStr">
        <is>
          <t>역이용: HP 30%↓ 시 크리 +30%</t>
        </is>
      </c>
    </row>
    <row r="10">
      <c r="A10" s="7" t="inlineStr">
        <is>
          <t>T2</t>
        </is>
      </c>
      <c r="B10" s="7" t="inlineStr">
        <is>
          <t>맹목</t>
        </is>
      </c>
      <c r="C10" s="7" t="inlineStr">
        <is>
          <t>🙈</t>
        </is>
      </c>
      <c r="D10" s="7" t="n">
        <v>2</v>
      </c>
      <c r="E10" s="7" t="inlineStr">
        <is>
          <t>명중 -30%</t>
        </is>
      </c>
      <c r="F10" s="7" t="inlineStr">
        <is>
          <t>역이용: 명중 시 데미지 +50%</t>
        </is>
      </c>
    </row>
    <row r="11">
      <c r="A11" s="8" t="inlineStr">
        <is>
          <t>T3</t>
        </is>
      </c>
      <c r="B11" s="8" t="inlineStr">
        <is>
          <t>영혼의 무게</t>
        </is>
      </c>
      <c r="C11" s="8" t="inlineStr">
        <is>
          <t>👻⬇️</t>
        </is>
      </c>
      <c r="D11" s="8" t="n">
        <v>3</v>
      </c>
      <c r="E11" s="8" t="inlineStr">
        <is>
          <t>EXP -50%</t>
        </is>
      </c>
      <c r="F11" s="8" t="inlineStr">
        <is>
          <t>역이용: 골드 드롭 +100%</t>
        </is>
      </c>
    </row>
    <row r="12">
      <c r="A12" s="7" t="inlineStr">
        <is>
          <t>T3</t>
        </is>
      </c>
      <c r="B12" s="7" t="inlineStr">
        <is>
          <t>역전된 치유</t>
        </is>
      </c>
      <c r="C12" s="7" t="inlineStr">
        <is>
          <t>💚➡️💀</t>
        </is>
      </c>
      <c r="D12" s="7" t="n">
        <v>3</v>
      </c>
      <c r="E12" s="7" t="inlineStr">
        <is>
          <t>회복→데미지</t>
        </is>
      </c>
      <c r="F12" s="7" t="inlineStr">
        <is>
          <t>역이용: 적 힐도 데미지 전환</t>
        </is>
      </c>
    </row>
    <row r="13">
      <c r="A13" s="8" t="inlineStr">
        <is>
          <t>T3</t>
        </is>
      </c>
      <c r="B13" s="8" t="inlineStr">
        <is>
          <t>거울의 고통</t>
        </is>
      </c>
      <c r="C13" s="8" t="inlineStr">
        <is>
          <t>🪞💢</t>
        </is>
      </c>
      <c r="D13" s="8" t="n">
        <v>3</v>
      </c>
      <c r="E13" s="8" t="inlineStr">
        <is>
          <t>가한 데미지 20% 자해</t>
        </is>
      </c>
      <c r="F13" s="8" t="inlineStr">
        <is>
          <t>역이용: 흡혈 효과 3배</t>
        </is>
      </c>
    </row>
    <row r="14">
      <c r="A14" s="7" t="inlineStr">
        <is>
          <t>T4</t>
        </is>
      </c>
      <c r="B14" s="7" t="inlineStr">
        <is>
          <t>시간 균열</t>
        </is>
      </c>
      <c r="C14" s="7" t="inlineStr">
        <is>
          <t>⏳💥</t>
        </is>
      </c>
      <c r="D14" s="7" t="n">
        <v>4</v>
      </c>
      <c r="E14" s="7" t="inlineStr">
        <is>
          <t>스킬 쿨다운 2배</t>
        </is>
      </c>
      <c r="F14" s="7" t="inlineStr">
        <is>
          <t>역이용: 스킬 위력 +80%</t>
        </is>
      </c>
    </row>
    <row r="15">
      <c r="A15" s="8" t="inlineStr">
        <is>
          <t>T4</t>
        </is>
      </c>
      <c r="B15" s="8" t="inlineStr">
        <is>
          <t>공허의 굶주림</t>
        </is>
      </c>
      <c r="C15" s="8" t="inlineStr">
        <is>
          <t>🕳️🍽️</t>
        </is>
      </c>
      <c r="D15" s="8" t="n">
        <v>4</v>
      </c>
      <c r="E15" s="8" t="inlineStr">
        <is>
          <t>방마다 골드 -5%</t>
        </is>
      </c>
      <c r="F15" s="8" t="inlineStr">
        <is>
          <t>역이용: 소모 골드→ATK 버프</t>
        </is>
      </c>
    </row>
    <row r="16">
      <c r="A16" s="7" t="inlineStr">
        <is>
          <t>T5</t>
        </is>
      </c>
      <c r="B16" s="7" t="inlineStr">
        <is>
          <t>죽음의 시계</t>
        </is>
      </c>
      <c r="C16" s="7" t="inlineStr">
        <is>
          <t>⏰💀</t>
        </is>
      </c>
      <c r="D16" s="7" t="n">
        <v>5</v>
      </c>
      <c r="E16" s="7" t="inlineStr">
        <is>
          <t>3분 타임리밋</t>
        </is>
      </c>
      <c r="F16" s="7" t="inlineStr">
        <is>
          <t>역이용: 시간 압박 보너스 보상x3</t>
        </is>
      </c>
    </row>
    <row r="17">
      <c r="A17" s="8" t="inlineStr"/>
      <c r="B17" s="8" t="inlineStr"/>
      <c r="C17" s="8" t="inlineStr"/>
      <c r="D17" s="8" t="inlineStr"/>
      <c r="E17" s="8" t="inlineStr"/>
      <c r="F17" s="8" t="inlineStr"/>
    </row>
    <row r="18">
      <c r="A18" s="7">
        <f>== 저주 조합 시너지 (7종) ===</f>
        <v/>
      </c>
      <c r="B18" s="7" t="inlineStr"/>
      <c r="C18" s="7" t="inlineStr"/>
      <c r="D18" s="7" t="inlineStr"/>
      <c r="E18" s="7" t="inlineStr"/>
      <c r="F18" s="7" t="inlineStr"/>
    </row>
    <row r="19">
      <c r="A19" s="8" t="inlineStr">
        <is>
          <t>조합</t>
        </is>
      </c>
      <c r="B19" s="8" t="inlineStr">
        <is>
          <t>광전사의 길</t>
        </is>
      </c>
      <c r="C19" s="8" t="inlineStr">
        <is>
          <t>🔥⚔️</t>
        </is>
      </c>
      <c r="D19" s="8" t="inlineStr">
        <is>
          <t>유리몸+피의저주</t>
        </is>
      </c>
      <c r="E19" s="8" t="inlineStr">
        <is>
          <t>ATK+80%, 흡혈+15%</t>
        </is>
      </c>
      <c r="F19" s="8" t="inlineStr">
        <is>
          <t>DEF 포기 → 극딜+생존</t>
        </is>
      </c>
    </row>
    <row r="20">
      <c r="A20" s="7" t="inlineStr">
        <is>
          <t>조합</t>
        </is>
      </c>
      <c r="B20" s="7" t="inlineStr">
        <is>
          <t>유령 보행</t>
        </is>
      </c>
      <c r="C20" s="7" t="inlineStr">
        <is>
          <t>👻🚶</t>
        </is>
      </c>
      <c r="D20" s="7" t="inlineStr">
        <is>
          <t>사슬+맹목</t>
        </is>
      </c>
      <c r="E20" s="7" t="inlineStr">
        <is>
          <t>벽 통과, 크리+20%</t>
        </is>
      </c>
      <c r="F20" s="7" t="inlineStr">
        <is>
          <t>이동 불이익 → 기습 특화</t>
        </is>
      </c>
    </row>
    <row r="21">
      <c r="A21" s="8" t="inlineStr">
        <is>
          <t>조합</t>
        </is>
      </c>
      <c r="B21" s="8" t="inlineStr">
        <is>
          <t>혈마법사</t>
        </is>
      </c>
      <c r="C21" s="8" t="inlineStr">
        <is>
          <t>🩸🔮</t>
        </is>
      </c>
      <c r="D21" s="8" t="inlineStr">
        <is>
          <t>마나누출+피의저주</t>
        </is>
      </c>
      <c r="E21" s="8" t="inlineStr">
        <is>
          <t>HP로 마법, 위력+50%</t>
        </is>
      </c>
      <c r="F21" s="8" t="inlineStr">
        <is>
          <t>MP 대신 HP 소모</t>
        </is>
      </c>
    </row>
    <row r="22">
      <c r="A22" s="7" t="inlineStr">
        <is>
          <t>조합</t>
        </is>
      </c>
      <c r="B22" s="7" t="inlineStr">
        <is>
          <t>시간의 지배자</t>
        </is>
      </c>
      <c r="C22" s="7" t="inlineStr">
        <is>
          <t>⏳👑</t>
        </is>
      </c>
      <c r="D22" s="7" t="inlineStr">
        <is>
          <t>시간균열+죽음시계</t>
        </is>
      </c>
      <c r="E22" s="7" t="inlineStr">
        <is>
          <t>5초 시간정지</t>
        </is>
      </c>
      <c r="F22" s="7" t="inlineStr">
        <is>
          <t>극한의 쿨다운+시간 압박</t>
        </is>
      </c>
    </row>
    <row r="23">
      <c r="A23" s="8" t="inlineStr">
        <is>
          <t>조합</t>
        </is>
      </c>
      <c r="B23" s="8" t="inlineStr">
        <is>
          <t>공허의 보행자</t>
        </is>
      </c>
      <c r="C23" s="8" t="inlineStr">
        <is>
          <t>🕳️🚶</t>
        </is>
      </c>
      <c r="D23" s="8" t="inlineStr">
        <is>
          <t>공허굶주림+영혼무게</t>
        </is>
      </c>
      <c r="E23" s="8" t="inlineStr">
        <is>
          <t>공허뎀+40%, 공허면역</t>
        </is>
      </c>
      <c r="F23" s="8" t="inlineStr">
        <is>
          <t>경제적 손실 → 전투력</t>
        </is>
      </c>
    </row>
    <row r="24">
      <c r="A24" s="7" t="inlineStr">
        <is>
          <t>조합</t>
        </is>
      </c>
      <c r="B24" s="7" t="inlineStr">
        <is>
          <t>불사의 몸</t>
        </is>
      </c>
      <c r="C24" s="7" t="inlineStr">
        <is>
          <t>💀❌</t>
        </is>
      </c>
      <c r="D24" s="7" t="inlineStr">
        <is>
          <t>역전치유+거울고통</t>
        </is>
      </c>
      <c r="E24" s="7" t="inlineStr">
        <is>
          <t>부활1회, 최대HP+30%</t>
        </is>
      </c>
      <c r="F24" s="7" t="inlineStr">
        <is>
          <t>자해+역힐 → 불사</t>
        </is>
      </c>
    </row>
    <row r="25">
      <c r="A25" s="8" t="inlineStr">
        <is>
          <t>조합</t>
        </is>
      </c>
      <c r="B25" s="8" t="inlineStr">
        <is>
          <t>완전한 저주</t>
        </is>
      </c>
      <c r="C25" s="8" t="inlineStr">
        <is>
          <t>💀💀💀</t>
        </is>
      </c>
      <c r="D25" s="8" t="inlineStr">
        <is>
          <t>죽음시계+피저주+유리몸</t>
        </is>
      </c>
      <c r="E25" s="8" t="inlineStr">
        <is>
          <t>보상x5, 전설드롭50%</t>
        </is>
      </c>
      <c r="F25" s="8" t="inlineStr">
        <is>
          <t>최대 위험 = 최대 보상</t>
        </is>
      </c>
    </row>
    <row r="26">
      <c r="A26" s="7" t="inlineStr"/>
      <c r="B26" s="7" t="inlineStr"/>
      <c r="C26" s="7" t="inlineStr"/>
      <c r="D26" s="7" t="inlineStr"/>
      <c r="E26" s="7" t="inlineStr"/>
      <c r="F26" s="7" t="inlineStr"/>
    </row>
    <row r="27">
      <c r="A27" s="8">
        <f>== 던전 층 (7층) ===</f>
        <v/>
      </c>
      <c r="B27" s="8" t="inlineStr"/>
      <c r="C27" s="8" t="inlineStr"/>
      <c r="D27" s="8" t="inlineStr"/>
      <c r="E27" s="8" t="inlineStr"/>
      <c r="F27" s="8" t="inlineStr"/>
    </row>
    <row r="28">
      <c r="A28" s="7" t="inlineStr">
        <is>
          <t>1층</t>
        </is>
      </c>
      <c r="B28" s="7" t="inlineStr">
        <is>
          <t>잊힌 예배당</t>
        </is>
      </c>
      <c r="C28" s="7" t="inlineStr">
        <is>
          <t>⛪💀</t>
        </is>
      </c>
      <c r="D28" s="7" t="inlineStr">
        <is>
          <t>HP200/ATK30</t>
        </is>
      </c>
      <c r="E28" s="7" t="inlineStr">
        <is>
          <t>-</t>
        </is>
      </c>
      <c r="F28" s="7" t="inlineStr">
        <is>
          <t>2,000G / 800EXP</t>
        </is>
      </c>
    </row>
    <row r="29">
      <c r="A29" s="8" t="inlineStr">
        <is>
          <t>2층</t>
        </is>
      </c>
      <c r="B29" s="8" t="inlineStr">
        <is>
          <t>썩은 도서관</t>
        </is>
      </c>
      <c r="C29" s="8" t="inlineStr">
        <is>
          <t>📚🕸️</t>
        </is>
      </c>
      <c r="D29" s="8" t="inlineStr">
        <is>
          <t>HP500/ATK50</t>
        </is>
      </c>
      <c r="E29" s="8" t="inlineStr">
        <is>
          <t>-</t>
        </is>
      </c>
      <c r="F29" s="8" t="inlineStr">
        <is>
          <t>3,500G / 1,500EXP</t>
        </is>
      </c>
    </row>
    <row r="30">
      <c r="A30" s="7" t="inlineStr">
        <is>
          <t>3층</t>
        </is>
      </c>
      <c r="B30" s="7" t="inlineStr">
        <is>
          <t>거꾸로 된 정원</t>
        </is>
      </c>
      <c r="C30" s="7" t="inlineStr">
        <is>
          <t>🌿🔄</t>
        </is>
      </c>
      <c r="D30" s="7" t="inlineStr">
        <is>
          <t>HP800/ATK75</t>
        </is>
      </c>
      <c r="E30" s="7" t="inlineStr">
        <is>
          <t>-</t>
        </is>
      </c>
      <c r="F30" s="7" t="inlineStr">
        <is>
          <t>5,000G / 2,500EXP</t>
        </is>
      </c>
    </row>
    <row r="31">
      <c r="A31" s="8" t="inlineStr">
        <is>
          <t>4층</t>
        </is>
      </c>
      <c r="B31" s="8" t="inlineStr">
        <is>
          <t>피의 분수대</t>
        </is>
      </c>
      <c r="C31" s="8" t="inlineStr">
        <is>
          <t>⛲🩸</t>
        </is>
      </c>
      <c r="D31" s="8" t="inlineStr">
        <is>
          <t>HP1200/ATK100</t>
        </is>
      </c>
      <c r="E31" s="8" t="inlineStr">
        <is>
          <t>-</t>
        </is>
      </c>
      <c r="F31" s="8" t="inlineStr">
        <is>
          <t>8,000G / 4,000EXP</t>
        </is>
      </c>
    </row>
    <row r="32">
      <c r="A32" s="7" t="inlineStr">
        <is>
          <t>5층</t>
        </is>
      </c>
      <c r="B32" s="7" t="inlineStr">
        <is>
          <t>뒤틀린 거울의 방</t>
        </is>
      </c>
      <c r="C32" s="7" t="inlineStr">
        <is>
          <t>🪞👹</t>
        </is>
      </c>
      <c r="D32" s="7" t="inlineStr">
        <is>
          <t>HP1800/ATK130</t>
        </is>
      </c>
      <c r="E32" s="7" t="inlineStr">
        <is>
          <t>-</t>
        </is>
      </c>
      <c r="F32" s="7" t="inlineStr">
        <is>
          <t>12,000G / 6,000EXP</t>
        </is>
      </c>
    </row>
    <row r="33">
      <c r="A33" s="8" t="inlineStr">
        <is>
          <t>6층</t>
        </is>
      </c>
      <c r="B33" s="8" t="inlineStr">
        <is>
          <t>고문실</t>
        </is>
      </c>
      <c r="C33" s="8" t="inlineStr">
        <is>
          <t>⛏️💀</t>
        </is>
      </c>
      <c r="D33" s="8" t="inlineStr">
        <is>
          <t>HP2500/ATK160</t>
        </is>
      </c>
      <c r="E33" s="8" t="inlineStr">
        <is>
          <t>-</t>
        </is>
      </c>
      <c r="F33" s="8" t="inlineStr">
        <is>
          <t>18,000G / 9,000EXP</t>
        </is>
      </c>
    </row>
    <row r="34">
      <c r="A34" s="7" t="inlineStr">
        <is>
          <t>7층</t>
        </is>
      </c>
      <c r="B34" s="7" t="inlineStr">
        <is>
          <t>역전된 왕좌</t>
        </is>
      </c>
      <c r="C34" s="7" t="inlineStr">
        <is>
          <t>👑🔄</t>
        </is>
      </c>
      <c r="D34" s="7" t="inlineStr">
        <is>
          <t>HP3500/ATK200</t>
        </is>
      </c>
      <c r="E34" s="7" t="inlineStr">
        <is>
          <t>-</t>
        </is>
      </c>
      <c r="F34" s="7" t="inlineStr">
        <is>
          <t>25,000G / 13,000EXP</t>
        </is>
      </c>
    </row>
    <row r="35">
      <c r="A35" s="8" t="inlineStr"/>
      <c r="B35" s="8" t="inlineStr"/>
      <c r="C35" s="8" t="inlineStr"/>
      <c r="D35" s="8" t="inlineStr"/>
      <c r="E35" s="8" t="inlineStr"/>
      <c r="F35" s="8" t="inlineStr"/>
    </row>
    <row r="36">
      <c r="A36" s="7">
        <f>== 보스 (3종) ===</f>
        <v/>
      </c>
      <c r="B36" s="7" t="inlineStr"/>
      <c r="C36" s="7" t="inlineStr"/>
      <c r="D36" s="7" t="inlineStr"/>
      <c r="E36" s="7" t="inlineStr"/>
      <c r="F36" s="7" t="inlineStr"/>
    </row>
    <row r="37">
      <c r="A37" s="8" t="inlineStr">
        <is>
          <t>보스</t>
        </is>
      </c>
      <c r="B37" s="8" t="inlineStr">
        <is>
          <t>저주 직공 말레딕투스</t>
        </is>
      </c>
      <c r="C37" s="8" t="inlineStr">
        <is>
          <t>🕷️💀</t>
        </is>
      </c>
      <c r="D37" s="8" t="inlineStr">
        <is>
          <t>HP20K/ATK350/DEF150</t>
        </is>
      </c>
      <c r="E37" s="8" t="inlineStr">
        <is>
          <t>페이즈2(40%): ATKx1.5</t>
        </is>
      </c>
      <c r="F37" s="8" t="inlineStr">
        <is>
          <t>저주거미줄, 고통바늘, 절망고치</t>
        </is>
      </c>
    </row>
    <row r="38">
      <c r="A38" s="7" t="inlineStr">
        <is>
          <t>보스</t>
        </is>
      </c>
      <c r="B38" s="7" t="inlineStr">
        <is>
          <t>거울 악마 리플렉스</t>
        </is>
      </c>
      <c r="C38" s="7" t="inlineStr">
        <is>
          <t>🪞😈</t>
        </is>
      </c>
      <c r="D38" s="7" t="inlineStr">
        <is>
          <t>HP30K/ATK250/DEF250</t>
        </is>
      </c>
      <c r="E38" s="7" t="inlineStr">
        <is>
          <t>페이즈2(30%): 분신3체</t>
        </is>
      </c>
      <c r="F38" s="7" t="inlineStr">
        <is>
          <t>완벽복제, 거울파편, 자아침식</t>
        </is>
      </c>
    </row>
    <row r="39">
      <c r="A39" s="8" t="inlineStr">
        <is>
          <t>보스</t>
        </is>
      </c>
      <c r="B39" s="8" t="inlineStr">
        <is>
          <t>피의 신 헤마토스</t>
        </is>
      </c>
      <c r="C39" s="8" t="inlineStr">
        <is>
          <t>🩸👹</t>
        </is>
      </c>
      <c r="D39" s="8" t="inlineStr">
        <is>
          <t>HP50K/ATK500/DEF100</t>
        </is>
      </c>
      <c r="E39" s="8" t="inlineStr">
        <is>
          <t>페이즈2(50%): 흡혈30%+재생</t>
        </is>
      </c>
      <c r="F39" s="8" t="inlineStr">
        <is>
          <t>혈류조종, 핏빛폭우, 생명흡수</t>
        </is>
      </c>
    </row>
    <row r="40">
      <c r="A40" s="7" t="inlineStr"/>
      <c r="B40" s="7" t="inlineStr"/>
      <c r="C40" s="7" t="inlineStr"/>
      <c r="D40" s="7" t="inlineStr"/>
      <c r="E40" s="7" t="inlineStr"/>
      <c r="F40" s="7" t="inlineStr"/>
    </row>
    <row r="41">
      <c r="A41" s="8">
        <f>== 제단 (5종, 층 사이 선택) ===</f>
        <v/>
      </c>
      <c r="B41" s="8" t="inlineStr"/>
      <c r="C41" s="8" t="inlineStr"/>
      <c r="D41" s="8" t="inlineStr"/>
      <c r="E41" s="8" t="inlineStr"/>
      <c r="F41" s="8" t="inlineStr"/>
    </row>
    <row r="42">
      <c r="A42" s="7" t="inlineStr">
        <is>
          <t>제단</t>
        </is>
      </c>
      <c r="B42" s="7" t="inlineStr">
        <is>
          <t>정화 제단</t>
        </is>
      </c>
      <c r="C42" s="7" t="inlineStr">
        <is>
          <t>✨⛪</t>
        </is>
      </c>
      <c r="D42" s="7" t="inlineStr">
        <is>
          <t>-</t>
        </is>
      </c>
      <c r="E42" s="7" t="inlineStr">
        <is>
          <t>저주1개 제거</t>
        </is>
      </c>
      <c r="F42" s="7" t="inlineStr">
        <is>
          <t>보상 -20%</t>
        </is>
      </c>
    </row>
    <row r="43">
      <c r="A43" s="8" t="inlineStr">
        <is>
          <t>제단</t>
        </is>
      </c>
      <c r="B43" s="8" t="inlineStr">
        <is>
          <t>강화 제단</t>
        </is>
      </c>
      <c r="C43" s="8" t="inlineStr">
        <is>
          <t>💪⛪</t>
        </is>
      </c>
      <c r="D43" s="8" t="inlineStr">
        <is>
          <t>-</t>
        </is>
      </c>
      <c r="E43" s="8" t="inlineStr">
        <is>
          <t>저주 효과 2배</t>
        </is>
      </c>
      <c r="F43" s="8" t="inlineStr">
        <is>
          <t>보상도 2배!</t>
        </is>
      </c>
    </row>
    <row r="44">
      <c r="A44" s="7" t="inlineStr">
        <is>
          <t>제단</t>
        </is>
      </c>
      <c r="B44" s="7" t="inlineStr">
        <is>
          <t>교환 제단</t>
        </is>
      </c>
      <c r="C44" s="7" t="inlineStr">
        <is>
          <t>🔄⛪</t>
        </is>
      </c>
      <c r="D44" s="7" t="inlineStr">
        <is>
          <t>-</t>
        </is>
      </c>
      <c r="E44" s="7" t="inlineStr">
        <is>
          <t>현재 저주 교체</t>
        </is>
      </c>
      <c r="F44" s="7" t="inlineStr">
        <is>
          <t>랜덤 다른 저주로</t>
        </is>
      </c>
    </row>
    <row r="45">
      <c r="A45" s="8" t="inlineStr">
        <is>
          <t>제단</t>
        </is>
      </c>
      <c r="B45" s="8" t="inlineStr">
        <is>
          <t>수용 제단</t>
        </is>
      </c>
      <c r="C45" s="8" t="inlineStr">
        <is>
          <t>🖤⛪</t>
        </is>
      </c>
      <c r="D45" s="8" t="inlineStr">
        <is>
          <t>-</t>
        </is>
      </c>
      <c r="E45" s="8" t="inlineStr">
        <is>
          <t>저주 1개 추가</t>
        </is>
      </c>
      <c r="F45" s="8" t="inlineStr">
        <is>
          <t>보상 +50%</t>
        </is>
      </c>
    </row>
    <row r="46">
      <c r="A46" s="7" t="inlineStr">
        <is>
          <t>제단</t>
        </is>
      </c>
      <c r="B46" s="7" t="inlineStr">
        <is>
          <t>희생 제단</t>
        </is>
      </c>
      <c r="C46" s="7" t="inlineStr">
        <is>
          <t>🩸⛪</t>
        </is>
      </c>
      <c r="D46" s="7" t="inlineStr">
        <is>
          <t>-</t>
        </is>
      </c>
      <c r="E46" s="7" t="inlineStr">
        <is>
          <t>HP 30% 희생</t>
        </is>
      </c>
      <c r="F46" s="7" t="inlineStr">
        <is>
          <t>다음 층 데미지 +50%</t>
        </is>
      </c>
    </row>
    <row r="47">
      <c r="A47" s="8" t="inlineStr"/>
      <c r="B47" s="8" t="inlineStr"/>
      <c r="C47" s="8" t="inlineStr"/>
      <c r="D47" s="8" t="inlineStr"/>
      <c r="E47" s="8" t="inlineStr"/>
      <c r="F47" s="8" t="inlineStr"/>
    </row>
    <row r="48">
      <c r="A48" s="7" t="inlineStr">
        <is>
          <t>시스템</t>
        </is>
      </c>
      <c r="B48" s="7" t="inlineStr">
        <is>
          <t>입장조건</t>
        </is>
      </c>
      <c r="C48" s="7" t="inlineStr">
        <is>
          <t>Lv.20+</t>
        </is>
      </c>
      <c r="D48" s="7" t="inlineStr">
        <is>
          <t>입장료</t>
        </is>
      </c>
      <c r="E48" s="7" t="inlineStr">
        <is>
          <t>5,000G</t>
        </is>
      </c>
      <c r="F48" s="7" t="inlineStr">
        <is>
          <t>쿨다운 15분 / 저주 1~3개 랜덤 / 보상배율 = 1.0 + 저주수x0.3</t>
        </is>
      </c>
    </row>
  </sheetData>
  <mergeCells count="1">
    <mergeCell ref="A1:F1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8" customWidth="1" min="4" max="4"/>
    <col width="5" customWidth="1" min="5" max="5"/>
    <col width="5" customWidth="1" min="6" max="6"/>
    <col width="5" customWidth="1" min="7" max="7"/>
    <col width="36" customWidth="1" min="8" max="8"/>
  </cols>
  <sheetData>
    <row r="1">
      <c r="A1" s="5" t="inlineStr">
        <is>
          <t>운명의 결투 (v2.43)</t>
        </is>
      </c>
    </row>
    <row r="3">
      <c r="A3" s="6" t="inlineStr">
        <is>
          <t>카드ID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원소</t>
        </is>
      </c>
      <c r="E3" s="6" t="inlineStr">
        <is>
          <t>티어</t>
        </is>
      </c>
      <c r="F3" s="6" t="inlineStr">
        <is>
          <t>ATK</t>
        </is>
      </c>
      <c r="G3" s="6" t="inlineStr">
        <is>
          <t>DEF</t>
        </is>
      </c>
      <c r="H3" s="6" t="inlineStr">
        <is>
          <t>능력</t>
        </is>
      </c>
    </row>
    <row r="4">
      <c r="A4" s="7" t="inlineStr">
        <is>
          <t>fire_spark</t>
        </is>
      </c>
      <c r="B4" s="7" t="inlineStr">
        <is>
          <t>불꽃</t>
        </is>
      </c>
      <c r="C4" s="7" t="inlineStr">
        <is>
          <t>🔥</t>
        </is>
      </c>
      <c r="D4" s="7" t="inlineStr">
        <is>
          <t>화염</t>
        </is>
      </c>
      <c r="E4" s="7" t="n">
        <v>1</v>
      </c>
      <c r="F4" s="7" t="n">
        <v>3</v>
      </c>
      <c r="G4" s="7" t="n">
        <v>1</v>
      </c>
      <c r="H4" s="7" t="inlineStr">
        <is>
          <t>-</t>
        </is>
      </c>
    </row>
    <row r="5">
      <c r="A5" s="8" t="inlineStr">
        <is>
          <t>fire_blaze</t>
        </is>
      </c>
      <c r="B5" s="8" t="inlineStr">
        <is>
          <t>맹화</t>
        </is>
      </c>
      <c r="C5" s="8" t="inlineStr">
        <is>
          <t>🔥🔥</t>
        </is>
      </c>
      <c r="D5" s="8" t="inlineStr">
        <is>
          <t>화염</t>
        </is>
      </c>
      <c r="E5" s="8" t="n">
        <v>2</v>
      </c>
      <c r="F5" s="8" t="n">
        <v>6</v>
      </c>
      <c r="G5" s="8" t="n">
        <v>2</v>
      </c>
      <c r="H5" s="8" t="inlineStr">
        <is>
          <t>화상: 상대 DEF-1</t>
        </is>
      </c>
    </row>
    <row r="6">
      <c r="A6" s="7" t="inlineStr">
        <is>
          <t>fire_inferno</t>
        </is>
      </c>
      <c r="B6" s="7" t="inlineStr">
        <is>
          <t>업화</t>
        </is>
      </c>
      <c r="C6" s="7" t="inlineStr">
        <is>
          <t>🌋</t>
        </is>
      </c>
      <c r="D6" s="7" t="inlineStr">
        <is>
          <t>화염</t>
        </is>
      </c>
      <c r="E6" s="7" t="n">
        <v>3</v>
      </c>
      <c r="F6" s="7" t="n">
        <v>10</v>
      </c>
      <c r="G6" s="7" t="n">
        <v>3</v>
      </c>
      <c r="H6" s="7" t="inlineStr">
        <is>
          <t>상대 낮은카드 파괴</t>
        </is>
      </c>
    </row>
    <row r="7">
      <c r="A7" s="8" t="inlineStr">
        <is>
          <t>fire_apocalypse</t>
        </is>
      </c>
      <c r="B7" s="8" t="inlineStr">
        <is>
          <t>종말의 불꽃</t>
        </is>
      </c>
      <c r="C7" s="8" t="inlineStr">
        <is>
          <t>☄️</t>
        </is>
      </c>
      <c r="D7" s="8" t="inlineStr">
        <is>
          <t>화염</t>
        </is>
      </c>
      <c r="E7" s="8" t="n">
        <v>4</v>
      </c>
      <c r="F7" s="8" t="n">
        <v>15</v>
      </c>
      <c r="G7" s="8" t="n">
        <v>5</v>
      </c>
      <c r="H7" s="8" t="inlineStr">
        <is>
          <t>상대 전체 DEF 무시</t>
        </is>
      </c>
    </row>
    <row r="8">
      <c r="A8" s="7" t="inlineStr">
        <is>
          <t>ice_frost</t>
        </is>
      </c>
      <c r="B8" s="7" t="inlineStr">
        <is>
          <t>서리</t>
        </is>
      </c>
      <c r="C8" s="7" t="inlineStr">
        <is>
          <t>❄️</t>
        </is>
      </c>
      <c r="D8" s="7" t="inlineStr">
        <is>
          <t>빙결</t>
        </is>
      </c>
      <c r="E8" s="7" t="n">
        <v>1</v>
      </c>
      <c r="F8" s="7" t="n">
        <v>2</v>
      </c>
      <c r="G8" s="7" t="n">
        <v>3</v>
      </c>
      <c r="H8" s="7" t="inlineStr">
        <is>
          <t>-</t>
        </is>
      </c>
    </row>
    <row r="9">
      <c r="A9" s="8" t="inlineStr">
        <is>
          <t>ice_glacier</t>
        </is>
      </c>
      <c r="B9" s="8" t="inlineStr">
        <is>
          <t>빙하</t>
        </is>
      </c>
      <c r="C9" s="8" t="inlineStr">
        <is>
          <t>🧊</t>
        </is>
      </c>
      <c r="D9" s="8" t="inlineStr">
        <is>
          <t>빙결</t>
        </is>
      </c>
      <c r="E9" s="8" t="n">
        <v>2</v>
      </c>
      <c r="F9" s="8" t="n">
        <v>4</v>
      </c>
      <c r="G9" s="8" t="n">
        <v>5</v>
      </c>
      <c r="H9" s="8" t="inlineStr">
        <is>
          <t>상대 ATK-2</t>
        </is>
      </c>
    </row>
    <row r="10">
      <c r="A10" s="7" t="inlineStr">
        <is>
          <t>ice_blizzard</t>
        </is>
      </c>
      <c r="B10" s="7" t="inlineStr">
        <is>
          <t>눈보라</t>
        </is>
      </c>
      <c r="C10" s="7" t="inlineStr">
        <is>
          <t>🌨️</t>
        </is>
      </c>
      <c r="D10" s="7" t="inlineStr">
        <is>
          <t>빙결</t>
        </is>
      </c>
      <c r="E10" s="7" t="n">
        <v>3</v>
      </c>
      <c r="F10" s="7" t="n">
        <v>7</v>
      </c>
      <c r="G10" s="7" t="n">
        <v>8</v>
      </c>
      <c r="H10" s="7" t="inlineStr">
        <is>
          <t>상대 손패 1장 동결</t>
        </is>
      </c>
    </row>
    <row r="11">
      <c r="A11" s="8" t="inlineStr">
        <is>
          <t>ice_absolute</t>
        </is>
      </c>
      <c r="B11" s="8" t="inlineStr">
        <is>
          <t>절대 영도</t>
        </is>
      </c>
      <c r="C11" s="8" t="inlineStr">
        <is>
          <t>💠</t>
        </is>
      </c>
      <c r="D11" s="8" t="inlineStr">
        <is>
          <t>빙결</t>
        </is>
      </c>
      <c r="E11" s="8" t="n">
        <v>4</v>
      </c>
      <c r="F11" s="8" t="n">
        <v>10</v>
      </c>
      <c r="G11" s="8" t="n">
        <v>14</v>
      </c>
      <c r="H11" s="8" t="inlineStr">
        <is>
          <t>이번 턴 데미지 무효</t>
        </is>
      </c>
    </row>
    <row r="12">
      <c r="A12" s="7" t="inlineStr">
        <is>
          <t>thunder_spark</t>
        </is>
      </c>
      <c r="B12" s="7" t="inlineStr">
        <is>
          <t>정전기</t>
        </is>
      </c>
      <c r="C12" s="7" t="inlineStr">
        <is>
          <t>⚡</t>
        </is>
      </c>
      <c r="D12" s="7" t="inlineStr">
        <is>
          <t>번개</t>
        </is>
      </c>
      <c r="E12" s="7" t="n">
        <v>1</v>
      </c>
      <c r="F12" s="7" t="n">
        <v>4</v>
      </c>
      <c r="G12" s="7" t="n">
        <v>0</v>
      </c>
      <c r="H12" s="7" t="inlineStr">
        <is>
          <t>-</t>
        </is>
      </c>
    </row>
    <row r="13">
      <c r="A13" s="8" t="inlineStr">
        <is>
          <t>thunder_bolt</t>
        </is>
      </c>
      <c r="B13" s="8" t="inlineStr">
        <is>
          <t>낙뢰</t>
        </is>
      </c>
      <c r="C13" s="8" t="inlineStr">
        <is>
          <t>🌩️</t>
        </is>
      </c>
      <c r="D13" s="8" t="inlineStr">
        <is>
          <t>번개</t>
        </is>
      </c>
      <c r="E13" s="8" t="n">
        <v>2</v>
      </c>
      <c r="F13" s="8" t="n">
        <v>7</v>
      </c>
      <c r="G13" s="8" t="n">
        <v>1</v>
      </c>
      <c r="H13" s="8" t="inlineStr">
        <is>
          <t>연쇄 +2 데미지</t>
        </is>
      </c>
    </row>
    <row r="14">
      <c r="A14" s="7" t="inlineStr">
        <is>
          <t>thunder_storm</t>
        </is>
      </c>
      <c r="B14" s="7" t="inlineStr">
        <is>
          <t>뇌우</t>
        </is>
      </c>
      <c r="C14" s="7" t="inlineStr">
        <is>
          <t>⛈️</t>
        </is>
      </c>
      <c r="D14" s="7" t="inlineStr">
        <is>
          <t>번개</t>
        </is>
      </c>
      <c r="E14" s="7" t="n">
        <v>3</v>
      </c>
      <c r="F14" s="7" t="n">
        <v>11</v>
      </c>
      <c r="G14" s="7" t="n">
        <v>2</v>
      </c>
      <c r="H14" s="7" t="inlineStr">
        <is>
          <t>상대 다음카드 효과 무력화</t>
        </is>
      </c>
    </row>
    <row r="15">
      <c r="A15" s="8" t="inlineStr">
        <is>
          <t>thunder_god</t>
        </is>
      </c>
      <c r="B15" s="8" t="inlineStr">
        <is>
          <t>뇌신의 심판</t>
        </is>
      </c>
      <c r="C15" s="8" t="inlineStr">
        <is>
          <t>⚡👑</t>
        </is>
      </c>
      <c r="D15" s="8" t="inlineStr">
        <is>
          <t>번개</t>
        </is>
      </c>
      <c r="E15" s="8" t="n">
        <v>4</v>
      </c>
      <c r="F15" s="8" t="n">
        <v>18</v>
      </c>
      <c r="G15" s="8" t="n">
        <v>0</v>
      </c>
      <c r="H15" s="8" t="inlineStr">
        <is>
          <t>2턴 연속 공격 (2회 적용)</t>
        </is>
      </c>
    </row>
    <row r="16">
      <c r="A16" s="7" t="inlineStr">
        <is>
          <t>earth_pebble</t>
        </is>
      </c>
      <c r="B16" s="7" t="inlineStr">
        <is>
          <t>자갈</t>
        </is>
      </c>
      <c r="C16" s="7" t="inlineStr">
        <is>
          <t>🪨</t>
        </is>
      </c>
      <c r="D16" s="7" t="inlineStr">
        <is>
          <t>대지</t>
        </is>
      </c>
      <c r="E16" s="7" t="n">
        <v>1</v>
      </c>
      <c r="F16" s="7" t="n">
        <v>1</v>
      </c>
      <c r="G16" s="7" t="n">
        <v>4</v>
      </c>
      <c r="H16" s="7" t="inlineStr">
        <is>
          <t>-</t>
        </is>
      </c>
    </row>
    <row r="17">
      <c r="A17" s="8" t="inlineStr">
        <is>
          <t>earth_boulder</t>
        </is>
      </c>
      <c r="B17" s="8" t="inlineStr">
        <is>
          <t>바위</t>
        </is>
      </c>
      <c r="C17" s="8" t="inlineStr">
        <is>
          <t>⛰️</t>
        </is>
      </c>
      <c r="D17" s="8" t="inlineStr">
        <is>
          <t>대지</t>
        </is>
      </c>
      <c r="E17" s="8" t="n">
        <v>2</v>
      </c>
      <c r="F17" s="8" t="n">
        <v>3</v>
      </c>
      <c r="G17" s="8" t="n">
        <v>6</v>
      </c>
      <c r="H17" s="8" t="inlineStr">
        <is>
          <t>다음턴 자신 DEF+3</t>
        </is>
      </c>
    </row>
    <row r="18">
      <c r="A18" s="7" t="inlineStr">
        <is>
          <t>earth_quake</t>
        </is>
      </c>
      <c r="B18" s="7" t="inlineStr">
        <is>
          <t>지진</t>
        </is>
      </c>
      <c r="C18" s="7" t="inlineStr">
        <is>
          <t>🌍💥</t>
        </is>
      </c>
      <c r="D18" s="7" t="inlineStr">
        <is>
          <t>대지</t>
        </is>
      </c>
      <c r="E18" s="7" t="n">
        <v>3</v>
      </c>
      <c r="F18" s="7" t="n">
        <v>8</v>
      </c>
      <c r="G18" s="7" t="n">
        <v>7</v>
      </c>
      <c r="H18" s="7" t="inlineStr">
        <is>
          <t>상대 방어카드 -50%</t>
        </is>
      </c>
    </row>
    <row r="19">
      <c r="A19" s="8" t="inlineStr">
        <is>
          <t>earth_titan</t>
        </is>
      </c>
      <c r="B19" s="8" t="inlineStr">
        <is>
          <t>대지의 거신</t>
        </is>
      </c>
      <c r="C19" s="8" t="inlineStr">
        <is>
          <t>🗿</t>
        </is>
      </c>
      <c r="D19" s="8" t="inlineStr">
        <is>
          <t>대지</t>
        </is>
      </c>
      <c r="E19" s="8" t="n">
        <v>4</v>
      </c>
      <c r="F19" s="8" t="n">
        <v>12</v>
      </c>
      <c r="G19" s="8" t="n">
        <v>12</v>
      </c>
      <c r="H19" s="8" t="inlineStr">
        <is>
          <t>받는 데미지 최대 5</t>
        </is>
      </c>
    </row>
    <row r="20">
      <c r="A20" s="7" t="inlineStr">
        <is>
          <t>dark_shadow</t>
        </is>
      </c>
      <c r="B20" s="7" t="inlineStr">
        <is>
          <t>그림자</t>
        </is>
      </c>
      <c r="C20" s="7" t="inlineStr">
        <is>
          <t>🌑</t>
        </is>
      </c>
      <c r="D20" s="7" t="inlineStr">
        <is>
          <t>암흑</t>
        </is>
      </c>
      <c r="E20" s="7" t="n">
        <v>1</v>
      </c>
      <c r="F20" s="7" t="n">
        <v>3</v>
      </c>
      <c r="G20" s="7" t="n">
        <v>2</v>
      </c>
      <c r="H20" s="7" t="inlineStr">
        <is>
          <t>-</t>
        </is>
      </c>
    </row>
    <row r="21">
      <c r="A21" s="8" t="inlineStr">
        <is>
          <t>dark_curse</t>
        </is>
      </c>
      <c r="B21" s="8" t="inlineStr">
        <is>
          <t>저주</t>
        </is>
      </c>
      <c r="C21" s="8" t="inlineStr">
        <is>
          <t>💀</t>
        </is>
      </c>
      <c r="D21" s="8" t="inlineStr">
        <is>
          <t>암흑</t>
        </is>
      </c>
      <c r="E21" s="8" t="n">
        <v>2</v>
      </c>
      <c r="F21" s="8" t="n">
        <v>5</v>
      </c>
      <c r="G21" s="8" t="n">
        <v>3</v>
      </c>
      <c r="H21" s="8" t="inlineStr">
        <is>
          <t>상대 ATK/DEF -1</t>
        </is>
      </c>
    </row>
    <row r="22">
      <c r="A22" s="7" t="inlineStr">
        <is>
          <t>dark_abyss</t>
        </is>
      </c>
      <c r="B22" s="7" t="inlineStr">
        <is>
          <t>심연</t>
        </is>
      </c>
      <c r="C22" s="7" t="inlineStr">
        <is>
          <t>🕳️</t>
        </is>
      </c>
      <c r="D22" s="7" t="inlineStr">
        <is>
          <t>암흑</t>
        </is>
      </c>
      <c r="E22" s="7" t="n">
        <v>3</v>
      </c>
      <c r="F22" s="7" t="n">
        <v>9</v>
      </c>
      <c r="G22" s="7" t="n">
        <v>5</v>
      </c>
      <c r="H22" s="7" t="inlineStr">
        <is>
          <t>데미지 50% HP 회복</t>
        </is>
      </c>
    </row>
    <row r="23">
      <c r="A23" s="8" t="inlineStr">
        <is>
          <t>dark_oblivion</t>
        </is>
      </c>
      <c r="B23" s="8" t="inlineStr">
        <is>
          <t>망각</t>
        </is>
      </c>
      <c r="C23" s="8" t="inlineStr">
        <is>
          <t>💀🕳️</t>
        </is>
      </c>
      <c r="D23" s="8" t="inlineStr">
        <is>
          <t>암흑</t>
        </is>
      </c>
      <c r="E23" s="8" t="n">
        <v>4</v>
      </c>
      <c r="F23" s="8" t="n">
        <v>14</v>
      </c>
      <c r="G23" s="8" t="n">
        <v>7</v>
      </c>
      <c r="H23" s="8" t="inlineStr">
        <is>
          <t>상대 손패 확인+1장 제거</t>
        </is>
      </c>
    </row>
    <row r="24">
      <c r="A24" s="7" t="inlineStr">
        <is>
          <t>light_glow</t>
        </is>
      </c>
      <c r="B24" s="7" t="inlineStr">
        <is>
          <t>빛줄기</t>
        </is>
      </c>
      <c r="C24" s="7" t="inlineStr">
        <is>
          <t>✨</t>
        </is>
      </c>
      <c r="D24" s="7" t="inlineStr">
        <is>
          <t>성광</t>
        </is>
      </c>
      <c r="E24" s="7" t="n">
        <v>1</v>
      </c>
      <c r="F24" s="7" t="n">
        <v>2</v>
      </c>
      <c r="G24" s="7" t="n">
        <v>2</v>
      </c>
      <c r="H24" s="7" t="inlineStr">
        <is>
          <t>-</t>
        </is>
      </c>
    </row>
    <row r="25">
      <c r="A25" s="8" t="inlineStr">
        <is>
          <t>light_radiance</t>
        </is>
      </c>
      <c r="B25" s="8" t="inlineStr">
        <is>
          <t>광휘</t>
        </is>
      </c>
      <c r="C25" s="8" t="inlineStr">
        <is>
          <t>🌟</t>
        </is>
      </c>
      <c r="D25" s="8" t="inlineStr">
        <is>
          <t>성광</t>
        </is>
      </c>
      <c r="E25" s="8" t="n">
        <v>2</v>
      </c>
      <c r="F25" s="8" t="n">
        <v>4</v>
      </c>
      <c r="G25" s="8" t="n">
        <v>4</v>
      </c>
      <c r="H25" s="8" t="inlineStr">
        <is>
          <t>HP +3 회복</t>
        </is>
      </c>
    </row>
    <row r="26">
      <c r="A26" s="7" t="inlineStr">
        <is>
          <t>light_judgment</t>
        </is>
      </c>
      <c r="B26" s="7" t="inlineStr">
        <is>
          <t>심판</t>
        </is>
      </c>
      <c r="C26" s="7" t="inlineStr">
        <is>
          <t>⚖️</t>
        </is>
      </c>
      <c r="D26" s="7" t="inlineStr">
        <is>
          <t>성광</t>
        </is>
      </c>
      <c r="E26" s="7" t="n">
        <v>3</v>
      </c>
      <c r="F26" s="7" t="n">
        <v>8</v>
      </c>
      <c r="G26" s="7" t="n">
        <v>6</v>
      </c>
      <c r="H26" s="7" t="inlineStr">
        <is>
          <t>자신 디버프 전부 해제</t>
        </is>
      </c>
    </row>
    <row r="27">
      <c r="A27" s="8" t="inlineStr">
        <is>
          <t>light_miracle</t>
        </is>
      </c>
      <c r="B27" s="8" t="inlineStr">
        <is>
          <t>기적</t>
        </is>
      </c>
      <c r="C27" s="8" t="inlineStr">
        <is>
          <t>🌈</t>
        </is>
      </c>
      <c r="D27" s="8" t="inlineStr">
        <is>
          <t>성광</t>
        </is>
      </c>
      <c r="E27" s="8" t="n">
        <v>4</v>
      </c>
      <c r="F27" s="8" t="n">
        <v>11</v>
      </c>
      <c r="G27" s="8" t="n">
        <v>10</v>
      </c>
      <c r="H27" s="8" t="inlineStr">
        <is>
          <t>HP1↓시 HP15 회복 (1회)</t>
        </is>
      </c>
    </row>
    <row r="28">
      <c r="A28" s="7" t="inlineStr">
        <is>
          <t>fate_reverse</t>
        </is>
      </c>
      <c r="B28" s="7" t="inlineStr">
        <is>
          <t>운명 반전</t>
        </is>
      </c>
      <c r="C28" s="7" t="inlineStr">
        <is>
          <t>🔄✨</t>
        </is>
      </c>
      <c r="D28" s="7" t="inlineStr">
        <is>
          <t>운명</t>
        </is>
      </c>
      <c r="E28" s="7" t="n">
        <v>5</v>
      </c>
      <c r="F28" s="7" t="n">
        <v>0</v>
      </c>
      <c r="G28" s="7" t="n">
        <v>0</v>
      </c>
      <c r="H28" s="7" t="inlineStr">
        <is>
          <t>양측 ATK↔DEF 교환</t>
        </is>
      </c>
    </row>
    <row r="29">
      <c r="A29" s="8" t="inlineStr">
        <is>
          <t>fate_mirror</t>
        </is>
      </c>
      <c r="B29" s="8" t="inlineStr">
        <is>
          <t>운명의 거울</t>
        </is>
      </c>
      <c r="C29" s="8" t="inlineStr">
        <is>
          <t>🪞✨</t>
        </is>
      </c>
      <c r="D29" s="8" t="inlineStr">
        <is>
          <t>운명</t>
        </is>
      </c>
      <c r="E29" s="8" t="n">
        <v>5</v>
      </c>
      <c r="F29" s="8" t="n">
        <v>0</v>
      </c>
      <c r="G29" s="8" t="n">
        <v>0</v>
      </c>
      <c r="H29" s="8" t="inlineStr">
        <is>
          <t>상대 카드 복제</t>
        </is>
      </c>
    </row>
    <row r="30">
      <c r="A30" s="7" t="inlineStr">
        <is>
          <t>fate_gamble</t>
        </is>
      </c>
      <c r="B30" s="7" t="inlineStr">
        <is>
          <t>운명의 도박</t>
        </is>
      </c>
      <c r="C30" s="7" t="inlineStr">
        <is>
          <t>🎲✨</t>
        </is>
      </c>
      <c r="D30" s="7" t="inlineStr">
        <is>
          <t>운명</t>
        </is>
      </c>
      <c r="E30" s="7" t="n">
        <v>5</v>
      </c>
      <c r="F30" s="7" t="n">
        <v>0</v>
      </c>
      <c r="G30" s="7" t="n">
        <v>0</v>
      </c>
      <c r="H30" s="7" t="inlineStr">
        <is>
          <t>50%: ATK20 / 50%: 자해10</t>
        </is>
      </c>
    </row>
    <row r="31">
      <c r="A31" s="8" t="inlineStr">
        <is>
          <t>fate_steal</t>
        </is>
      </c>
      <c r="B31" s="8" t="inlineStr">
        <is>
          <t>운명 강탈</t>
        </is>
      </c>
      <c r="C31" s="8" t="inlineStr">
        <is>
          <t>🖐️✨</t>
        </is>
      </c>
      <c r="D31" s="8" t="inlineStr">
        <is>
          <t>운명</t>
        </is>
      </c>
      <c r="E31" s="8" t="n">
        <v>5</v>
      </c>
      <c r="F31" s="8" t="n">
        <v>5</v>
      </c>
      <c r="G31" s="8" t="n">
        <v>5</v>
      </c>
      <c r="H31" s="8" t="inlineStr">
        <is>
          <t>승리 시 상대카드 영구획득</t>
        </is>
      </c>
    </row>
    <row r="32">
      <c r="A32" s="7" t="inlineStr"/>
      <c r="B32" s="7" t="inlineStr"/>
      <c r="C32" s="7" t="inlineStr"/>
      <c r="D32" s="7" t="inlineStr"/>
      <c r="E32" s="7" t="inlineStr"/>
      <c r="F32" s="7" t="inlineStr"/>
      <c r="G32" s="7" t="inlineStr"/>
      <c r="H32" s="7" t="inlineStr"/>
    </row>
    <row r="33">
      <c r="A33" s="8" t="inlineStr">
        <is>
          <t>--- 원소 상성 ---</t>
        </is>
      </c>
      <c r="B33" s="8" t="inlineStr">
        <is>
          <t>화→빙→뇌→지→암→광→화</t>
        </is>
      </c>
      <c r="C33" s="8" t="inlineStr"/>
      <c r="D33" s="8" t="inlineStr">
        <is>
          <t>상성 시 ATK 1.5배</t>
        </is>
      </c>
      <c r="E33" s="8" t="inlineStr"/>
      <c r="F33" s="8" t="inlineStr"/>
      <c r="G33" s="8" t="inlineStr"/>
      <c r="H33" s="8" t="inlineStr"/>
    </row>
    <row r="34">
      <c r="A34" s="7" t="inlineStr">
        <is>
          <t>--- 카드 팩 ---</t>
        </is>
      </c>
      <c r="B34" s="7" t="inlineStr">
        <is>
          <t>기본(3000G/3장)</t>
        </is>
      </c>
      <c r="C34" s="7" t="inlineStr">
        <is>
          <t>프리미엄(10000G/5장)</t>
        </is>
      </c>
      <c r="D34" s="7" t="inlineStr">
        <is>
          <t>운명의팩(30000G/5장)</t>
        </is>
      </c>
      <c r="E34" s="7" t="inlineStr"/>
      <c r="F34" s="7" t="inlineStr">
        <is>
          <t>HP</t>
        </is>
      </c>
      <c r="G34" s="7" t="inlineStr">
        <is>
          <t>30</t>
        </is>
      </c>
      <c r="H34" s="7" t="inlineStr">
        <is>
          <t>덱 10~20장, 손패 5장, 최대 10턴</t>
        </is>
      </c>
    </row>
  </sheetData>
  <mergeCells count="1">
    <mergeCell ref="A1:H1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12" customWidth="1" min="4" max="4"/>
    <col width="16" customWidth="1" min="5" max="5"/>
    <col width="30" customWidth="1" min="6" max="6"/>
    <col width="8" customWidth="1" min="7" max="7"/>
  </cols>
  <sheetData>
    <row r="1">
      <c r="A1" s="5" t="inlineStr">
        <is>
          <t>영혼 대장간 (v2.44)</t>
        </is>
      </c>
    </row>
    <row r="3">
      <c r="A3" s="6" t="inlineStr">
        <is>
          <t>영혼ID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티어</t>
        </is>
      </c>
      <c r="E3" s="6" t="inlineStr">
        <is>
          <t>스킬</t>
        </is>
      </c>
      <c r="F3" s="6" t="inlineStr">
        <is>
          <t>효과</t>
        </is>
      </c>
      <c r="G3" s="6" t="inlineStr">
        <is>
          <t>CD(초)</t>
        </is>
      </c>
    </row>
    <row r="4">
      <c r="A4" s="7">
        <f>== 몬스터 영혼 (18종) ===</f>
        <v/>
      </c>
      <c r="B4" s="7" t="inlineStr"/>
      <c r="C4" s="7" t="inlineStr"/>
      <c r="D4" s="7" t="inlineStr"/>
      <c r="E4" s="7" t="inlineStr"/>
      <c r="F4" s="7" t="inlineStr"/>
      <c r="G4" s="7" t="inlineStr"/>
    </row>
    <row r="5">
      <c r="A5" s="8" t="inlineStr">
        <is>
          <t>soul_goblin</t>
        </is>
      </c>
      <c r="B5" s="8" t="inlineStr">
        <is>
          <t>고블린 영혼</t>
        </is>
      </c>
      <c r="C5" s="8" t="inlineStr">
        <is>
          <t>👺</t>
        </is>
      </c>
      <c r="D5" s="8" t="n">
        <v>1</v>
      </c>
      <c r="E5" s="8" t="inlineStr">
        <is>
          <t>약탈</t>
        </is>
      </c>
      <c r="F5" s="8" t="inlineStr">
        <is>
          <t>골드 +50</t>
        </is>
      </c>
      <c r="G5" s="8" t="n">
        <v>30</v>
      </c>
    </row>
    <row r="6">
      <c r="A6" s="7" t="inlineStr">
        <is>
          <t>soul_wolf</t>
        </is>
      </c>
      <c r="B6" s="7" t="inlineStr">
        <is>
          <t>늑대 영혼</t>
        </is>
      </c>
      <c r="C6" s="7" t="inlineStr">
        <is>
          <t>🐺</t>
        </is>
      </c>
      <c r="D6" s="7" t="n">
        <v>1</v>
      </c>
      <c r="E6" s="7" t="inlineStr">
        <is>
          <t>질주</t>
        </is>
      </c>
      <c r="F6" s="7" t="inlineStr">
        <is>
          <t>5초 속도+30%</t>
        </is>
      </c>
      <c r="G6" s="7" t="n">
        <v>20</v>
      </c>
    </row>
    <row r="7">
      <c r="A7" s="8" t="inlineStr">
        <is>
          <t>soul_skeleton</t>
        </is>
      </c>
      <c r="B7" s="8" t="inlineStr">
        <is>
          <t>해골 영혼</t>
        </is>
      </c>
      <c r="C7" s="8" t="inlineStr">
        <is>
          <t>💀</t>
        </is>
      </c>
      <c r="D7" s="8" t="n">
        <v>1</v>
      </c>
      <c r="E7" s="8" t="inlineStr">
        <is>
          <t>뼈 투척</t>
        </is>
      </c>
      <c r="F7" s="8" t="inlineStr">
        <is>
          <t>ATKx1.5 + 1초 기절</t>
        </is>
      </c>
      <c r="G7" s="8" t="n">
        <v>15</v>
      </c>
    </row>
    <row r="8">
      <c r="A8" s="7" t="inlineStr">
        <is>
          <t>soul_slime</t>
        </is>
      </c>
      <c r="B8" s="7" t="inlineStr">
        <is>
          <t>슬라임 영혼</t>
        </is>
      </c>
      <c r="C8" s="7" t="inlineStr">
        <is>
          <t>🟢</t>
        </is>
      </c>
      <c r="D8" s="7" t="n">
        <v>1</v>
      </c>
      <c r="E8" s="7" t="inlineStr">
        <is>
          <t>분열</t>
        </is>
      </c>
      <c r="F8" s="7" t="inlineStr">
        <is>
          <t>10초 분신 1체</t>
        </is>
      </c>
      <c r="G8" s="7" t="n">
        <v>45</v>
      </c>
    </row>
    <row r="9">
      <c r="A9" s="8" t="inlineStr">
        <is>
          <t>soul_bat</t>
        </is>
      </c>
      <c r="B9" s="8" t="inlineStr">
        <is>
          <t>박쥐 영혼</t>
        </is>
      </c>
      <c r="C9" s="8" t="inlineStr">
        <is>
          <t>🦇</t>
        </is>
      </c>
      <c r="D9" s="8" t="n">
        <v>1</v>
      </c>
      <c r="E9" s="8" t="inlineStr">
        <is>
          <t>흡혈 송곳니</t>
        </is>
      </c>
      <c r="F9" s="8" t="inlineStr">
        <is>
          <t>10초 흡혈+20%</t>
        </is>
      </c>
      <c r="G9" s="8" t="n">
        <v>25</v>
      </c>
    </row>
    <row r="10">
      <c r="A10" s="7" t="inlineStr">
        <is>
          <t>soul_ogre</t>
        </is>
      </c>
      <c r="B10" s="7" t="inlineStr">
        <is>
          <t>오우거 영혼</t>
        </is>
      </c>
      <c r="C10" s="7" t="inlineStr">
        <is>
          <t>👹</t>
        </is>
      </c>
      <c r="D10" s="7" t="n">
        <v>2</v>
      </c>
      <c r="E10" s="7" t="inlineStr">
        <is>
          <t>분쇄</t>
        </is>
      </c>
      <c r="F10" s="7" t="inlineStr">
        <is>
          <t>ATKx2.5 + 방어20%무시</t>
        </is>
      </c>
      <c r="G10" s="7" t="n">
        <v>20</v>
      </c>
    </row>
    <row r="11">
      <c r="A11" s="8" t="inlineStr">
        <is>
          <t>soul_harpy</t>
        </is>
      </c>
      <c r="B11" s="8" t="inlineStr">
        <is>
          <t>하피 영혼</t>
        </is>
      </c>
      <c r="C11" s="8" t="inlineStr">
        <is>
          <t>🦅</t>
        </is>
      </c>
      <c r="D11" s="8" t="n">
        <v>2</v>
      </c>
      <c r="E11" s="8" t="inlineStr">
        <is>
          <t>폭풍 날개</t>
        </is>
      </c>
      <c r="F11" s="8" t="inlineStr">
        <is>
          <t>범위 ATKx1.5 + 밀치기</t>
        </is>
      </c>
      <c r="G11" s="8" t="n">
        <v>25</v>
      </c>
    </row>
    <row r="12">
      <c r="A12" s="7" t="inlineStr">
        <is>
          <t>soul_golem</t>
        </is>
      </c>
      <c r="B12" s="7" t="inlineStr">
        <is>
          <t>골렘 영혼</t>
        </is>
      </c>
      <c r="C12" s="7" t="inlineStr">
        <is>
          <t>🗿</t>
        </is>
      </c>
      <c r="D12" s="7" t="n">
        <v>2</v>
      </c>
      <c r="E12" s="7" t="inlineStr">
        <is>
          <t>암석 갑옷</t>
        </is>
      </c>
      <c r="F12" s="7" t="inlineStr">
        <is>
          <t>15초 DEF+50</t>
        </is>
      </c>
      <c r="G12" s="7" t="n">
        <v>30</v>
      </c>
    </row>
    <row r="13">
      <c r="A13" s="8" t="inlineStr">
        <is>
          <t>soul_wraith</t>
        </is>
      </c>
      <c r="B13" s="8" t="inlineStr">
        <is>
          <t>망령 영혼</t>
        </is>
      </c>
      <c r="C13" s="8" t="inlineStr">
        <is>
          <t>👻</t>
        </is>
      </c>
      <c r="D13" s="8" t="n">
        <v>2</v>
      </c>
      <c r="E13" s="8" t="inlineStr">
        <is>
          <t>공포</t>
        </is>
      </c>
      <c r="F13" s="8" t="inlineStr">
        <is>
          <t>적 ATK-30% 8초</t>
        </is>
      </c>
      <c r="G13" s="8" t="n">
        <v>35</v>
      </c>
    </row>
    <row r="14">
      <c r="A14" s="7" t="inlineStr">
        <is>
          <t>soul_treant</t>
        </is>
      </c>
      <c r="B14" s="7" t="inlineStr">
        <is>
          <t>나무 정령 영혼</t>
        </is>
      </c>
      <c r="C14" s="7" t="inlineStr">
        <is>
          <t>🌳</t>
        </is>
      </c>
      <c r="D14" s="7" t="n">
        <v>2</v>
      </c>
      <c r="E14" s="7" t="inlineStr">
        <is>
          <t>자연의 치유</t>
        </is>
      </c>
      <c r="F14" s="7" t="inlineStr">
        <is>
          <t>HP20% + 15초 재생</t>
        </is>
      </c>
      <c r="G14" s="7" t="n">
        <v>40</v>
      </c>
    </row>
    <row r="15">
      <c r="A15" s="8" t="inlineStr">
        <is>
          <t>soul_dragon</t>
        </is>
      </c>
      <c r="B15" s="8" t="inlineStr">
        <is>
          <t>용 영혼</t>
        </is>
      </c>
      <c r="C15" s="8" t="inlineStr">
        <is>
          <t>🐉</t>
        </is>
      </c>
      <c r="D15" s="8" t="n">
        <v>3</v>
      </c>
      <c r="E15" s="8" t="inlineStr">
        <is>
          <t>드래곤 브레스</t>
        </is>
      </c>
      <c r="F15" s="8" t="inlineStr">
        <is>
          <t>범위 ATKx4 + 화상</t>
        </is>
      </c>
      <c r="G15" s="8" t="n">
        <v>45</v>
      </c>
    </row>
    <row r="16">
      <c r="A16" s="7" t="inlineStr">
        <is>
          <t>soul_demon</t>
        </is>
      </c>
      <c r="B16" s="7" t="inlineStr">
        <is>
          <t>악마 영혼</t>
        </is>
      </c>
      <c r="C16" s="7" t="inlineStr">
        <is>
          <t>😈</t>
        </is>
      </c>
      <c r="D16" s="7" t="n">
        <v>3</v>
      </c>
      <c r="E16" s="7" t="inlineStr">
        <is>
          <t>악마의 계약</t>
        </is>
      </c>
      <c r="F16" s="7" t="inlineStr">
        <is>
          <t>ALL+30%/HP-10% 20초</t>
        </is>
      </c>
      <c r="G16" s="7" t="n">
        <v>60</v>
      </c>
    </row>
    <row r="17">
      <c r="A17" s="8" t="inlineStr">
        <is>
          <t>soul_phoenix</t>
        </is>
      </c>
      <c r="B17" s="8" t="inlineStr">
        <is>
          <t>불사조 영혼</t>
        </is>
      </c>
      <c r="C17" s="8" t="inlineStr">
        <is>
          <t>🔥🐦</t>
        </is>
      </c>
      <c r="D17" s="8" t="n">
        <v>3</v>
      </c>
      <c r="E17" s="8" t="inlineStr">
        <is>
          <t>불사의 불꽃</t>
        </is>
      </c>
      <c r="F17" s="8" t="inlineStr">
        <is>
          <t>사망시 부활 1회</t>
        </is>
      </c>
      <c r="G17" s="8" t="n">
        <v>120</v>
      </c>
    </row>
    <row r="18">
      <c r="A18" s="7" t="inlineStr">
        <is>
          <t>soul_leviathan</t>
        </is>
      </c>
      <c r="B18" s="7" t="inlineStr">
        <is>
          <t>리바이어선 영혼</t>
        </is>
      </c>
      <c r="C18" s="7" t="inlineStr">
        <is>
          <t>🐋</t>
        </is>
      </c>
      <c r="D18" s="7" t="n">
        <v>3</v>
      </c>
      <c r="E18" s="7" t="inlineStr">
        <is>
          <t>심해의 분노</t>
        </is>
      </c>
      <c r="F18" s="7" t="inlineStr">
        <is>
          <t>범위 ATKx5 + 50%둔화</t>
        </is>
      </c>
      <c r="G18" s="7" t="n">
        <v>50</v>
      </c>
    </row>
    <row r="19">
      <c r="A19" s="8" t="inlineStr">
        <is>
          <t>soul_lich</t>
        </is>
      </c>
      <c r="B19" s="8" t="inlineStr">
        <is>
          <t>리치 영혼</t>
        </is>
      </c>
      <c r="C19" s="8" t="inlineStr">
        <is>
          <t>💀👑</t>
        </is>
      </c>
      <c r="D19" s="8" t="n">
        <v>3</v>
      </c>
      <c r="E19" s="8" t="inlineStr">
        <is>
          <t>죽음의 손길</t>
        </is>
      </c>
      <c r="F19" s="8" t="inlineStr">
        <is>
          <t>ATKx3 + MP흡수 + 저주</t>
        </is>
      </c>
      <c r="G19" s="8" t="n">
        <v>40</v>
      </c>
    </row>
    <row r="20">
      <c r="A20" s="7" t="inlineStr">
        <is>
          <t>soul_ancient</t>
        </is>
      </c>
      <c r="B20" s="7" t="inlineStr">
        <is>
          <t>고대용 영혼</t>
        </is>
      </c>
      <c r="C20" s="7" t="inlineStr">
        <is>
          <t>🐲✨</t>
        </is>
      </c>
      <c r="D20" s="7" t="n">
        <v>4</v>
      </c>
      <c r="E20" s="7" t="inlineStr">
        <is>
          <t>시간의 포효</t>
        </is>
      </c>
      <c r="F20" s="7" t="inlineStr">
        <is>
          <t>3초 시간정지 + ATKx8</t>
        </is>
      </c>
      <c r="G20" s="7" t="n">
        <v>90</v>
      </c>
    </row>
    <row r="21">
      <c r="A21" s="8" t="inlineStr">
        <is>
          <t>soul_titan</t>
        </is>
      </c>
      <c r="B21" s="8" t="inlineStr">
        <is>
          <t>타이탄 영혼</t>
        </is>
      </c>
      <c r="C21" s="8" t="inlineStr">
        <is>
          <t>🗿⚡</t>
        </is>
      </c>
      <c r="D21" s="8" t="n">
        <v>4</v>
      </c>
      <c r="E21" s="8" t="inlineStr">
        <is>
          <t>천지개벽</t>
        </is>
      </c>
      <c r="F21" s="8" t="inlineStr">
        <is>
          <t>범위 ATKx10 + 지형파괴</t>
        </is>
      </c>
      <c r="G21" s="8" t="n">
        <v>120</v>
      </c>
    </row>
    <row r="22">
      <c r="A22" s="7" t="inlineStr">
        <is>
          <t>soul_void</t>
        </is>
      </c>
      <c r="B22" s="7" t="inlineStr">
        <is>
          <t>공허 군주 영혼</t>
        </is>
      </c>
      <c r="C22" s="7" t="inlineStr">
        <is>
          <t>🕳️👑</t>
        </is>
      </c>
      <c r="D22" s="7" t="n">
        <v>4</v>
      </c>
      <c r="E22" s="7" t="inlineStr">
        <is>
          <t>차원 붕괴</t>
        </is>
      </c>
      <c r="F22" s="7" t="inlineStr">
        <is>
          <t>적HP 30% 삭감(방무)</t>
        </is>
      </c>
      <c r="G22" s="7" t="n">
        <v>100</v>
      </c>
    </row>
    <row r="23">
      <c r="A23" s="8" t="inlineStr"/>
      <c r="B23" s="8" t="inlineStr"/>
      <c r="C23" s="8" t="inlineStr"/>
      <c r="D23" s="8" t="inlineStr"/>
      <c r="E23" s="8" t="inlineStr"/>
      <c r="F23" s="8" t="inlineStr"/>
      <c r="G23" s="8" t="inlineStr"/>
    </row>
    <row r="24">
      <c r="A24" s="7">
        <f>== 키메라 합성 (6종, 대장간Lv.5+, 영혼가루100) ===</f>
        <v/>
      </c>
      <c r="B24" s="7" t="inlineStr"/>
      <c r="C24" s="7" t="inlineStr"/>
      <c r="D24" s="7" t="inlineStr"/>
      <c r="E24" s="7" t="inlineStr"/>
      <c r="F24" s="7" t="inlineStr"/>
      <c r="G24" s="7" t="inlineStr"/>
    </row>
    <row r="25">
      <c r="A25" s="8" t="inlineStr">
        <is>
          <t>chimera_flame_wolf</t>
        </is>
      </c>
      <c r="B25" s="8" t="inlineStr">
        <is>
          <t>화염 늑대</t>
        </is>
      </c>
      <c r="C25" s="8" t="inlineStr">
        <is>
          <t>🐺🔥</t>
        </is>
      </c>
      <c r="D25" s="8" t="inlineStr">
        <is>
          <t>늑대+용</t>
        </is>
      </c>
      <c r="E25" s="8" t="inlineStr">
        <is>
          <t>화염 질주</t>
        </is>
      </c>
      <c r="F25" s="8" t="inlineStr">
        <is>
          <t>ATKx6+화상+가속</t>
        </is>
      </c>
      <c r="G25" s="8" t="n">
        <v>50</v>
      </c>
    </row>
    <row r="26">
      <c r="A26" s="7" t="inlineStr">
        <is>
          <t>chimera_death_golem</t>
        </is>
      </c>
      <c r="B26" s="7" t="inlineStr">
        <is>
          <t>죽음의 골렘</t>
        </is>
      </c>
      <c r="C26" s="7" t="inlineStr">
        <is>
          <t>🗿💀</t>
        </is>
      </c>
      <c r="D26" s="7" t="inlineStr">
        <is>
          <t>골렘+리치</t>
        </is>
      </c>
      <c r="E26" s="7" t="inlineStr">
        <is>
          <t>죽음의 요새</t>
        </is>
      </c>
      <c r="F26" s="7" t="inlineStr">
        <is>
          <t>DEF+100+죽음오라</t>
        </is>
      </c>
      <c r="G26" s="7" t="n">
        <v>60</v>
      </c>
    </row>
    <row r="27">
      <c r="A27" s="8" t="inlineStr">
        <is>
          <t>chimera_storm_phoenix</t>
        </is>
      </c>
      <c r="B27" s="8" t="inlineStr">
        <is>
          <t>폭풍 불사조</t>
        </is>
      </c>
      <c r="C27" s="8" t="inlineStr">
        <is>
          <t>🔥⚡</t>
        </is>
      </c>
      <c r="D27" s="8" t="inlineStr">
        <is>
          <t>불사조+하피</t>
        </is>
      </c>
      <c r="E27" s="8" t="inlineStr">
        <is>
          <t>폭풍 부활</t>
        </is>
      </c>
      <c r="F27" s="8" t="inlineStr">
        <is>
          <t>부활시 범위ATKx7</t>
        </is>
      </c>
      <c r="G27" s="8" t="n">
        <v>120</v>
      </c>
    </row>
    <row r="28">
      <c r="A28" s="7" t="inlineStr">
        <is>
          <t>chimera_void_demon</t>
        </is>
      </c>
      <c r="B28" s="7" t="inlineStr">
        <is>
          <t>공허 악마</t>
        </is>
      </c>
      <c r="C28" s="7" t="inlineStr">
        <is>
          <t>🕳️😈</t>
        </is>
      </c>
      <c r="D28" s="7" t="inlineStr">
        <is>
          <t>공허+악마</t>
        </is>
      </c>
      <c r="E28" s="7" t="inlineStr">
        <is>
          <t>차원 계약</t>
        </is>
      </c>
      <c r="F28" s="7" t="inlineStr">
        <is>
          <t>HP20%삭감+ALL50%</t>
        </is>
      </c>
      <c r="G28" s="7" t="n">
        <v>90</v>
      </c>
    </row>
    <row r="29">
      <c r="A29" s="8" t="inlineStr">
        <is>
          <t>chimera_ancient_treant</t>
        </is>
      </c>
      <c r="B29" s="8" t="inlineStr">
        <is>
          <t>고대 세계수</t>
        </is>
      </c>
      <c r="C29" s="8" t="inlineStr">
        <is>
          <t>🌳🐲</t>
        </is>
      </c>
      <c r="D29" s="8" t="inlineStr">
        <is>
          <t>나무+고대용</t>
        </is>
      </c>
      <c r="E29" s="8" t="inlineStr">
        <is>
          <t>생명의 시간</t>
        </is>
      </c>
      <c r="F29" s="8" t="inlineStr">
        <is>
          <t>완전회복+2초정지</t>
        </is>
      </c>
      <c r="G29" s="8" t="n">
        <v>150</v>
      </c>
    </row>
    <row r="30">
      <c r="A30" s="7" t="inlineStr">
        <is>
          <t>chimera_titan_leviathan</t>
        </is>
      </c>
      <c r="B30" s="7" t="inlineStr">
        <is>
          <t>심해 거신</t>
        </is>
      </c>
      <c r="C30" s="7" t="inlineStr">
        <is>
          <t>🗿🐋</t>
        </is>
      </c>
      <c r="D30" s="7" t="inlineStr">
        <is>
          <t>타이탄+리바이</t>
        </is>
      </c>
      <c r="E30" s="7" t="inlineStr">
        <is>
          <t>해저 지진</t>
        </is>
      </c>
      <c r="F30" s="7" t="inlineStr">
        <is>
          <t>범위ATKx15+쓰나미</t>
        </is>
      </c>
      <c r="G30" s="7" t="n">
        <v>130</v>
      </c>
    </row>
    <row r="31">
      <c r="A31" s="8" t="inlineStr"/>
      <c r="B31" s="8" t="inlineStr"/>
      <c r="C31" s="8" t="inlineStr"/>
      <c r="D31" s="8" t="inlineStr"/>
      <c r="E31" s="8" t="inlineStr"/>
      <c r="F31" s="8" t="inlineStr"/>
      <c r="G31" s="8" t="inlineStr"/>
    </row>
    <row r="32">
      <c r="A32" s="7" t="inlineStr">
        <is>
          <t>시스템</t>
        </is>
      </c>
      <c r="B32" s="7" t="inlineStr">
        <is>
          <t>각인 슬롯</t>
        </is>
      </c>
      <c r="C32" s="7" t="inlineStr">
        <is>
          <t>최대 3개</t>
        </is>
      </c>
      <c r="D32" s="7" t="inlineStr">
        <is>
          <t>드롭률</t>
        </is>
      </c>
      <c r="E32" s="7" t="inlineStr">
        <is>
          <t>T1:20% T2:10% T3:5% T4:1%</t>
        </is>
      </c>
      <c r="F32" s="7" t="inlineStr">
        <is>
          <t>대장간 Lv.1~9 (3레벨당 슬롯+1)</t>
        </is>
      </c>
      <c r="G32" s="7" t="inlineStr">
        <is>
          <t>분해→영혼가루</t>
        </is>
      </c>
    </row>
  </sheetData>
  <mergeCells count="1">
    <mergeCell ref="A1:G1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8" customWidth="1" min="4" max="4"/>
    <col width="18" customWidth="1" min="5" max="5"/>
    <col width="18" customWidth="1" min="6" max="6"/>
    <col width="30" customWidth="1" min="7" max="7"/>
  </cols>
  <sheetData>
    <row r="1">
      <c r="A1" s="5" t="inlineStr">
        <is>
          <t>환영 투기장 (v2.45)</t>
        </is>
      </c>
    </row>
    <row r="3">
      <c r="A3" s="6" t="inlineStr">
        <is>
          <t>환영ID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계급</t>
        </is>
      </c>
      <c r="E3" s="6" t="inlineStr">
        <is>
          <t>HP/ATK/DEF</t>
        </is>
      </c>
      <c r="F3" s="6" t="inlineStr">
        <is>
          <t>습득 스킬</t>
        </is>
      </c>
      <c r="G3" s="6" t="inlineStr">
        <is>
          <t>스킬 효과</t>
        </is>
      </c>
    </row>
    <row r="4">
      <c r="A4" s="7">
        <f>== 영웅 (5종, Lv.15+) ===</f>
        <v/>
      </c>
      <c r="B4" s="7" t="inlineStr"/>
      <c r="C4" s="7" t="inlineStr"/>
      <c r="D4" s="7" t="inlineStr"/>
      <c r="E4" s="7" t="inlineStr"/>
      <c r="F4" s="7" t="inlineStr"/>
      <c r="G4" s="7" t="inlineStr"/>
    </row>
    <row r="5">
      <c r="A5" s="8" t="inlineStr">
        <is>
          <t>phantom_knight</t>
        </is>
      </c>
      <c r="B5" s="8" t="inlineStr">
        <is>
          <t>성기사 아르투스</t>
        </is>
      </c>
      <c r="C5" s="8" t="inlineStr">
        <is>
          <t>🛡️⚔️</t>
        </is>
      </c>
      <c r="D5" s="8" t="inlineStr">
        <is>
          <t>영웅</t>
        </is>
      </c>
      <c r="E5" s="8" t="inlineStr">
        <is>
          <t>2000/150/100</t>
        </is>
      </c>
      <c r="F5" s="8" t="inlineStr">
        <is>
          <t>성스러운 참격</t>
        </is>
      </c>
      <c r="G5" s="8" t="inlineStr">
        <is>
          <t>ATKx3 + 성속성 (CD20)</t>
        </is>
      </c>
    </row>
    <row r="6">
      <c r="A6" s="7" t="inlineStr">
        <is>
          <t>phantom_mage</t>
        </is>
      </c>
      <c r="B6" s="7" t="inlineStr">
        <is>
          <t>대마법사 메를린</t>
        </is>
      </c>
      <c r="C6" s="7" t="inlineStr">
        <is>
          <t>🧙‍♂️</t>
        </is>
      </c>
      <c r="D6" s="7" t="inlineStr">
        <is>
          <t>영웅</t>
        </is>
      </c>
      <c r="E6" s="7" t="inlineStr">
        <is>
          <t>1500/200/60</t>
        </is>
      </c>
      <c r="F6" s="7" t="inlineStr">
        <is>
          <t>차원 마법탄</t>
        </is>
      </c>
      <c r="G6" s="7" t="inlineStr">
        <is>
          <t>ATKx4 + 관통 (CD25)</t>
        </is>
      </c>
    </row>
    <row r="7">
      <c r="A7" s="8" t="inlineStr">
        <is>
          <t>phantom_assassin</t>
        </is>
      </c>
      <c r="B7" s="8" t="inlineStr">
        <is>
          <t>그림자 칼날 실피아</t>
        </is>
      </c>
      <c r="C7" s="8" t="inlineStr">
        <is>
          <t>🗡️🌙</t>
        </is>
      </c>
      <c r="D7" s="8" t="inlineStr">
        <is>
          <t>영웅</t>
        </is>
      </c>
      <c r="E7" s="8" t="inlineStr">
        <is>
          <t>1200/250/40</t>
        </is>
      </c>
      <c r="F7" s="8" t="inlineStr">
        <is>
          <t>그림자 연무</t>
        </is>
      </c>
      <c r="G7" s="8" t="inlineStr">
        <is>
          <t>ATKx2 x5연타 (CD15)</t>
        </is>
      </c>
    </row>
    <row r="8">
      <c r="A8" s="7" t="inlineStr">
        <is>
          <t>phantom_cleric</t>
        </is>
      </c>
      <c r="B8" s="7" t="inlineStr">
        <is>
          <t>대사제 루미나</t>
        </is>
      </c>
      <c r="C8" s="7" t="inlineStr">
        <is>
          <t>✨🙏</t>
        </is>
      </c>
      <c r="D8" s="7" t="inlineStr">
        <is>
          <t>영웅</t>
        </is>
      </c>
      <c r="E8" s="7" t="inlineStr">
        <is>
          <t>2500/100/80</t>
        </is>
      </c>
      <c r="F8" s="7" t="inlineStr">
        <is>
          <t>태양의 축복</t>
        </is>
      </c>
      <c r="G8" s="7" t="inlineStr">
        <is>
          <t>HP40% + 정화 (CD30)</t>
        </is>
      </c>
    </row>
    <row r="9">
      <c r="A9" s="8" t="inlineStr">
        <is>
          <t>phantom_berserker</t>
        </is>
      </c>
      <c r="B9" s="8" t="inlineStr">
        <is>
          <t>광전사 울프가르</t>
        </is>
      </c>
      <c r="C9" s="8" t="inlineStr">
        <is>
          <t>🪓😤</t>
        </is>
      </c>
      <c r="D9" s="8" t="inlineStr">
        <is>
          <t>영웅</t>
        </is>
      </c>
      <c r="E9" s="8" t="inlineStr">
        <is>
          <t>3000/300/30</t>
        </is>
      </c>
      <c r="F9" s="8" t="inlineStr">
        <is>
          <t>분노의 포효</t>
        </is>
      </c>
      <c r="G9" s="8" t="inlineStr">
        <is>
          <t>ATK+50%/자해10% 10초 (CD25)</t>
        </is>
      </c>
    </row>
    <row r="10">
      <c r="A10" s="7" t="inlineStr"/>
      <c r="B10" s="7" t="inlineStr"/>
      <c r="C10" s="7" t="inlineStr"/>
      <c r="D10" s="7" t="inlineStr"/>
      <c r="E10" s="7" t="inlineStr"/>
      <c r="F10" s="7" t="inlineStr"/>
      <c r="G10" s="7" t="inlineStr"/>
    </row>
    <row r="11">
      <c r="A11" s="8">
        <f>== 보스 (4종, Lv.30+) ===</f>
        <v/>
      </c>
      <c r="B11" s="8" t="inlineStr"/>
      <c r="C11" s="8" t="inlineStr"/>
      <c r="D11" s="8" t="inlineStr"/>
      <c r="E11" s="8" t="inlineStr"/>
      <c r="F11" s="8" t="inlineStr"/>
      <c r="G11" s="8" t="inlineStr"/>
    </row>
    <row r="12">
      <c r="A12" s="7" t="inlineStr">
        <is>
          <t>phantom_dragon_king</t>
        </is>
      </c>
      <c r="B12" s="7" t="inlineStr">
        <is>
          <t>용왕 이그니스</t>
        </is>
      </c>
      <c r="C12" s="7" t="inlineStr">
        <is>
          <t>🐉👑</t>
        </is>
      </c>
      <c r="D12" s="7" t="inlineStr">
        <is>
          <t>보스</t>
        </is>
      </c>
      <c r="E12" s="7" t="inlineStr">
        <is>
          <t>5000/400/150</t>
        </is>
      </c>
      <c r="F12" s="7" t="inlineStr">
        <is>
          <t>황제의 브레스</t>
        </is>
      </c>
      <c r="G12" s="7" t="inlineStr">
        <is>
          <t>범위ATKx5+화상 (CD40)</t>
        </is>
      </c>
    </row>
    <row r="13">
      <c r="A13" s="8" t="inlineStr">
        <is>
          <t>phantom_lich_queen</t>
        </is>
      </c>
      <c r="B13" s="8" t="inlineStr">
        <is>
          <t>리치 여왕 모르가나</t>
        </is>
      </c>
      <c r="C13" s="8" t="inlineStr">
        <is>
          <t>💀👸</t>
        </is>
      </c>
      <c r="D13" s="8" t="inlineStr">
        <is>
          <t>보스</t>
        </is>
      </c>
      <c r="E13" s="8" t="inlineStr">
        <is>
          <t>4000/350/100</t>
        </is>
      </c>
      <c r="F13" s="8" t="inlineStr">
        <is>
          <t>영원의 저주</t>
        </is>
      </c>
      <c r="G13" s="8" t="inlineStr">
        <is>
          <t>ATKx3+저주+MP흡수 (CD35)</t>
        </is>
      </c>
    </row>
    <row r="14">
      <c r="A14" s="7" t="inlineStr">
        <is>
          <t>phantom_titan</t>
        </is>
      </c>
      <c r="B14" s="7" t="inlineStr">
        <is>
          <t>대지의 타이탄</t>
        </is>
      </c>
      <c r="C14" s="7" t="inlineStr">
        <is>
          <t>🗿💪</t>
        </is>
      </c>
      <c r="D14" s="7" t="inlineStr">
        <is>
          <t>보스</t>
        </is>
      </c>
      <c r="E14" s="7" t="inlineStr">
        <is>
          <t>8000/500/250</t>
        </is>
      </c>
      <c r="F14" s="7" t="inlineStr">
        <is>
          <t>대지의 분쇄</t>
        </is>
      </c>
      <c r="G14" s="7" t="inlineStr">
        <is>
          <t>ATKx6+3초기절+방관50% (CD45)</t>
        </is>
      </c>
    </row>
    <row r="15">
      <c r="A15" s="8" t="inlineStr">
        <is>
          <t>phantom_void_emperor</t>
        </is>
      </c>
      <c r="B15" s="8" t="inlineStr">
        <is>
          <t>공허 황제 니힐루스</t>
        </is>
      </c>
      <c r="C15" s="8" t="inlineStr">
        <is>
          <t>🕳️👑</t>
        </is>
      </c>
      <c r="D15" s="8" t="inlineStr">
        <is>
          <t>보스</t>
        </is>
      </c>
      <c r="E15" s="8" t="inlineStr">
        <is>
          <t>10000/600/200</t>
        </is>
      </c>
      <c r="F15" s="8" t="inlineStr">
        <is>
          <t>존재 소멸</t>
        </is>
      </c>
      <c r="G15" s="8" t="inlineStr">
        <is>
          <t>HP25%삭감(방무) (CD50)</t>
        </is>
      </c>
    </row>
    <row r="16">
      <c r="A16" s="7" t="inlineStr"/>
      <c r="B16" s="7" t="inlineStr"/>
      <c r="C16" s="7" t="inlineStr"/>
      <c r="D16" s="7" t="inlineStr"/>
      <c r="E16" s="7" t="inlineStr"/>
      <c r="F16" s="7" t="inlineStr"/>
      <c r="G16" s="7" t="inlineStr"/>
    </row>
    <row r="17">
      <c r="A17" s="8">
        <f>== 신 (3종, Lv.45+, 보스4종 격파 필요) ===</f>
        <v/>
      </c>
      <c r="B17" s="8" t="inlineStr"/>
      <c r="C17" s="8" t="inlineStr"/>
      <c r="D17" s="8" t="inlineStr"/>
      <c r="E17" s="8" t="inlineStr"/>
      <c r="F17" s="8" t="inlineStr"/>
      <c r="G17" s="8" t="inlineStr"/>
    </row>
    <row r="18">
      <c r="A18" s="7" t="inlineStr">
        <is>
          <t>phantom_god_war</t>
        </is>
      </c>
      <c r="B18" s="7" t="inlineStr">
        <is>
          <t>전쟁신 아레스</t>
        </is>
      </c>
      <c r="C18" s="7" t="inlineStr">
        <is>
          <t>⚔️🔥</t>
        </is>
      </c>
      <c r="D18" s="7" t="inlineStr">
        <is>
          <t>신</t>
        </is>
      </c>
      <c r="E18" s="7" t="inlineStr">
        <is>
          <t>15000/800/300</t>
        </is>
      </c>
      <c r="F18" s="7" t="inlineStr">
        <is>
          <t>전쟁의 심판</t>
        </is>
      </c>
      <c r="G18" s="7" t="inlineStr">
        <is>
          <t>범위ATKx8+전체공포 (CD60)</t>
        </is>
      </c>
    </row>
    <row r="19">
      <c r="A19" s="8" t="inlineStr">
        <is>
          <t>phantom_god_death</t>
        </is>
      </c>
      <c r="B19" s="8" t="inlineStr">
        <is>
          <t>사신 타나토스</t>
        </is>
      </c>
      <c r="C19" s="8" t="inlineStr">
        <is>
          <t>💀⚰️</t>
        </is>
      </c>
      <c r="D19" s="8" t="inlineStr">
        <is>
          <t>신</t>
        </is>
      </c>
      <c r="E19" s="8" t="inlineStr">
        <is>
          <t>12000/1000/150</t>
        </is>
      </c>
      <c r="F19" s="8" t="inlineStr">
        <is>
          <t>죽음의 선고</t>
        </is>
      </c>
      <c r="G19" s="8" t="inlineStr">
        <is>
          <t>10%즉사+ATKx10 (CD90)</t>
        </is>
      </c>
    </row>
    <row r="20">
      <c r="A20" s="7" t="inlineStr">
        <is>
          <t>phantom_god_time</t>
        </is>
      </c>
      <c r="B20" s="7" t="inlineStr">
        <is>
          <t>시간신 크로노스</t>
        </is>
      </c>
      <c r="C20" s="7" t="inlineStr">
        <is>
          <t>⏳👑</t>
        </is>
      </c>
      <c r="D20" s="7" t="inlineStr">
        <is>
          <t>신</t>
        </is>
      </c>
      <c r="E20" s="7" t="inlineStr">
        <is>
          <t>20000/700/400</t>
        </is>
      </c>
      <c r="F20" s="7" t="inlineStr">
        <is>
          <t>시간의 역류</t>
        </is>
      </c>
      <c r="G20" s="7" t="inlineStr">
        <is>
          <t>HP완전회복+시간되돌림 (CD120)</t>
        </is>
      </c>
    </row>
    <row r="21">
      <c r="A21" s="8" t="inlineStr"/>
      <c r="B21" s="8" t="inlineStr"/>
      <c r="C21" s="8" t="inlineStr"/>
      <c r="D21" s="8" t="inlineStr"/>
      <c r="E21" s="8" t="inlineStr"/>
      <c r="F21" s="8" t="inlineStr"/>
      <c r="G21" s="8" t="inlineStr"/>
    </row>
    <row r="22">
      <c r="A22" s="7">
        <f>== 난이도 (5단계) ===</f>
        <v/>
      </c>
      <c r="B22" s="7" t="inlineStr"/>
      <c r="C22" s="7" t="inlineStr"/>
      <c r="D22" s="7" t="inlineStr"/>
      <c r="E22" s="7" t="inlineStr"/>
      <c r="F22" s="7" t="inlineStr"/>
      <c r="G22" s="7" t="inlineStr"/>
    </row>
    <row r="23">
      <c r="A23" s="8" t="inlineStr"/>
      <c r="B23" s="8" t="inlineStr">
        <is>
          <t>일반</t>
        </is>
      </c>
      <c r="C23" s="8" t="inlineStr">
        <is>
          <t>⚪</t>
        </is>
      </c>
      <c r="D23" s="8" t="inlineStr">
        <is>
          <t>-</t>
        </is>
      </c>
      <c r="E23" s="8" t="inlineStr">
        <is>
          <t>ATKx1.0/HPx1.0</t>
        </is>
      </c>
      <c r="F23" s="8" t="inlineStr">
        <is>
          <t>보상x1.0</t>
        </is>
      </c>
      <c r="G23" s="8" t="inlineStr">
        <is>
          <t>습득확률 20%</t>
        </is>
      </c>
    </row>
    <row r="24">
      <c r="A24" s="7" t="inlineStr"/>
      <c r="B24" s="7" t="inlineStr">
        <is>
          <t>역전</t>
        </is>
      </c>
      <c r="C24" s="7" t="inlineStr">
        <is>
          <t>🟢</t>
        </is>
      </c>
      <c r="D24" s="7" t="inlineStr">
        <is>
          <t>-</t>
        </is>
      </c>
      <c r="E24" s="7" t="inlineStr">
        <is>
          <t>ATKx1.3/HPx1.5</t>
        </is>
      </c>
      <c r="F24" s="7" t="inlineStr">
        <is>
          <t>보상x1.5</t>
        </is>
      </c>
      <c r="G24" s="7" t="inlineStr">
        <is>
          <t>습득확률 30%</t>
        </is>
      </c>
    </row>
    <row r="25">
      <c r="A25" s="8" t="inlineStr"/>
      <c r="B25" s="8" t="inlineStr">
        <is>
          <t>정예</t>
        </is>
      </c>
      <c r="C25" s="8" t="inlineStr">
        <is>
          <t>🔵</t>
        </is>
      </c>
      <c r="D25" s="8" t="inlineStr">
        <is>
          <t>-</t>
        </is>
      </c>
      <c r="E25" s="8" t="inlineStr">
        <is>
          <t>ATKx1.6/HPx2.0</t>
        </is>
      </c>
      <c r="F25" s="8" t="inlineStr">
        <is>
          <t>보상x2.0</t>
        </is>
      </c>
      <c r="G25" s="8" t="inlineStr">
        <is>
          <t>습득확률 50%</t>
        </is>
      </c>
    </row>
    <row r="26">
      <c r="A26" s="7" t="inlineStr"/>
      <c r="B26" s="7" t="inlineStr">
        <is>
          <t>전설</t>
        </is>
      </c>
      <c r="C26" s="7" t="inlineStr">
        <is>
          <t>🟡</t>
        </is>
      </c>
      <c r="D26" s="7" t="inlineStr">
        <is>
          <t>-</t>
        </is>
      </c>
      <c r="E26" s="7" t="inlineStr">
        <is>
          <t>ATKx2.0/HPx3.0</t>
        </is>
      </c>
      <c r="F26" s="7" t="inlineStr">
        <is>
          <t>보상x3.0</t>
        </is>
      </c>
      <c r="G26" s="7" t="inlineStr">
        <is>
          <t>습득확률 80%</t>
        </is>
      </c>
    </row>
    <row r="27">
      <c r="A27" s="8" t="inlineStr"/>
      <c r="B27" s="8" t="inlineStr">
        <is>
          <t>신화</t>
        </is>
      </c>
      <c r="C27" s="8" t="inlineStr">
        <is>
          <t>🔴</t>
        </is>
      </c>
      <c r="D27" s="8" t="inlineStr">
        <is>
          <t>-</t>
        </is>
      </c>
      <c r="E27" s="8" t="inlineStr">
        <is>
          <t>ATKx3.0/HPx5.0</t>
        </is>
      </c>
      <c r="F27" s="8" t="inlineStr">
        <is>
          <t>보상x5.0</t>
        </is>
      </c>
      <c r="G27" s="8" t="inlineStr">
        <is>
          <t>습득확률 100%</t>
        </is>
      </c>
    </row>
    <row r="28">
      <c r="A28" s="7" t="inlineStr"/>
      <c r="B28" s="7" t="inlineStr"/>
      <c r="C28" s="7" t="inlineStr"/>
      <c r="D28" s="7" t="inlineStr"/>
      <c r="E28" s="7" t="inlineStr"/>
      <c r="F28" s="7" t="inlineStr"/>
      <c r="G28" s="7" t="inlineStr"/>
    </row>
    <row r="29">
      <c r="A29" s="8">
        <f>== 연승 보너스 ===</f>
        <v/>
      </c>
      <c r="B29" s="8" t="inlineStr"/>
      <c r="C29" s="8" t="inlineStr"/>
      <c r="D29" s="8" t="inlineStr"/>
      <c r="E29" s="8" t="inlineStr"/>
      <c r="F29" s="8" t="inlineStr"/>
      <c r="G29" s="8" t="inlineStr"/>
    </row>
    <row r="30">
      <c r="A30" s="7" t="inlineStr">
        <is>
          <t>3연승</t>
        </is>
      </c>
      <c r="B30" s="7" t="inlineStr">
        <is>
          <t>투사</t>
        </is>
      </c>
      <c r="C30" s="7" t="inlineStr">
        <is>
          <t>🥉</t>
        </is>
      </c>
      <c r="D30" s="7" t="inlineStr">
        <is>
          <t>-</t>
        </is>
      </c>
      <c r="E30" s="7" t="inlineStr">
        <is>
          <t>EXP+10%</t>
        </is>
      </c>
      <c r="F30" s="7" t="inlineStr"/>
      <c r="G30" s="7" t="inlineStr"/>
    </row>
    <row r="31">
      <c r="A31" s="8" t="inlineStr">
        <is>
          <t>5연승</t>
        </is>
      </c>
      <c r="B31" s="8" t="inlineStr">
        <is>
          <t>검투사</t>
        </is>
      </c>
      <c r="C31" s="8" t="inlineStr">
        <is>
          <t>🥈</t>
        </is>
      </c>
      <c r="D31" s="8" t="inlineStr">
        <is>
          <t>-</t>
        </is>
      </c>
      <c r="E31" s="8" t="inlineStr">
        <is>
          <t>EXP+15%, 골드+10%</t>
        </is>
      </c>
      <c r="F31" s="8" t="inlineStr"/>
      <c r="G31" s="8" t="inlineStr"/>
    </row>
    <row r="32">
      <c r="A32" s="7" t="inlineStr">
        <is>
          <t>10연승</t>
        </is>
      </c>
      <c r="B32" s="7" t="inlineStr">
        <is>
          <t>챔피언</t>
        </is>
      </c>
      <c r="C32" s="7" t="inlineStr">
        <is>
          <t>🥇</t>
        </is>
      </c>
      <c r="D32" s="7" t="inlineStr">
        <is>
          <t>-</t>
        </is>
      </c>
      <c r="E32" s="7" t="inlineStr">
        <is>
          <t>EXP+20%, 골드+20%, 스킬뎀+5%</t>
        </is>
      </c>
      <c r="F32" s="7" t="inlineStr"/>
      <c r="G32" s="7" t="inlineStr"/>
    </row>
    <row r="33">
      <c r="A33" s="8" t="inlineStr">
        <is>
          <t>15연승</t>
        </is>
      </c>
      <c r="B33" s="8" t="inlineStr">
        <is>
          <t>전설의 검투사</t>
        </is>
      </c>
      <c r="C33" s="8" t="inlineStr">
        <is>
          <t>🏆</t>
        </is>
      </c>
      <c r="D33" s="8" t="inlineStr">
        <is>
          <t>-</t>
        </is>
      </c>
      <c r="E33" s="8" t="inlineStr">
        <is>
          <t>EXP+30%, 골드+30%, 스킬뎀+10%</t>
        </is>
      </c>
      <c r="F33" s="8" t="inlineStr"/>
      <c r="G33" s="8" t="inlineStr"/>
    </row>
    <row r="34">
      <c r="A34" s="7" t="inlineStr">
        <is>
          <t>20연승</t>
        </is>
      </c>
      <c r="B34" s="7" t="inlineStr">
        <is>
          <t>불멸의 투사</t>
        </is>
      </c>
      <c r="C34" s="7" t="inlineStr">
        <is>
          <t>👑</t>
        </is>
      </c>
      <c r="D34" s="7" t="inlineStr">
        <is>
          <t>-</t>
        </is>
      </c>
      <c r="E34" s="7" t="inlineStr">
        <is>
          <t>ALL+5, EXP+50%</t>
        </is>
      </c>
      <c r="F34" s="7" t="inlineStr"/>
      <c r="G34" s="7" t="inlineStr"/>
    </row>
    <row r="35">
      <c r="A35" s="8" t="inlineStr"/>
      <c r="B35" s="8" t="inlineStr"/>
      <c r="C35" s="8" t="inlineStr"/>
      <c r="D35" s="8" t="inlineStr"/>
      <c r="E35" s="8" t="inlineStr"/>
      <c r="F35" s="8" t="inlineStr"/>
      <c r="G35" s="8" t="inlineStr"/>
    </row>
    <row r="36">
      <c r="A36" s="7" t="inlineStr">
        <is>
          <t>명성 랭크</t>
        </is>
      </c>
      <c r="B36" s="7" t="inlineStr">
        <is>
          <t>무명→도전자→투사→검투사→챔피언→전설→신화</t>
        </is>
      </c>
      <c r="C36" s="7" t="inlineStr"/>
      <c r="D36" s="7" t="inlineStr"/>
      <c r="E36" s="7" t="inlineStr">
        <is>
          <t>0/50/150/400/800/1500/3000</t>
        </is>
      </c>
      <c r="F36" s="7" t="inlineStr"/>
      <c r="G36" s="7" t="inlineStr">
        <is>
          <t>턴제 전투 20턴</t>
        </is>
      </c>
    </row>
  </sheetData>
  <mergeCells count="1">
    <mergeCell ref="A1:G1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" customWidth="1" min="4" max="4"/>
    <col width="12" customWidth="1" min="5" max="5"/>
    <col width="44" customWidth="1" min="6" max="6"/>
  </cols>
  <sheetData>
    <row r="1">
      <c r="A1" s="5" t="inlineStr">
        <is>
          <t>꿈의 건축가 (v2.46)</t>
        </is>
      </c>
    </row>
    <row r="3">
      <c r="A3" s="6" t="inlineStr">
        <is>
          <t>항목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티어</t>
        </is>
      </c>
      <c r="E3" s="6" t="inlineStr">
        <is>
          <t>비용</t>
        </is>
      </c>
      <c r="F3" s="6" t="inlineStr">
        <is>
          <t>효과/설명</t>
        </is>
      </c>
    </row>
    <row r="4">
      <c r="A4" s="7">
        <f>== 방 테마 (9종) ===</f>
        <v/>
      </c>
      <c r="B4" s="7" t="inlineStr"/>
      <c r="C4" s="7" t="inlineStr"/>
      <c r="D4" s="7" t="inlineStr"/>
      <c r="E4" s="7" t="inlineStr"/>
      <c r="F4" s="7" t="inlineStr"/>
    </row>
    <row r="5">
      <c r="A5" s="8" t="inlineStr">
        <is>
          <t>테마</t>
        </is>
      </c>
      <c r="B5" s="8" t="inlineStr">
        <is>
          <t>공허의 전당</t>
        </is>
      </c>
      <c r="C5" s="8" t="inlineStr">
        <is>
          <t>🕳️🏛️</t>
        </is>
      </c>
      <c r="D5" s="8" t="inlineStr">
        <is>
          <t>-</t>
        </is>
      </c>
      <c r="E5" s="8" t="inlineStr">
        <is>
          <t>기본</t>
        </is>
      </c>
      <c r="F5" s="8" t="inlineStr">
        <is>
          <t>방어보너스 0%</t>
        </is>
      </c>
    </row>
    <row r="6">
      <c r="A6" s="7" t="inlineStr">
        <is>
          <t>테마</t>
        </is>
      </c>
      <c r="B6" s="7" t="inlineStr">
        <is>
          <t>용암 구덩이</t>
        </is>
      </c>
      <c r="C6" s="7" t="inlineStr">
        <is>
          <t>🌋</t>
        </is>
      </c>
      <c r="D6" s="7" t="inlineStr">
        <is>
          <t>-</t>
        </is>
      </c>
      <c r="E6" s="7" t="inlineStr">
        <is>
          <t>5000G×방수</t>
        </is>
      </c>
      <c r="F6" s="7" t="inlineStr">
        <is>
          <t>방어+10%, 진입시 화상</t>
        </is>
      </c>
    </row>
    <row r="7">
      <c r="A7" s="8" t="inlineStr">
        <is>
          <t>테마</t>
        </is>
      </c>
      <c r="B7" s="8" t="inlineStr">
        <is>
          <t>얼어붙은 예배당</t>
        </is>
      </c>
      <c r="C7" s="8" t="inlineStr">
        <is>
          <t>❄️⛪</t>
        </is>
      </c>
      <c r="D7" s="8" t="inlineStr">
        <is>
          <t>-</t>
        </is>
      </c>
      <c r="E7" s="8" t="inlineStr">
        <is>
          <t>〃</t>
        </is>
      </c>
      <c r="F7" s="8" t="inlineStr">
        <is>
          <t>방어+10%, 이동속도-30%</t>
        </is>
      </c>
    </row>
    <row r="8">
      <c r="A8" s="7" t="inlineStr">
        <is>
          <t>테마</t>
        </is>
      </c>
      <c r="B8" s="7" t="inlineStr">
        <is>
          <t>거울 미궁</t>
        </is>
      </c>
      <c r="C8" s="7" t="inlineStr">
        <is>
          <t>🪞🌀</t>
        </is>
      </c>
      <c r="D8" s="7" t="inlineStr">
        <is>
          <t>-</t>
        </is>
      </c>
      <c r="E8" s="7" t="inlineStr">
        <is>
          <t>〃</t>
        </is>
      </c>
      <c r="F8" s="7" t="inlineStr">
        <is>
          <t>방어+15%, 분신 혼란</t>
        </is>
      </c>
    </row>
    <row r="9">
      <c r="A9" s="8" t="inlineStr">
        <is>
          <t>테마</t>
        </is>
      </c>
      <c r="B9" s="8" t="inlineStr">
        <is>
          <t>핏빛 정원</t>
        </is>
      </c>
      <c r="C9" s="8" t="inlineStr">
        <is>
          <t>🌹🩸</t>
        </is>
      </c>
      <c r="D9" s="8" t="inlineStr">
        <is>
          <t>-</t>
        </is>
      </c>
      <c r="E9" s="8" t="inlineStr">
        <is>
          <t>〃</t>
        </is>
      </c>
      <c r="F9" s="8" t="inlineStr">
        <is>
          <t>방어+10%, 지속 데미지</t>
        </is>
      </c>
    </row>
    <row r="10">
      <c r="A10" s="7" t="inlineStr">
        <is>
          <t>테마</t>
        </is>
      </c>
      <c r="B10" s="7" t="inlineStr">
        <is>
          <t>폭풍의 탑</t>
        </is>
      </c>
      <c r="C10" s="7" t="inlineStr">
        <is>
          <t>⛈️🗼</t>
        </is>
      </c>
      <c r="D10" s="7" t="inlineStr">
        <is>
          <t>-</t>
        </is>
      </c>
      <c r="E10" s="7" t="inlineStr">
        <is>
          <t>〃</t>
        </is>
      </c>
      <c r="F10" s="7" t="inlineStr">
        <is>
          <t>방어+15%, 랜덤 번개</t>
        </is>
      </c>
    </row>
    <row r="11">
      <c r="A11" s="8" t="inlineStr">
        <is>
          <t>테마</t>
        </is>
      </c>
      <c r="B11" s="8" t="inlineStr">
        <is>
          <t>악몽의 소굴</t>
        </is>
      </c>
      <c r="C11" s="8" t="inlineStr">
        <is>
          <t>😱🕸️</t>
        </is>
      </c>
      <c r="D11" s="8" t="inlineStr">
        <is>
          <t>-</t>
        </is>
      </c>
      <c r="E11" s="8" t="inlineStr">
        <is>
          <t>〃</t>
        </is>
      </c>
      <c r="F11" s="8" t="inlineStr">
        <is>
          <t>방어+20%, 도전자 ATK-20%</t>
        </is>
      </c>
    </row>
    <row r="12">
      <c r="A12" s="7" t="inlineStr">
        <is>
          <t>테마</t>
        </is>
      </c>
      <c r="B12" s="7" t="inlineStr">
        <is>
          <t>중력의 우물</t>
        </is>
      </c>
      <c r="C12" s="7" t="inlineStr">
        <is>
          <t>🌀⬇️</t>
        </is>
      </c>
      <c r="D12" s="7" t="inlineStr">
        <is>
          <t>-</t>
        </is>
      </c>
      <c r="E12" s="7" t="inlineStr">
        <is>
          <t>〃</t>
        </is>
      </c>
      <c r="F12" s="7" t="inlineStr">
        <is>
          <t>방어+15%, 랜덤 스탯감소</t>
        </is>
      </c>
    </row>
    <row r="13">
      <c r="A13" s="8" t="inlineStr">
        <is>
          <t>테마</t>
        </is>
      </c>
      <c r="B13" s="8" t="inlineStr">
        <is>
          <t>그림자 왕좌</t>
        </is>
      </c>
      <c r="C13" s="8" t="inlineStr">
        <is>
          <t>🪑🌑</t>
        </is>
      </c>
      <c r="D13" s="8" t="inlineStr">
        <is>
          <t>-</t>
        </is>
      </c>
      <c r="E13" s="8" t="inlineStr">
        <is>
          <t>기본(최종)</t>
        </is>
      </c>
      <c r="F13" s="8" t="inlineStr">
        <is>
          <t>방어+25%, 모든 효과 중첩</t>
        </is>
      </c>
    </row>
    <row r="14">
      <c r="A14" s="7" t="inlineStr"/>
      <c r="B14" s="7" t="inlineStr"/>
      <c r="C14" s="7" t="inlineStr"/>
      <c r="D14" s="7" t="inlineStr"/>
      <c r="E14" s="7" t="inlineStr"/>
      <c r="F14" s="7" t="inlineStr"/>
    </row>
    <row r="15">
      <c r="A15" s="8">
        <f>== 함정 (10종) ===</f>
        <v/>
      </c>
      <c r="B15" s="8" t="inlineStr"/>
      <c r="C15" s="8" t="inlineStr"/>
      <c r="D15" s="8" t="inlineStr"/>
      <c r="E15" s="8" t="inlineStr"/>
      <c r="F15" s="8" t="inlineStr"/>
    </row>
    <row r="16">
      <c r="A16" s="7" t="inlineStr">
        <is>
          <t>T1</t>
        </is>
      </c>
      <c r="B16" s="7" t="inlineStr">
        <is>
          <t>가시 바닥 / 독 안개</t>
        </is>
      </c>
      <c r="C16" s="7" t="inlineStr">
        <is>
          <t>⬆️🔪/💨☠️</t>
        </is>
      </c>
      <c r="D16" s="7" t="n">
        <v>1</v>
      </c>
      <c r="E16" s="7" t="inlineStr">
        <is>
          <t>500G/800G</t>
        </is>
      </c>
      <c r="F16" s="7" t="inlineStr">
        <is>
          <t>50뎀 / 10초 DPS10</t>
        </is>
      </c>
    </row>
    <row r="17">
      <c r="A17" s="8" t="inlineStr">
        <is>
          <t>T2</t>
        </is>
      </c>
      <c r="B17" s="8" t="inlineStr">
        <is>
          <t>화염분사 / 얼음감옥 / 번개룬</t>
        </is>
      </c>
      <c r="C17" s="8" t="inlineStr">
        <is>
          <t>🔥💨/🧊🔒/⚡📜</t>
        </is>
      </c>
      <c r="D17" s="8" t="n">
        <v>2</v>
      </c>
      <c r="E17" s="8" t="inlineStr">
        <is>
          <t>1.5K~2K</t>
        </is>
      </c>
      <c r="F17" s="8" t="inlineStr">
        <is>
          <t>100뎀+화상 / 3초동결 / 150뎀+2초기절</t>
        </is>
      </c>
    </row>
    <row r="18">
      <c r="A18" s="7" t="inlineStr">
        <is>
          <t>T3</t>
        </is>
      </c>
      <c r="B18" s="7" t="inlineStr">
        <is>
          <t>중력분쇄 / 영혼흡수진</t>
        </is>
      </c>
      <c r="C18" s="7" t="inlineStr">
        <is>
          <t>🌀💥/👻💜</t>
        </is>
      </c>
      <c r="D18" s="7" t="n">
        <v>3</v>
      </c>
      <c r="E18" s="7" t="inlineStr">
        <is>
          <t>3K/4K</t>
        </is>
      </c>
      <c r="F18" s="7" t="inlineStr">
        <is>
          <t>200뎀+둔화 / MP-50,ATK-15%</t>
        </is>
      </c>
    </row>
    <row r="19">
      <c r="A19" s="8" t="inlineStr">
        <is>
          <t>T4</t>
        </is>
      </c>
      <c r="B19" s="8" t="inlineStr">
        <is>
          <t>공허균열 / 시간루프</t>
        </is>
      </c>
      <c r="C19" s="8" t="inlineStr">
        <is>
          <t>🕳️💀/⏳🔄</t>
        </is>
      </c>
      <c r="D19" s="8" t="n">
        <v>4</v>
      </c>
      <c r="E19" s="8" t="inlineStr">
        <is>
          <t>8K/10K</t>
        </is>
      </c>
      <c r="F19" s="8" t="inlineStr">
        <is>
          <t>300뎀+HP10%삭감 / 방 반복!</t>
        </is>
      </c>
    </row>
    <row r="20">
      <c r="A20" s="7" t="inlineStr">
        <is>
          <t>T5</t>
        </is>
      </c>
      <c r="B20" s="7" t="inlineStr">
        <is>
          <t>악몽의 눈</t>
        </is>
      </c>
      <c r="C20" s="7" t="inlineStr">
        <is>
          <t>👁️😱</t>
        </is>
      </c>
      <c r="D20" s="7" t="n">
        <v>5</v>
      </c>
      <c r="E20" s="7" t="inlineStr">
        <is>
          <t>15K</t>
        </is>
      </c>
      <c r="F20" s="7" t="inlineStr">
        <is>
          <t>500뎀+5초공포+ALL-20%</t>
        </is>
      </c>
    </row>
    <row r="21">
      <c r="A21" s="8" t="inlineStr"/>
      <c r="B21" s="8" t="inlineStr"/>
      <c r="C21" s="8" t="inlineStr"/>
      <c r="D21" s="8" t="inlineStr"/>
      <c r="E21" s="8" t="inlineStr"/>
      <c r="F21" s="8" t="inlineStr"/>
    </row>
    <row r="22">
      <c r="A22" s="7">
        <f>== 수호 몬스터 (9종) ===</f>
        <v/>
      </c>
      <c r="B22" s="7" t="inlineStr"/>
      <c r="C22" s="7" t="inlineStr"/>
      <c r="D22" s="7" t="inlineStr"/>
      <c r="E22" s="7" t="inlineStr"/>
      <c r="F22" s="7" t="inlineStr"/>
    </row>
    <row r="23">
      <c r="A23" s="8" t="inlineStr">
        <is>
          <t>T1</t>
        </is>
      </c>
      <c r="B23" s="8" t="inlineStr">
        <is>
          <t>꿈 고블린/몽유병자</t>
        </is>
      </c>
      <c r="C23" s="8" t="inlineStr">
        <is>
          <t>👺💤/🧟💤</t>
        </is>
      </c>
      <c r="D23" s="8" t="n">
        <v>1</v>
      </c>
      <c r="E23" s="8" t="inlineStr">
        <is>
          <t>1K/1.2K</t>
        </is>
      </c>
      <c r="F23" s="8" t="inlineStr">
        <is>
          <t>HP500/ATK50 / HP700/ATK40</t>
        </is>
      </c>
    </row>
    <row r="24">
      <c r="A24" s="7" t="inlineStr">
        <is>
          <t>T2</t>
        </is>
      </c>
      <c r="B24" s="7" t="inlineStr">
        <is>
          <t>악몽 사냥개/환영 기사</t>
        </is>
      </c>
      <c r="C24" s="7" t="inlineStr">
        <is>
          <t>🐕‍🦺💀/🛡️👻</t>
        </is>
      </c>
      <c r="D24" s="7" t="n">
        <v>2</v>
      </c>
      <c r="E24" s="7" t="inlineStr">
        <is>
          <t>2.5K/3K</t>
        </is>
      </c>
      <c r="F24" s="7" t="inlineStr">
        <is>
          <t>HP1K+추적 / HP1.5K+방패</t>
        </is>
      </c>
    </row>
    <row r="25">
      <c r="A25" s="8" t="inlineStr">
        <is>
          <t>T3</t>
        </is>
      </c>
      <c r="B25" s="8" t="inlineStr">
        <is>
          <t>꿈의 히드라/거울 도플</t>
        </is>
      </c>
      <c r="C25" s="8" t="inlineStr">
        <is>
          <t>🐉💤/🪞👤</t>
        </is>
      </c>
      <c r="D25" s="8" t="n">
        <v>3</v>
      </c>
      <c r="E25" s="8" t="inlineStr">
        <is>
          <t>5K/6K</t>
        </is>
      </c>
      <c r="F25" s="8" t="inlineStr">
        <is>
          <t>HP2.5K+머리재생 / HP2K+스탯복제</t>
        </is>
      </c>
    </row>
    <row r="26">
      <c r="A26" s="7" t="inlineStr">
        <is>
          <t>T4</t>
        </is>
      </c>
      <c r="B26" s="7" t="inlineStr">
        <is>
          <t>공허 파수꾼/꿈의 용</t>
        </is>
      </c>
      <c r="C26" s="7" t="inlineStr">
        <is>
          <t>🕳️🗿/🐲💤</t>
        </is>
      </c>
      <c r="D26" s="7" t="n">
        <v>4</v>
      </c>
      <c r="E26" s="7" t="inlineStr">
        <is>
          <t>10K/15K</t>
        </is>
      </c>
      <c r="F26" s="7" t="inlineStr">
        <is>
          <t>HP4K+침묵 / HP6K+수면브레스</t>
        </is>
      </c>
    </row>
    <row r="27">
      <c r="A27" s="8" t="inlineStr">
        <is>
          <t>T5</t>
        </is>
      </c>
      <c r="B27" s="8" t="inlineStr">
        <is>
          <t>악몽의 군주</t>
        </is>
      </c>
      <c r="C27" s="8" t="inlineStr">
        <is>
          <t>👑😈</t>
        </is>
      </c>
      <c r="D27" s="8" t="n">
        <v>5</v>
      </c>
      <c r="E27" s="8" t="inlineStr">
        <is>
          <t>25K</t>
        </is>
      </c>
      <c r="F27" s="8" t="inlineStr">
        <is>
          <t>HP10K — 모든 함정 재발동!</t>
        </is>
      </c>
    </row>
    <row r="28">
      <c r="A28" s="7" t="inlineStr"/>
      <c r="B28" s="7" t="inlineStr"/>
      <c r="C28" s="7" t="inlineStr"/>
      <c r="D28" s="7" t="inlineStr"/>
      <c r="E28" s="7" t="inlineStr"/>
      <c r="F28" s="7" t="inlineStr"/>
    </row>
    <row r="29">
      <c r="A29" s="8" t="inlineStr">
        <is>
          <t>시스템</t>
        </is>
      </c>
      <c r="B29" s="8" t="inlineStr">
        <is>
          <t>건설비</t>
        </is>
      </c>
      <c r="C29" s="8" t="inlineStr">
        <is>
          <t>10,000G</t>
        </is>
      </c>
      <c r="D29" s="8" t="inlineStr">
        <is>
          <t>Lv.25+</t>
        </is>
      </c>
      <c r="E29" s="8" t="inlineStr">
        <is>
          <t>최대 9방</t>
        </is>
      </c>
      <c r="F29" s="8" t="inlineStr">
        <is>
          <t>입장료=투자금x5% / 평점+좋아요 / 클리어율 통계</t>
        </is>
      </c>
    </row>
  </sheetData>
  <mergeCells count="1">
    <mergeCell ref="A1:F1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8" customWidth="1" min="5" max="5"/>
    <col width="24" customWidth="1" min="6" max="6"/>
    <col width="34" customWidth="1" min="7" max="7"/>
  </cols>
  <sheetData>
    <row r="1">
      <c r="A1" s="5" t="inlineStr">
        <is>
          <t>별자리 전쟁 (v2.47)</t>
        </is>
      </c>
    </row>
    <row r="3">
      <c r="A3" s="6" t="inlineStr">
        <is>
          <t>별자리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원소</t>
        </is>
      </c>
      <c r="E3" s="6" t="inlineStr">
        <is>
          <t>계절</t>
        </is>
      </c>
      <c r="F3" s="6" t="inlineStr">
        <is>
          <t>기본보너스</t>
        </is>
      </c>
      <c r="G3" s="6" t="inlineStr">
        <is>
          <t>수호신 스킬</t>
        </is>
      </c>
    </row>
    <row r="4">
      <c r="A4" s="7" t="inlineStr">
        <is>
          <t>♈</t>
        </is>
      </c>
      <c r="B4" s="7" t="inlineStr">
        <is>
          <t>양자리</t>
        </is>
      </c>
      <c r="C4" s="7" t="inlineStr">
        <is>
          <t>♈🐏</t>
        </is>
      </c>
      <c r="D4" s="7" t="inlineStr">
        <is>
          <t>화염</t>
        </is>
      </c>
      <c r="E4" s="7" t="inlineStr">
        <is>
          <t>봄</t>
        </is>
      </c>
      <c r="F4" s="7" t="inlineStr">
        <is>
          <t>ATK+8%</t>
        </is>
      </c>
      <c r="G4" s="7" t="inlineStr">
        <is>
          <t>화염 돌격 (범위 ATKx5)</t>
        </is>
      </c>
    </row>
    <row r="5">
      <c r="A5" s="8" t="inlineStr">
        <is>
          <t>♉</t>
        </is>
      </c>
      <c r="B5" s="8" t="inlineStr">
        <is>
          <t>황소자리</t>
        </is>
      </c>
      <c r="C5" s="8" t="inlineStr">
        <is>
          <t>♉🐂</t>
        </is>
      </c>
      <c r="D5" s="8" t="inlineStr">
        <is>
          <t>대지</t>
        </is>
      </c>
      <c r="E5" s="8" t="inlineStr">
        <is>
          <t>봄</t>
        </is>
      </c>
      <c r="F5" s="8" t="inlineStr">
        <is>
          <t>DEF+10%</t>
        </is>
      </c>
      <c r="G5" s="8" t="inlineStr">
        <is>
          <t>대지의 벽 (방패 5000+DEF30%)</t>
        </is>
      </c>
    </row>
    <row r="6">
      <c r="A6" s="7" t="inlineStr">
        <is>
          <t>♊</t>
        </is>
      </c>
      <c r="B6" s="7" t="inlineStr">
        <is>
          <t>쌍둥이자리</t>
        </is>
      </c>
      <c r="C6" s="7" t="inlineStr">
        <is>
          <t>♊👥</t>
        </is>
      </c>
      <c r="D6" s="7" t="inlineStr">
        <is>
          <t>바람</t>
        </is>
      </c>
      <c r="E6" s="7" t="inlineStr">
        <is>
          <t>봄</t>
        </is>
      </c>
      <c r="F6" s="7" t="inlineStr">
        <is>
          <t>속도+8%</t>
        </is>
      </c>
      <c r="G6" s="7" t="inlineStr">
        <is>
          <t>분신술 (분신 2체 15초)</t>
        </is>
      </c>
    </row>
    <row r="7">
      <c r="A7" s="8" t="inlineStr">
        <is>
          <t>♋</t>
        </is>
      </c>
      <c r="B7" s="8" t="inlineStr">
        <is>
          <t>게자리</t>
        </is>
      </c>
      <c r="C7" s="8" t="inlineStr">
        <is>
          <t>♋🦀</t>
        </is>
      </c>
      <c r="D7" s="8" t="inlineStr">
        <is>
          <t>물</t>
        </is>
      </c>
      <c r="E7" s="8" t="inlineStr">
        <is>
          <t>여름</t>
        </is>
      </c>
      <c r="F7" s="8" t="inlineStr">
        <is>
          <t>힐+10%</t>
        </is>
      </c>
      <c r="G7" s="8" t="inlineStr">
        <is>
          <t>달의 치유 (팀힐 40%+정화)</t>
        </is>
      </c>
    </row>
    <row r="8">
      <c r="A8" s="7" t="inlineStr">
        <is>
          <t>♌</t>
        </is>
      </c>
      <c r="B8" s="7" t="inlineStr">
        <is>
          <t>사자자리</t>
        </is>
      </c>
      <c r="C8" s="7" t="inlineStr">
        <is>
          <t>♌🦁</t>
        </is>
      </c>
      <c r="D8" s="7" t="inlineStr">
        <is>
          <t>화염</t>
        </is>
      </c>
      <c r="E8" s="7" t="inlineStr">
        <is>
          <t>여름</t>
        </is>
      </c>
      <c r="F8" s="7" t="inlineStr">
        <is>
          <t>크리+5%</t>
        </is>
      </c>
      <c r="G8" s="7" t="inlineStr">
        <is>
          <t>태양의 포효 (범위ATKx6+ATK버프)</t>
        </is>
      </c>
    </row>
    <row r="9">
      <c r="A9" s="8" t="inlineStr">
        <is>
          <t>♍</t>
        </is>
      </c>
      <c r="B9" s="8" t="inlineStr">
        <is>
          <t>처녀자리</t>
        </is>
      </c>
      <c r="C9" s="8" t="inlineStr">
        <is>
          <t>♍🌾</t>
        </is>
      </c>
      <c r="D9" s="8" t="inlineStr">
        <is>
          <t>대지</t>
        </is>
      </c>
      <c r="E9" s="8" t="inlineStr">
        <is>
          <t>여름</t>
        </is>
      </c>
      <c r="F9" s="8" t="inlineStr">
        <is>
          <t>EXP+8%</t>
        </is>
      </c>
      <c r="G9" s="8" t="inlineStr">
        <is>
          <t>풍요의 축복 (ALL+10 30초)</t>
        </is>
      </c>
    </row>
    <row r="10">
      <c r="A10" s="7" t="inlineStr">
        <is>
          <t>♎</t>
        </is>
      </c>
      <c r="B10" s="7" t="inlineStr">
        <is>
          <t>천칭자리</t>
        </is>
      </c>
      <c r="C10" s="7" t="inlineStr">
        <is>
          <t>♎⚖️</t>
        </is>
      </c>
      <c r="D10" s="7" t="inlineStr">
        <is>
          <t>바람</t>
        </is>
      </c>
      <c r="E10" s="7" t="inlineStr">
        <is>
          <t>가을</t>
        </is>
      </c>
      <c r="F10" s="7" t="inlineStr">
        <is>
          <t>ALL+2</t>
        </is>
      </c>
      <c r="G10" s="7" t="inlineStr">
        <is>
          <t>심판의 균형 (HP균등화)</t>
        </is>
      </c>
    </row>
    <row r="11">
      <c r="A11" s="8" t="inlineStr">
        <is>
          <t>♏</t>
        </is>
      </c>
      <c r="B11" s="8" t="inlineStr">
        <is>
          <t>전갈자리</t>
        </is>
      </c>
      <c r="C11" s="8" t="inlineStr">
        <is>
          <t>♏🦂</t>
        </is>
      </c>
      <c r="D11" s="8" t="inlineStr">
        <is>
          <t>물</t>
        </is>
      </c>
      <c r="E11" s="8" t="inlineStr">
        <is>
          <t>가을</t>
        </is>
      </c>
      <c r="F11" s="8" t="inlineStr">
        <is>
          <t>크뎀+10%</t>
        </is>
      </c>
      <c r="G11" s="8" t="inlineStr">
        <is>
          <t>맹독 꼬리 (ATKx4+15초독)</t>
        </is>
      </c>
    </row>
    <row r="12">
      <c r="A12" s="7" t="inlineStr">
        <is>
          <t>♐</t>
        </is>
      </c>
      <c r="B12" s="7" t="inlineStr">
        <is>
          <t>궁수자리</t>
        </is>
      </c>
      <c r="C12" s="7" t="inlineStr">
        <is>
          <t>♐🏹</t>
        </is>
      </c>
      <c r="D12" s="7" t="inlineStr">
        <is>
          <t>화염</t>
        </is>
      </c>
      <c r="E12" s="7" t="inlineStr">
        <is>
          <t>가을</t>
        </is>
      </c>
      <c r="F12" s="7" t="inlineStr">
        <is>
          <t>원거리+10%</t>
        </is>
      </c>
      <c r="G12" s="7" t="inlineStr">
        <is>
          <t>유성 화살 (ATKx8+관통)</t>
        </is>
      </c>
    </row>
    <row r="13">
      <c r="A13" s="8" t="inlineStr">
        <is>
          <t>♑</t>
        </is>
      </c>
      <c r="B13" s="8" t="inlineStr">
        <is>
          <t>염소자리</t>
        </is>
      </c>
      <c r="C13" s="8" t="inlineStr">
        <is>
          <t>♑🐐</t>
        </is>
      </c>
      <c r="D13" s="8" t="inlineStr">
        <is>
          <t>대지</t>
        </is>
      </c>
      <c r="E13" s="8" t="inlineStr">
        <is>
          <t>겨울</t>
        </is>
      </c>
      <c r="F13" s="8" t="inlineStr">
        <is>
          <t>골드+8%</t>
        </is>
      </c>
      <c r="G13" s="8" t="inlineStr">
        <is>
          <t>산사태 (범위ATKx4+3초기절)</t>
        </is>
      </c>
    </row>
    <row r="14">
      <c r="A14" s="7" t="inlineStr">
        <is>
          <t>♒</t>
        </is>
      </c>
      <c r="B14" s="7" t="inlineStr">
        <is>
          <t>물병자리</t>
        </is>
      </c>
      <c r="C14" s="7" t="inlineStr">
        <is>
          <t>♒🏺</t>
        </is>
      </c>
      <c r="D14" s="7" t="inlineStr">
        <is>
          <t>바람</t>
        </is>
      </c>
      <c r="E14" s="7" t="inlineStr">
        <is>
          <t>겨울</t>
        </is>
      </c>
      <c r="F14" s="7" t="inlineStr">
        <is>
          <t>MP재생+3</t>
        </is>
      </c>
      <c r="G14" s="7" t="inlineStr">
        <is>
          <t>대홍수 (범위ATKx5+MP흡수)</t>
        </is>
      </c>
    </row>
    <row r="15">
      <c r="A15" s="8" t="inlineStr">
        <is>
          <t>♓</t>
        </is>
      </c>
      <c r="B15" s="8" t="inlineStr">
        <is>
          <t>물고기자리</t>
        </is>
      </c>
      <c r="C15" s="8" t="inlineStr">
        <is>
          <t>♓🐟</t>
        </is>
      </c>
      <c r="D15" s="8" t="inlineStr">
        <is>
          <t>물</t>
        </is>
      </c>
      <c r="E15" s="8" t="inlineStr">
        <is>
          <t>겨울</t>
        </is>
      </c>
      <c r="F15" s="8" t="inlineStr">
        <is>
          <t>회피+5%</t>
        </is>
      </c>
      <c r="G15" s="8" t="inlineStr">
        <is>
          <t>환상의 안개 (혼란+회피30%)</t>
        </is>
      </c>
    </row>
    <row r="16">
      <c r="A16" s="7" t="inlineStr"/>
      <c r="B16" s="7" t="inlineStr"/>
      <c r="C16" s="7" t="inlineStr"/>
      <c r="D16" s="7" t="inlineStr"/>
      <c r="E16" s="7" t="inlineStr"/>
      <c r="F16" s="7" t="inlineStr"/>
      <c r="G16" s="7" t="inlineStr"/>
    </row>
    <row r="17">
      <c r="A17" s="8" t="inlineStr">
        <is>
          <t>--- 원소 상성 ---</t>
        </is>
      </c>
      <c r="B17" s="8" t="inlineStr">
        <is>
          <t>화→풍→지→수→화</t>
        </is>
      </c>
      <c r="C17" s="8" t="inlineStr">
        <is>
          <t>상성시 전투력 1.3배</t>
        </is>
      </c>
      <c r="D17" s="8" t="inlineStr"/>
      <c r="E17" s="8" t="inlineStr"/>
      <c r="F17" s="8" t="inlineStr"/>
      <c r="G17" s="8" t="inlineStr"/>
    </row>
    <row r="18">
      <c r="A18" s="7" t="inlineStr">
        <is>
          <t>--- 계절 ---</t>
        </is>
      </c>
      <c r="B18" s="7" t="inlineStr">
        <is>
          <t>3일 주기 순환</t>
        </is>
      </c>
      <c r="C18" s="7" t="inlineStr">
        <is>
          <t>해당 계절 별자리 전투력 1.5배</t>
        </is>
      </c>
      <c r="D18" s="7" t="inlineStr"/>
      <c r="E18" s="7" t="inlineStr"/>
      <c r="F18" s="7" t="inlineStr"/>
      <c r="G18" s="7" t="inlineStr"/>
    </row>
    <row r="19">
      <c r="A19" s="8" t="inlineStr"/>
      <c r="B19" s="8" t="inlineStr"/>
      <c r="C19" s="8" t="inlineStr"/>
      <c r="D19" s="8" t="inlineStr"/>
      <c r="E19" s="8" t="inlineStr"/>
      <c r="F19" s="8" t="inlineStr"/>
      <c r="G19" s="8" t="inlineStr"/>
    </row>
    <row r="20">
      <c r="A20" s="7">
        <f>== 성좌 영역 (6개) ===</f>
        <v/>
      </c>
      <c r="B20" s="7" t="inlineStr"/>
      <c r="C20" s="7" t="inlineStr"/>
      <c r="D20" s="7" t="inlineStr"/>
      <c r="E20" s="7" t="inlineStr"/>
      <c r="F20" s="7" t="inlineStr"/>
      <c r="G20" s="7" t="inlineStr"/>
    </row>
    <row r="21">
      <c r="A21" s="8" t="inlineStr">
        <is>
          <t>영역</t>
        </is>
      </c>
      <c r="B21" s="8" t="inlineStr">
        <is>
          <t>북십자 성좌</t>
        </is>
      </c>
      <c r="C21" s="8" t="inlineStr">
        <is>
          <t>✝️⭐</t>
        </is>
      </c>
      <c r="D21" s="8" t="inlineStr">
        <is>
          <t>-</t>
        </is>
      </c>
      <c r="E21" s="8" t="inlineStr">
        <is>
          <t>-</t>
        </is>
      </c>
      <c r="F21" s="8" t="inlineStr">
        <is>
          <t>점령시 진영 EXP+10%</t>
        </is>
      </c>
      <c r="G21" s="8" t="inlineStr"/>
    </row>
    <row r="22">
      <c r="A22" s="7" t="inlineStr">
        <is>
          <t>영역</t>
        </is>
      </c>
      <c r="B22" s="7" t="inlineStr">
        <is>
          <t>오리온 벨트</t>
        </is>
      </c>
      <c r="C22" s="7" t="inlineStr">
        <is>
          <t>🌌⭐</t>
        </is>
      </c>
      <c r="D22" s="7" t="inlineStr">
        <is>
          <t>-</t>
        </is>
      </c>
      <c r="E22" s="7" t="inlineStr">
        <is>
          <t>-</t>
        </is>
      </c>
      <c r="F22" s="7" t="inlineStr">
        <is>
          <t>점령시 진영 ATK+8%</t>
        </is>
      </c>
      <c r="G22" s="7" t="inlineStr"/>
    </row>
    <row r="23">
      <c r="A23" s="8" t="inlineStr">
        <is>
          <t>영역</t>
        </is>
      </c>
      <c r="B23" s="8" t="inlineStr">
        <is>
          <t>남관 성좌</t>
        </is>
      </c>
      <c r="C23" s="8" t="inlineStr">
        <is>
          <t>👑⭐</t>
        </is>
      </c>
      <c r="D23" s="8" t="inlineStr">
        <is>
          <t>-</t>
        </is>
      </c>
      <c r="E23" s="8" t="inlineStr">
        <is>
          <t>-</t>
        </is>
      </c>
      <c r="F23" s="8" t="inlineStr">
        <is>
          <t>점령시 진영 골드+10%</t>
        </is>
      </c>
      <c r="G23" s="8" t="inlineStr"/>
    </row>
    <row r="24">
      <c r="A24" s="7" t="inlineStr">
        <is>
          <t>영역</t>
        </is>
      </c>
      <c r="B24" s="7" t="inlineStr">
        <is>
          <t>은하수 영역</t>
        </is>
      </c>
      <c r="C24" s="7" t="inlineStr">
        <is>
          <t>🌊⭐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점령시 진영 힐+10%</t>
        </is>
      </c>
      <c r="G24" s="7" t="inlineStr"/>
    </row>
    <row r="25">
      <c r="A25" s="8" t="inlineStr">
        <is>
          <t>영역</t>
        </is>
      </c>
      <c r="B25" s="8" t="inlineStr">
        <is>
          <t>공허 성운</t>
        </is>
      </c>
      <c r="C25" s="8" t="inlineStr">
        <is>
          <t>🕳️⭐</t>
        </is>
      </c>
      <c r="D25" s="8" t="inlineStr">
        <is>
          <t>-</t>
        </is>
      </c>
      <c r="E25" s="8" t="inlineStr">
        <is>
          <t>-</t>
        </is>
      </c>
      <c r="F25" s="8" t="inlineStr">
        <is>
          <t>점령시 진영 크뎀+8%</t>
        </is>
      </c>
      <c r="G25" s="8" t="inlineStr"/>
    </row>
    <row r="26">
      <c r="A26" s="7" t="inlineStr">
        <is>
          <t>영역</t>
        </is>
      </c>
      <c r="B26" s="7" t="inlineStr">
        <is>
          <t>새벽별</t>
        </is>
      </c>
      <c r="C26" s="7" t="inlineStr">
        <is>
          <t>🌟⭐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점령시 진영 ALL+3</t>
        </is>
      </c>
      <c r="G26" s="7" t="inlineStr"/>
    </row>
    <row r="27">
      <c r="A27" s="8" t="inlineStr"/>
      <c r="B27" s="8" t="inlineStr"/>
      <c r="C27" s="8" t="inlineStr"/>
      <c r="D27" s="8" t="inlineStr"/>
      <c r="E27" s="8" t="inlineStr"/>
      <c r="F27" s="8" t="inlineStr"/>
      <c r="G27" s="8" t="inlineStr"/>
    </row>
    <row r="28">
      <c r="A28" s="7">
        <f>== 전쟁 사이클 ===</f>
        <v/>
      </c>
      <c r="B28" s="7" t="inlineStr"/>
      <c r="C28" s="7" t="inlineStr"/>
      <c r="D28" s="7" t="inlineStr"/>
      <c r="E28" s="7" t="inlineStr"/>
      <c r="F28" s="7" t="inlineStr"/>
      <c r="G28" s="7" t="inlineStr"/>
    </row>
    <row r="29">
      <c r="A29" s="8" t="inlineStr">
        <is>
          <t>단계</t>
        </is>
      </c>
      <c r="B29" s="8" t="inlineStr">
        <is>
          <t>평화 (1시간)</t>
        </is>
      </c>
      <c r="C29" s="8" t="inlineStr">
        <is>
          <t>→ 동원 (30분)</t>
        </is>
      </c>
      <c r="D29" s="8" t="inlineStr">
        <is>
          <t>→ 전투 (30분)</t>
        </is>
      </c>
      <c r="E29" s="8" t="inlineStr">
        <is>
          <t>→ 보상 (10분)</t>
        </is>
      </c>
      <c r="F29" s="8" t="inlineStr">
        <is>
          <t>자동 순환</t>
        </is>
      </c>
      <c r="G29" s="8" t="inlineStr">
        <is>
          <t>30초마다 단계 체크</t>
        </is>
      </c>
    </row>
    <row r="30">
      <c r="A30" s="7" t="inlineStr">
        <is>
          <t>등급</t>
        </is>
      </c>
      <c r="B30" s="7" t="inlineStr">
        <is>
          <t>신병→병사→전사→수호자→별의사령관→성좌마스터</t>
        </is>
      </c>
      <c r="C30" s="7" t="inlineStr">
        <is>
          <t>기여도 기반</t>
        </is>
      </c>
      <c r="D30" s="7" t="inlineStr"/>
      <c r="E30" s="7" t="inlineStr"/>
      <c r="F30" s="7" t="inlineStr"/>
      <c r="G30" s="7" t="inlineStr">
        <is>
          <t>헌납(골드→전력)</t>
        </is>
      </c>
    </row>
  </sheetData>
  <mergeCells count="1">
    <mergeCell ref="A1:G1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2" customWidth="1" min="4" max="4"/>
    <col width="10" customWidth="1" min="5" max="5"/>
    <col width="34" customWidth="1" min="6" max="6"/>
    <col width="34" customWidth="1" min="7" max="7"/>
  </cols>
  <sheetData>
    <row r="1">
      <c r="A1" s="5" t="inlineStr">
        <is>
          <t>금서의 도서관 (v2.48)</t>
        </is>
      </c>
    </row>
    <row r="3">
      <c r="A3" s="6" t="inlineStr">
        <is>
          <t>항목</t>
        </is>
      </c>
      <c r="B3" s="6" t="inlineStr">
        <is>
          <t>ID/이름</t>
        </is>
      </c>
      <c r="C3" s="6" t="inlineStr">
        <is>
          <t>아이콘</t>
        </is>
      </c>
      <c r="D3" s="6" t="inlineStr">
        <is>
          <t>티어/구역</t>
        </is>
      </c>
      <c r="E3" s="6" t="inlineStr">
        <is>
          <t>오염도</t>
        </is>
      </c>
      <c r="F3" s="6" t="inlineStr">
        <is>
          <t>보상/효과</t>
        </is>
      </c>
      <c r="G3" s="6" t="inlineStr">
        <is>
          <t>습득 마법</t>
        </is>
      </c>
    </row>
    <row r="4">
      <c r="A4" s="7">
        <f>== 구역 (4개) ===</f>
        <v/>
      </c>
      <c r="B4" s="7" t="inlineStr"/>
      <c r="C4" s="7" t="inlineStr"/>
      <c r="D4" s="7" t="inlineStr"/>
      <c r="E4" s="7" t="inlineStr"/>
      <c r="F4" s="7" t="inlineStr"/>
      <c r="G4" s="7" t="inlineStr"/>
    </row>
    <row r="5">
      <c r="A5" s="8" t="inlineStr">
        <is>
          <t>구역</t>
        </is>
      </c>
      <c r="B5" s="8" t="inlineStr">
        <is>
          <t>속삭임의 전당</t>
        </is>
      </c>
      <c r="C5" s="8" t="inlineStr">
        <is>
          <t>🏛️👂</t>
        </is>
      </c>
      <c r="D5" s="8" t="inlineStr">
        <is>
          <t>T1/Lv.20+</t>
        </is>
      </c>
      <c r="E5" s="8" t="inlineStr">
        <is>
          <t>입장+1.5%</t>
        </is>
      </c>
      <c r="F5" s="8" t="inlineStr">
        <is>
          <t>초급 금서</t>
        </is>
      </c>
      <c r="G5" s="8" t="inlineStr"/>
    </row>
    <row r="6">
      <c r="A6" s="7" t="inlineStr">
        <is>
          <t>구역</t>
        </is>
      </c>
      <c r="B6" s="7" t="inlineStr">
        <is>
          <t>눈의 방</t>
        </is>
      </c>
      <c r="C6" s="7" t="inlineStr">
        <is>
          <t>👁️📚</t>
        </is>
      </c>
      <c r="D6" s="7" t="inlineStr">
        <is>
          <t>T2/Lv.30+</t>
        </is>
      </c>
      <c r="E6" s="7" t="inlineStr">
        <is>
          <t>입장+3%</t>
        </is>
      </c>
      <c r="F6" s="7" t="inlineStr">
        <is>
          <t>중급 금서</t>
        </is>
      </c>
      <c r="G6" s="7" t="inlineStr"/>
    </row>
    <row r="7">
      <c r="A7" s="8" t="inlineStr">
        <is>
          <t>구역</t>
        </is>
      </c>
      <c r="B7" s="8" t="inlineStr">
        <is>
          <t>심연 서고</t>
        </is>
      </c>
      <c r="C7" s="8" t="inlineStr">
        <is>
          <t>🕳️📖</t>
        </is>
      </c>
      <c r="D7" s="8" t="inlineStr">
        <is>
          <t>T3/Lv.40+</t>
        </is>
      </c>
      <c r="E7" s="8" t="inlineStr">
        <is>
          <t>입장+4.5%</t>
        </is>
      </c>
      <c r="F7" s="8" t="inlineStr">
        <is>
          <t>상급 금서</t>
        </is>
      </c>
      <c r="G7" s="8" t="inlineStr"/>
    </row>
    <row r="8">
      <c r="A8" s="7" t="inlineStr">
        <is>
          <t>구역</t>
        </is>
      </c>
      <c r="B8" s="7" t="inlineStr">
        <is>
          <t>광기의 옥좌</t>
        </is>
      </c>
      <c r="C8" s="7" t="inlineStr">
        <is>
          <t>👑🌀</t>
        </is>
      </c>
      <c r="D8" s="7" t="inlineStr">
        <is>
          <t>T4/Lv.50+</t>
        </is>
      </c>
      <c r="E8" s="7" t="inlineStr">
        <is>
          <t>입장+7.5%</t>
        </is>
      </c>
      <c r="F8" s="7" t="inlineStr">
        <is>
          <t>궁극 금서</t>
        </is>
      </c>
      <c r="G8" s="7" t="inlineStr"/>
    </row>
    <row r="9">
      <c r="A9" s="8" t="inlineStr"/>
      <c r="B9" s="8" t="inlineStr"/>
      <c r="C9" s="8" t="inlineStr"/>
      <c r="D9" s="8" t="inlineStr"/>
      <c r="E9" s="8" t="inlineStr"/>
      <c r="F9" s="8" t="inlineStr"/>
      <c r="G9" s="8" t="inlineStr"/>
    </row>
    <row r="10">
      <c r="A10" s="7">
        <f>== 금서 (11종) ===</f>
        <v/>
      </c>
      <c r="B10" s="7" t="inlineStr"/>
      <c r="C10" s="7" t="inlineStr"/>
      <c r="D10" s="7" t="inlineStr"/>
      <c r="E10" s="7" t="inlineStr"/>
      <c r="F10" s="7" t="inlineStr"/>
      <c r="G10" s="7" t="inlineStr"/>
    </row>
    <row r="11">
      <c r="A11" s="8" t="inlineStr">
        <is>
          <t>T1</t>
        </is>
      </c>
      <c r="B11" s="8" t="inlineStr">
        <is>
          <t>그림자 언어</t>
        </is>
      </c>
      <c r="C11" s="8" t="inlineStr">
        <is>
          <t>📕🌑</t>
        </is>
      </c>
      <c r="D11" s="8" t="inlineStr">
        <is>
          <t>속삭임</t>
        </is>
      </c>
      <c r="E11" s="8" t="inlineStr">
        <is>
          <t>+5%</t>
        </is>
      </c>
      <c r="F11" s="8" t="inlineStr">
        <is>
          <t>암속+5%</t>
        </is>
      </c>
      <c r="G11" s="8" t="inlineStr">
        <is>
          <t>-</t>
        </is>
      </c>
    </row>
    <row r="12">
      <c r="A12" s="7" t="inlineStr">
        <is>
          <t>T1</t>
        </is>
      </c>
      <c r="B12" s="7" t="inlineStr">
        <is>
          <t>피의 문자</t>
        </is>
      </c>
      <c r="C12" s="7" t="inlineStr">
        <is>
          <t>📕🩸</t>
        </is>
      </c>
      <c r="D12" s="7" t="inlineStr">
        <is>
          <t>속삭임</t>
        </is>
      </c>
      <c r="E12" s="7" t="inlineStr">
        <is>
          <t>+8%</t>
        </is>
      </c>
      <c r="F12" s="7" t="inlineStr">
        <is>
          <t>흡혈+3%</t>
        </is>
      </c>
      <c r="G12" s="7" t="inlineStr">
        <is>
          <t>-</t>
        </is>
      </c>
    </row>
    <row r="13">
      <c r="A13" s="8" t="inlineStr">
        <is>
          <t>T1</t>
        </is>
      </c>
      <c r="B13" s="8" t="inlineStr">
        <is>
          <t>죽은 자의 속삭임</t>
        </is>
      </c>
      <c r="C13" s="8" t="inlineStr">
        <is>
          <t>📕💀</t>
        </is>
      </c>
      <c r="D13" s="8" t="inlineStr">
        <is>
          <t>속삭임</t>
        </is>
      </c>
      <c r="E13" s="8" t="inlineStr">
        <is>
          <t>+6%</t>
        </is>
      </c>
      <c r="F13" s="8" t="inlineStr">
        <is>
          <t>MP재생+2</t>
        </is>
      </c>
      <c r="G13" s="8" t="inlineStr">
        <is>
          <t>죽음의 속삭임 (공포5초+ATK-20%)</t>
        </is>
      </c>
    </row>
    <row r="14">
      <c r="A14" s="7" t="inlineStr">
        <is>
          <t>T2</t>
        </is>
      </c>
      <c r="B14" s="7" t="inlineStr">
        <is>
          <t>정신 균열론</t>
        </is>
      </c>
      <c r="C14" s="7" t="inlineStr">
        <is>
          <t>📗🧠</t>
        </is>
      </c>
      <c r="D14" s="7" t="inlineStr">
        <is>
          <t>눈의방</t>
        </is>
      </c>
      <c r="E14" s="7" t="inlineStr">
        <is>
          <t>+12%</t>
        </is>
      </c>
      <c r="F14" s="7" t="inlineStr">
        <is>
          <t>마법+8%</t>
        </is>
      </c>
      <c r="G14" s="7" t="inlineStr">
        <is>
          <t>정신 분쇄 (ATKx4+혼란3초)</t>
        </is>
      </c>
    </row>
    <row r="15">
      <c r="A15" s="8" t="inlineStr">
        <is>
          <t>T2</t>
        </is>
      </c>
      <c r="B15" s="8" t="inlineStr">
        <is>
          <t>공허 기하학</t>
        </is>
      </c>
      <c r="C15" s="8" t="inlineStr">
        <is>
          <t>📗🔮</t>
        </is>
      </c>
      <c r="D15" s="8" t="inlineStr">
        <is>
          <t>눈의방</t>
        </is>
      </c>
      <c r="E15" s="8" t="inlineStr">
        <is>
          <t>+15%</t>
        </is>
      </c>
      <c r="F15" s="8" t="inlineStr">
        <is>
          <t>회피+5%</t>
        </is>
      </c>
      <c r="G15" s="8" t="inlineStr">
        <is>
          <t>공간 찢기 (ATKx3+텔레포트)</t>
        </is>
      </c>
    </row>
    <row r="16">
      <c r="A16" s="7" t="inlineStr">
        <is>
          <t>T2</t>
        </is>
      </c>
      <c r="B16" s="7" t="inlineStr">
        <is>
          <t>육체 속박술</t>
        </is>
      </c>
      <c r="C16" s="7" t="inlineStr">
        <is>
          <t>📗⛓️</t>
        </is>
      </c>
      <c r="D16" s="7" t="inlineStr">
        <is>
          <t>눈의방</t>
        </is>
      </c>
      <c r="E16" s="7" t="inlineStr">
        <is>
          <t>+10%</t>
        </is>
      </c>
      <c r="F16" s="7" t="inlineStr">
        <is>
          <t>DEF+20</t>
        </is>
      </c>
      <c r="G16" s="7" t="inlineStr">
        <is>
          <t>-</t>
        </is>
      </c>
    </row>
    <row r="17">
      <c r="A17" s="8" t="inlineStr">
        <is>
          <t>T3</t>
        </is>
      </c>
      <c r="B17" s="8" t="inlineStr">
        <is>
          <t>현실 개변서</t>
        </is>
      </c>
      <c r="C17" s="8" t="inlineStr">
        <is>
          <t>📘🌀</t>
        </is>
      </c>
      <c r="D17" s="8" t="inlineStr">
        <is>
          <t>심연</t>
        </is>
      </c>
      <c r="E17" s="8" t="inlineStr">
        <is>
          <t>+20%</t>
        </is>
      </c>
      <c r="F17" s="8" t="inlineStr">
        <is>
          <t>ALL+5</t>
        </is>
      </c>
      <c r="G17" s="8" t="inlineStr">
        <is>
          <t>현실 왜곡 (5초 데미지→회복)</t>
        </is>
      </c>
    </row>
    <row r="18">
      <c r="A18" s="7" t="inlineStr">
        <is>
          <t>T3</t>
        </is>
      </c>
      <c r="B18" s="7" t="inlineStr">
        <is>
          <t>영혼 수확론</t>
        </is>
      </c>
      <c r="C18" s="7" t="inlineStr">
        <is>
          <t>📘👻</t>
        </is>
      </c>
      <c r="D18" s="7" t="inlineStr">
        <is>
          <t>심연</t>
        </is>
      </c>
      <c r="E18" s="7" t="inlineStr">
        <is>
          <t>+18%</t>
        </is>
      </c>
      <c r="F18" s="7" t="inlineStr">
        <is>
          <t>크뎀+12%</t>
        </is>
      </c>
      <c r="G18" s="7" t="inlineStr">
        <is>
          <t>영혼 수확 (ATKx5+영혼수집)</t>
        </is>
      </c>
    </row>
    <row r="19">
      <c r="A19" s="8" t="inlineStr">
        <is>
          <t>T3</t>
        </is>
      </c>
      <c r="B19" s="8" t="inlineStr">
        <is>
          <t>시간 모순론</t>
        </is>
      </c>
      <c r="C19" s="8" t="inlineStr">
        <is>
          <t>📘⏳</t>
        </is>
      </c>
      <c r="D19" s="8" t="inlineStr">
        <is>
          <t>심연</t>
        </is>
      </c>
      <c r="E19" s="8" t="inlineStr">
        <is>
          <t>+22%</t>
        </is>
      </c>
      <c r="F19" s="8" t="inlineStr">
        <is>
          <t>쿨감-10%</t>
        </is>
      </c>
      <c r="G19" s="8" t="inlineStr">
        <is>
          <t>시간 역설 (HP 10초전 복구)</t>
        </is>
      </c>
    </row>
    <row r="20">
      <c r="A20" s="7" t="inlineStr">
        <is>
          <t>T4</t>
        </is>
      </c>
      <c r="B20" s="7" t="inlineStr">
        <is>
          <t>만물의 진명</t>
        </is>
      </c>
      <c r="C20" s="7" t="inlineStr">
        <is>
          <t>📙✨</t>
        </is>
      </c>
      <c r="D20" s="7" t="inlineStr">
        <is>
          <t>광기옥좌</t>
        </is>
      </c>
      <c r="E20" s="7" t="inlineStr">
        <is>
          <t>+30%</t>
        </is>
      </c>
      <c r="F20" s="7" t="inlineStr">
        <is>
          <t>ALL+10</t>
        </is>
      </c>
      <c r="G20" s="7" t="inlineStr">
        <is>
          <t>진명 선언 (방무ATKx8+침묵5초)</t>
        </is>
      </c>
    </row>
    <row r="21">
      <c r="A21" s="8" t="inlineStr">
        <is>
          <t>T4</t>
        </is>
      </c>
      <c r="B21" s="8" t="inlineStr">
        <is>
          <t>우주의 진실</t>
        </is>
      </c>
      <c r="C21" s="8" t="inlineStr">
        <is>
          <t>📙🌌</t>
        </is>
      </c>
      <c r="D21" s="8" t="inlineStr">
        <is>
          <t>광기옥좌</t>
        </is>
      </c>
      <c r="E21" s="8" t="inlineStr">
        <is>
          <t>+35%</t>
        </is>
      </c>
      <c r="F21" s="8" t="inlineStr">
        <is>
          <t>ALL+10%</t>
        </is>
      </c>
      <c r="G21" s="8" t="inlineStr">
        <is>
          <t>우주적 계시 (15초ALL+30%+전맵시야)</t>
        </is>
      </c>
    </row>
    <row r="22">
      <c r="A22" s="7" t="inlineStr"/>
      <c r="B22" s="7" t="inlineStr"/>
      <c r="C22" s="7" t="inlineStr"/>
      <c r="D22" s="7" t="inlineStr"/>
      <c r="E22" s="7" t="inlineStr"/>
      <c r="F22" s="7" t="inlineStr"/>
      <c r="G22" s="7" t="inlineStr"/>
    </row>
    <row r="23">
      <c r="A23" s="8">
        <f>== 오염 단계 (6단계) ===</f>
        <v/>
      </c>
      <c r="B23" s="8" t="inlineStr"/>
      <c r="C23" s="8" t="inlineStr"/>
      <c r="D23" s="8" t="inlineStr"/>
      <c r="E23" s="8" t="inlineStr"/>
      <c r="F23" s="8" t="inlineStr"/>
      <c r="G23" s="8" t="inlineStr"/>
    </row>
    <row r="24">
      <c r="A24" s="7" t="inlineStr">
        <is>
          <t>0~19%</t>
        </is>
      </c>
      <c r="B24" s="7" t="inlineStr">
        <is>
          <t>정상</t>
        </is>
      </c>
      <c r="C24" s="7" t="inlineStr">
        <is>
          <t>😊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효과 없음</t>
        </is>
      </c>
      <c r="G24" s="7" t="inlineStr"/>
    </row>
    <row r="25">
      <c r="A25" s="8" t="inlineStr">
        <is>
          <t>20~39%</t>
        </is>
      </c>
      <c r="B25" s="8" t="inlineStr">
        <is>
          <t>불안</t>
        </is>
      </c>
      <c r="C25" s="8" t="inlineStr">
        <is>
          <t>😰</t>
        </is>
      </c>
      <c r="D25" s="8" t="inlineStr">
        <is>
          <t>-</t>
        </is>
      </c>
      <c r="E25" s="8" t="inlineStr">
        <is>
          <t>-</t>
        </is>
      </c>
      <c r="F25" s="8" t="inlineStr">
        <is>
          <t>명중-5%, 가끔 환청</t>
        </is>
      </c>
      <c r="G25" s="8" t="inlineStr"/>
    </row>
    <row r="26">
      <c r="A26" s="7" t="inlineStr">
        <is>
          <t>40~59%</t>
        </is>
      </c>
      <c r="B26" s="7" t="inlineStr">
        <is>
          <t>환각</t>
        </is>
      </c>
      <c r="C26" s="7" t="inlineStr">
        <is>
          <t>🌀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명중-10%, 환각</t>
        </is>
      </c>
      <c r="G26" s="7" t="inlineStr"/>
    </row>
    <row r="27">
      <c r="A27" s="8" t="inlineStr">
        <is>
          <t>60~79%</t>
        </is>
      </c>
      <c r="B27" s="8" t="inlineStr">
        <is>
          <t>침식</t>
        </is>
      </c>
      <c r="C27" s="8" t="inlineStr">
        <is>
          <t>😱</t>
        </is>
      </c>
      <c r="D27" s="8" t="inlineStr">
        <is>
          <t>-</t>
        </is>
      </c>
      <c r="E27" s="8" t="inlineStr">
        <is>
          <t>-</t>
        </is>
      </c>
      <c r="F27" s="8" t="inlineStr">
        <is>
          <t>명중-15%, 초당HP-1</t>
        </is>
      </c>
      <c r="G27" s="8" t="inlineStr"/>
    </row>
    <row r="28">
      <c r="A28" s="7" t="inlineStr">
        <is>
          <t>80~99%</t>
        </is>
      </c>
      <c r="B28" s="7" t="inlineStr">
        <is>
          <t>광기 직전</t>
        </is>
      </c>
      <c r="C28" s="7" t="inlineStr">
        <is>
          <t>🤪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명중-20%, HP-3, ATK+20%!</t>
        </is>
      </c>
      <c r="G28" s="7" t="inlineStr"/>
    </row>
    <row r="29">
      <c r="A29" s="8" t="inlineStr">
        <is>
          <t>100%</t>
        </is>
      </c>
      <c r="B29" s="8" t="inlineStr">
        <is>
          <t>완전한 광기</t>
        </is>
      </c>
      <c r="C29" s="8" t="inlineStr">
        <is>
          <t>💀🌀</t>
        </is>
      </c>
      <c r="D29" s="8" t="inlineStr">
        <is>
          <t>-</t>
        </is>
      </c>
      <c r="E29" s="8" t="inlineStr">
        <is>
          <t>-</t>
        </is>
      </c>
      <c r="F29" s="8" t="inlineStr">
        <is>
          <t>★ 광기 보스 등장!</t>
        </is>
      </c>
      <c r="G29" s="8" t="inlineStr"/>
    </row>
    <row r="30">
      <c r="A30" s="7" t="inlineStr"/>
      <c r="B30" s="7" t="inlineStr"/>
      <c r="C30" s="7" t="inlineStr"/>
      <c r="D30" s="7" t="inlineStr"/>
      <c r="E30" s="7" t="inlineStr"/>
      <c r="F30" s="7" t="inlineStr"/>
      <c r="G30" s="7" t="inlineStr"/>
    </row>
    <row r="31">
      <c r="A31" s="8">
        <f>== 광기 보스 ===</f>
        <v/>
      </c>
      <c r="B31" s="8" t="inlineStr"/>
      <c r="C31" s="8" t="inlineStr"/>
      <c r="D31" s="8" t="inlineStr"/>
      <c r="E31" s="8" t="inlineStr"/>
      <c r="F31" s="8" t="inlineStr"/>
      <c r="G31" s="8" t="inlineStr"/>
    </row>
    <row r="32">
      <c r="A32" s="7" t="inlineStr">
        <is>
          <t>보스</t>
        </is>
      </c>
      <c r="B32" s="7" t="inlineStr">
        <is>
          <t>광기의 군주 데멘시아</t>
        </is>
      </c>
      <c r="C32" s="7" t="inlineStr">
        <is>
          <t>👁️‍🗨️💀</t>
        </is>
      </c>
      <c r="D32" s="7" t="inlineStr">
        <is>
          <t>-</t>
        </is>
      </c>
      <c r="E32" s="7" t="inlineStr">
        <is>
          <t>HP80K/ATK800/DEF250</t>
        </is>
      </c>
      <c r="F32" s="7" t="inlineStr">
        <is>
          <t>3페이즈: 각성→분노(ATKx1.5)→광란(ATKx2)</t>
        </is>
      </c>
      <c r="G32" s="7" t="inlineStr">
        <is>
          <t>스킬: 현실붕괴, 정신폭풍, 기억소거, 존재부정</t>
        </is>
      </c>
    </row>
    <row r="33">
      <c r="A33" s="8" t="inlineStr">
        <is>
          <t>드롭</t>
        </is>
      </c>
      <c r="B33" s="8" t="inlineStr">
        <is>
          <t>명석의 서 / 광기의 왕관 / 진실의 눈</t>
        </is>
      </c>
      <c r="C33" s="8" t="inlineStr">
        <is>
          <t>📖✨/👑🌀/👁️✨</t>
        </is>
      </c>
      <c r="D33" s="8" t="inlineStr">
        <is>
          <t>-</t>
        </is>
      </c>
      <c r="E33" s="8" t="inlineStr">
        <is>
          <t>-</t>
        </is>
      </c>
      <c r="F33" s="8" t="inlineStr">
        <is>
          <t>ALL+15+오염면역 / 마법+25% / 모든숨긴것시야+ALL+8</t>
        </is>
      </c>
      <c r="G33" s="8" t="inlineStr">
        <is>
          <t>격파시 오염→30%</t>
        </is>
      </c>
    </row>
    <row r="34">
      <c r="A34" s="7" t="inlineStr"/>
      <c r="B34" s="7" t="inlineStr"/>
      <c r="C34" s="7" t="inlineStr"/>
      <c r="D34" s="7" t="inlineStr"/>
      <c r="E34" s="7" t="inlineStr"/>
      <c r="F34" s="7" t="inlineStr"/>
      <c r="G34" s="7" t="inlineStr"/>
    </row>
    <row r="35">
      <c r="A35" s="8" t="inlineStr">
        <is>
          <t>시스템</t>
        </is>
      </c>
      <c r="B35" s="8" t="inlineStr">
        <is>
          <t>정화</t>
        </is>
      </c>
      <c r="C35" s="8" t="inlineStr">
        <is>
          <t>10,000G</t>
        </is>
      </c>
      <c r="D35" s="8" t="inlineStr">
        <is>
          <t>오염-20%</t>
        </is>
      </c>
      <c r="E35" s="8" t="inlineStr">
        <is>
          <t>-</t>
        </is>
      </c>
      <c r="F35" s="8" t="inlineStr">
        <is>
          <t>금서 읽기시 지식조각 획득 (티어x3)</t>
        </is>
      </c>
      <c r="G35" s="8" t="inlineStr">
        <is>
          <t>마법 사용시 오염+2%</t>
        </is>
      </c>
    </row>
  </sheetData>
  <mergeCells count="1">
    <mergeCell ref="A1:G1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8" customWidth="1" min="4" max="4"/>
    <col width="5" customWidth="1" min="5" max="5"/>
    <col width="18" customWidth="1" min="6" max="6"/>
    <col width="28" customWidth="1" min="7" max="7"/>
  </cols>
  <sheetData>
    <row r="1">
      <c r="A1" s="5" t="inlineStr">
        <is>
          <t>거수 합체 (v2.49)</t>
        </is>
      </c>
    </row>
    <row r="3">
      <c r="A3" s="6" t="inlineStr">
        <is>
          <t>파츠</t>
        </is>
      </c>
      <c r="B3" s="6" t="inlineStr">
        <is>
          <t>ID</t>
        </is>
      </c>
      <c r="C3" s="6" t="inlineStr">
        <is>
          <t>이름</t>
        </is>
      </c>
      <c r="D3" s="6" t="inlineStr">
        <is>
          <t>아이콘</t>
        </is>
      </c>
      <c r="E3" s="6" t="inlineStr">
        <is>
          <t>티어</t>
        </is>
      </c>
      <c r="F3" s="6" t="inlineStr">
        <is>
          <t>주요 수치</t>
        </is>
      </c>
      <c r="G3" s="6" t="inlineStr">
        <is>
          <t>스킬/특성</t>
        </is>
      </c>
    </row>
    <row r="4">
      <c r="A4" s="7">
        <f>== 머리 (8종) ===</f>
        <v/>
      </c>
      <c r="B4" s="7" t="inlineStr"/>
      <c r="C4" s="7" t="inlineStr"/>
      <c r="D4" s="7" t="inlineStr"/>
      <c r="E4" s="7" t="inlineStr"/>
      <c r="F4" s="7" t="inlineStr"/>
      <c r="G4" s="7" t="inlineStr"/>
    </row>
    <row r="5">
      <c r="A5" s="8" t="inlineStr">
        <is>
          <t>머리</t>
        </is>
      </c>
      <c r="B5" s="8" t="inlineStr">
        <is>
          <t>dragon_head</t>
        </is>
      </c>
      <c r="C5" s="8" t="inlineStr">
        <is>
          <t>용의 머리</t>
        </is>
      </c>
      <c r="D5" s="8" t="inlineStr">
        <is>
          <t>🐉</t>
        </is>
      </c>
      <c r="E5" s="8" t="n">
        <v>4</v>
      </c>
      <c r="F5" s="8" t="inlineStr">
        <is>
          <t>ATK300, x1.5</t>
        </is>
      </c>
      <c r="G5" s="8" t="inlineStr">
        <is>
          <t>화염 브레스</t>
        </is>
      </c>
    </row>
    <row r="6">
      <c r="A6" s="7" t="inlineStr">
        <is>
          <t>머리</t>
        </is>
      </c>
      <c r="B6" s="7" t="inlineStr">
        <is>
          <t>wolf_head</t>
        </is>
      </c>
      <c r="C6" s="7" t="inlineStr">
        <is>
          <t>늑대 머리</t>
        </is>
      </c>
      <c r="D6" s="7" t="inlineStr">
        <is>
          <t>🐺</t>
        </is>
      </c>
      <c r="E6" s="7" t="n">
        <v>2</v>
      </c>
      <c r="F6" s="7" t="inlineStr">
        <is>
          <t>ATK150, x1.2</t>
        </is>
      </c>
      <c r="G6" s="7" t="inlineStr">
        <is>
          <t>맹수의 이빨</t>
        </is>
      </c>
    </row>
    <row r="7">
      <c r="A7" s="8" t="inlineStr">
        <is>
          <t>머리</t>
        </is>
      </c>
      <c r="B7" s="8" t="inlineStr">
        <is>
          <t>snake_head</t>
        </is>
      </c>
      <c r="C7" s="8" t="inlineStr">
        <is>
          <t>뱀의 머리</t>
        </is>
      </c>
      <c r="D7" s="8" t="inlineStr">
        <is>
          <t>🐍</t>
        </is>
      </c>
      <c r="E7" s="8" t="n">
        <v>2</v>
      </c>
      <c r="F7" s="8" t="inlineStr">
        <is>
          <t>ATK120, x1.1</t>
        </is>
      </c>
      <c r="G7" s="8" t="inlineStr">
        <is>
          <t>맹독 송곳니</t>
        </is>
      </c>
    </row>
    <row r="8">
      <c r="A8" s="7" t="inlineStr">
        <is>
          <t>머리</t>
        </is>
      </c>
      <c r="B8" s="7" t="inlineStr">
        <is>
          <t>eagle_head</t>
        </is>
      </c>
      <c r="C8" s="7" t="inlineStr">
        <is>
          <t>독수리 머리</t>
        </is>
      </c>
      <c r="D8" s="7" t="inlineStr">
        <is>
          <t>🦅</t>
        </is>
      </c>
      <c r="E8" s="7" t="n">
        <v>3</v>
      </c>
      <c r="F8" s="7" t="inlineStr">
        <is>
          <t>ATK200, x1.3</t>
        </is>
      </c>
      <c r="G8" s="7" t="inlineStr">
        <is>
          <t>폭풍 부리</t>
        </is>
      </c>
    </row>
    <row r="9">
      <c r="A9" s="8" t="inlineStr">
        <is>
          <t>머리</t>
        </is>
      </c>
      <c r="B9" s="8" t="inlineStr">
        <is>
          <t>demon_head</t>
        </is>
      </c>
      <c r="C9" s="8" t="inlineStr">
        <is>
          <t>악마 머리</t>
        </is>
      </c>
      <c r="D9" s="8" t="inlineStr">
        <is>
          <t>😈</t>
        </is>
      </c>
      <c r="E9" s="8" t="n">
        <v>4</v>
      </c>
      <c r="F9" s="8" t="inlineStr">
        <is>
          <t>ATK350, x1.6</t>
        </is>
      </c>
      <c r="G9" s="8" t="inlineStr">
        <is>
          <t>지옥 포효</t>
        </is>
      </c>
    </row>
    <row r="10">
      <c r="A10" s="7" t="inlineStr">
        <is>
          <t>머리</t>
        </is>
      </c>
      <c r="B10" s="7" t="inlineStr">
        <is>
          <t>lion_head</t>
        </is>
      </c>
      <c r="C10" s="7" t="inlineStr">
        <is>
          <t>사자 머리</t>
        </is>
      </c>
      <c r="D10" s="7" t="inlineStr">
        <is>
          <t>🦁</t>
        </is>
      </c>
      <c r="E10" s="7" t="n">
        <v>3</v>
      </c>
      <c r="F10" s="7" t="inlineStr">
        <is>
          <t>ATK250, x1.4</t>
        </is>
      </c>
      <c r="G10" s="7" t="inlineStr">
        <is>
          <t>왕의 포효</t>
        </is>
      </c>
    </row>
    <row r="11">
      <c r="A11" s="8" t="inlineStr">
        <is>
          <t>머리</t>
        </is>
      </c>
      <c r="B11" s="8" t="inlineStr">
        <is>
          <t>kraken_head</t>
        </is>
      </c>
      <c r="C11" s="8" t="inlineStr">
        <is>
          <t>크라켄 머리</t>
        </is>
      </c>
      <c r="D11" s="8" t="inlineStr">
        <is>
          <t>🐙</t>
        </is>
      </c>
      <c r="E11" s="8" t="n">
        <v>4</v>
      </c>
      <c r="F11" s="8" t="inlineStr">
        <is>
          <t>ATK280, x1.5</t>
        </is>
      </c>
      <c r="G11" s="8" t="inlineStr">
        <is>
          <t>심해 압력</t>
        </is>
      </c>
    </row>
    <row r="12">
      <c r="A12" s="7" t="inlineStr">
        <is>
          <t>머리</t>
        </is>
      </c>
      <c r="B12" s="7" t="inlineStr">
        <is>
          <t>phoenix_head</t>
        </is>
      </c>
      <c r="C12" s="7" t="inlineStr">
        <is>
          <t>불사조 머리</t>
        </is>
      </c>
      <c r="D12" s="7" t="inlineStr">
        <is>
          <t>🔥🐦</t>
        </is>
      </c>
      <c r="E12" s="7" t="n">
        <v>5</v>
      </c>
      <c r="F12" s="7" t="inlineStr">
        <is>
          <t>ATK400, x1.8</t>
        </is>
      </c>
      <c r="G12" s="7" t="inlineStr">
        <is>
          <t>불멸의 불꽃</t>
        </is>
      </c>
    </row>
    <row r="13">
      <c r="A13" s="8" t="inlineStr"/>
      <c r="B13" s="8" t="inlineStr"/>
      <c r="C13" s="8" t="inlineStr"/>
      <c r="D13" s="8" t="inlineStr"/>
      <c r="E13" s="8" t="inlineStr"/>
      <c r="F13" s="8" t="inlineStr"/>
      <c r="G13" s="8" t="inlineStr"/>
    </row>
    <row r="14">
      <c r="A14" s="7">
        <f>== 몸통 (7종) ===</f>
        <v/>
      </c>
      <c r="B14" s="7" t="inlineStr"/>
      <c r="C14" s="7" t="inlineStr"/>
      <c r="D14" s="7" t="inlineStr"/>
      <c r="E14" s="7" t="inlineStr"/>
      <c r="F14" s="7" t="inlineStr"/>
      <c r="G14" s="7" t="inlineStr"/>
    </row>
    <row r="15">
      <c r="A15" s="8" t="inlineStr">
        <is>
          <t>몸</t>
        </is>
      </c>
      <c r="B15" s="8" t="inlineStr">
        <is>
          <t>turtle_body</t>
        </is>
      </c>
      <c r="C15" s="8" t="inlineStr">
        <is>
          <t>거북 몸통</t>
        </is>
      </c>
      <c r="D15" s="8" t="inlineStr">
        <is>
          <t>🐢</t>
        </is>
      </c>
      <c r="E15" s="8" t="n">
        <v>2</v>
      </c>
      <c r="F15" s="8" t="inlineStr">
        <is>
          <t>HP5K, DEF200, x1.5</t>
        </is>
      </c>
      <c r="G15" s="8" t="inlineStr">
        <is>
          <t>철벽 방어</t>
        </is>
      </c>
    </row>
    <row r="16">
      <c r="A16" s="7" t="inlineStr">
        <is>
          <t>몸</t>
        </is>
      </c>
      <c r="B16" s="7" t="inlineStr">
        <is>
          <t>bear_body</t>
        </is>
      </c>
      <c r="C16" s="7" t="inlineStr">
        <is>
          <t>곰 몸통</t>
        </is>
      </c>
      <c r="D16" s="7" t="inlineStr">
        <is>
          <t>🐻</t>
        </is>
      </c>
      <c r="E16" s="7" t="n">
        <v>2</v>
      </c>
      <c r="F16" s="7" t="inlineStr">
        <is>
          <t>HP4K, DEF120, x1.2</t>
        </is>
      </c>
      <c r="G16" s="7" t="inlineStr">
        <is>
          <t>야성의 힘</t>
        </is>
      </c>
    </row>
    <row r="17">
      <c r="A17" s="8" t="inlineStr">
        <is>
          <t>몸</t>
        </is>
      </c>
      <c r="B17" s="8" t="inlineStr">
        <is>
          <t>golem_body</t>
        </is>
      </c>
      <c r="C17" s="8" t="inlineStr">
        <is>
          <t>골렘 몸통</t>
        </is>
      </c>
      <c r="D17" s="8" t="inlineStr">
        <is>
          <t>🗿</t>
        </is>
      </c>
      <c r="E17" s="8" t="n">
        <v>3</v>
      </c>
      <c r="F17" s="8" t="inlineStr">
        <is>
          <t>HP8K, DEF300, x1.6</t>
        </is>
      </c>
      <c r="G17" s="8" t="inlineStr">
        <is>
          <t>바위 껍질</t>
        </is>
      </c>
    </row>
    <row r="18">
      <c r="A18" s="7" t="inlineStr">
        <is>
          <t>몸</t>
        </is>
      </c>
      <c r="B18" s="7" t="inlineStr">
        <is>
          <t>dragon_body</t>
        </is>
      </c>
      <c r="C18" s="7" t="inlineStr">
        <is>
          <t>용 몸통</t>
        </is>
      </c>
      <c r="D18" s="7" t="inlineStr">
        <is>
          <t>🐲</t>
        </is>
      </c>
      <c r="E18" s="7" t="n">
        <v>4</v>
      </c>
      <c r="F18" s="7" t="inlineStr">
        <is>
          <t>HP10K, DEF250, x1.8</t>
        </is>
      </c>
      <c r="G18" s="7" t="inlineStr">
        <is>
          <t>용인 비늘</t>
        </is>
      </c>
    </row>
    <row r="19">
      <c r="A19" s="8" t="inlineStr">
        <is>
          <t>몸</t>
        </is>
      </c>
      <c r="B19" s="8" t="inlineStr">
        <is>
          <t>slime_body</t>
        </is>
      </c>
      <c r="C19" s="8" t="inlineStr">
        <is>
          <t>슬라임 몸통</t>
        </is>
      </c>
      <c r="D19" s="8" t="inlineStr">
        <is>
          <t>🟢</t>
        </is>
      </c>
      <c r="E19" s="8" t="n">
        <v>1</v>
      </c>
      <c r="F19" s="8" t="inlineStr">
        <is>
          <t>HP2K, DEF50, x0.8</t>
        </is>
      </c>
      <c r="G19" s="8" t="inlineStr">
        <is>
          <t>유연체</t>
        </is>
      </c>
    </row>
    <row r="20">
      <c r="A20" s="7" t="inlineStr">
        <is>
          <t>몸</t>
        </is>
      </c>
      <c r="B20" s="7" t="inlineStr">
        <is>
          <t>titan_body</t>
        </is>
      </c>
      <c r="C20" s="7" t="inlineStr">
        <is>
          <t>타이탄 몸통</t>
        </is>
      </c>
      <c r="D20" s="7" t="inlineStr">
        <is>
          <t>🗿⚡</t>
        </is>
      </c>
      <c r="E20" s="7" t="n">
        <v>5</v>
      </c>
      <c r="F20" s="7" t="inlineStr">
        <is>
          <t>HP15K, DEF400, x2.0</t>
        </is>
      </c>
      <c r="G20" s="7" t="inlineStr">
        <is>
          <t>거신의 체구</t>
        </is>
      </c>
    </row>
    <row r="21">
      <c r="A21" s="8" t="inlineStr">
        <is>
          <t>몸</t>
        </is>
      </c>
      <c r="B21" s="8" t="inlineStr">
        <is>
          <t>phantom_body</t>
        </is>
      </c>
      <c r="C21" s="8" t="inlineStr">
        <is>
          <t>환영 몸통</t>
        </is>
      </c>
      <c r="D21" s="8" t="inlineStr">
        <is>
          <t>👻</t>
        </is>
      </c>
      <c r="E21" s="8" t="n">
        <v>3</v>
      </c>
      <c r="F21" s="8" t="inlineStr">
        <is>
          <t>HP3K, DEF100, x1.0</t>
        </is>
      </c>
      <c r="G21" s="8" t="inlineStr">
        <is>
          <t>유체화</t>
        </is>
      </c>
    </row>
    <row r="22">
      <c r="A22" s="7" t="inlineStr"/>
      <c r="B22" s="7" t="inlineStr"/>
      <c r="C22" s="7" t="inlineStr"/>
      <c r="D22" s="7" t="inlineStr"/>
      <c r="E22" s="7" t="inlineStr"/>
      <c r="F22" s="7" t="inlineStr"/>
      <c r="G22" s="7" t="inlineStr"/>
    </row>
    <row r="23">
      <c r="A23" s="8">
        <f>== 꼬리 (7종) ===</f>
        <v/>
      </c>
      <c r="B23" s="8" t="inlineStr"/>
      <c r="C23" s="8" t="inlineStr"/>
      <c r="D23" s="8" t="inlineStr"/>
      <c r="E23" s="8" t="inlineStr"/>
      <c r="F23" s="8" t="inlineStr"/>
      <c r="G23" s="8" t="inlineStr"/>
    </row>
    <row r="24">
      <c r="A24" s="7" t="inlineStr">
        <is>
          <t>꼬리</t>
        </is>
      </c>
      <c r="B24" s="7" t="inlineStr">
        <is>
          <t>scorpion_tail</t>
        </is>
      </c>
      <c r="C24" s="7" t="inlineStr">
        <is>
          <t>전갈 꼬리</t>
        </is>
      </c>
      <c r="D24" s="7" t="inlineStr">
        <is>
          <t>🦂</t>
        </is>
      </c>
      <c r="E24" s="7" t="n">
        <v>2</v>
      </c>
      <c r="F24" s="7" t="inlineStr">
        <is>
          <t>power80</t>
        </is>
      </c>
      <c r="G24" s="7" t="inlineStr">
        <is>
          <t>독침 DPS80</t>
        </is>
      </c>
    </row>
    <row r="25">
      <c r="A25" s="8" t="inlineStr">
        <is>
          <t>꼬리</t>
        </is>
      </c>
      <c r="B25" s="8" t="inlineStr">
        <is>
          <t>dragon_tail</t>
        </is>
      </c>
      <c r="C25" s="8" t="inlineStr">
        <is>
          <t>용 꼬리</t>
        </is>
      </c>
      <c r="D25" s="8" t="inlineStr">
        <is>
          <t>🐉</t>
        </is>
      </c>
      <c r="E25" s="8" t="n">
        <v>4</v>
      </c>
      <c r="F25" s="8" t="inlineStr">
        <is>
          <t>power200</t>
        </is>
      </c>
      <c r="G25" s="8" t="inlineStr">
        <is>
          <t>꼬리 휩쓸기 범위200</t>
        </is>
      </c>
    </row>
    <row r="26">
      <c r="A26" s="7" t="inlineStr">
        <is>
          <t>꼬리</t>
        </is>
      </c>
      <c r="B26" s="7" t="inlineStr">
        <is>
          <t>fox_tail</t>
        </is>
      </c>
      <c r="C26" s="7" t="inlineStr">
        <is>
          <t>여우 꼬리</t>
        </is>
      </c>
      <c r="D26" s="7" t="inlineStr">
        <is>
          <t>🦊</t>
        </is>
      </c>
      <c r="E26" s="7" t="n">
        <v>2</v>
      </c>
      <c r="F26" s="7" t="inlineStr">
        <is>
          <t>power100</t>
        </is>
      </c>
      <c r="G26" s="7" t="inlineStr">
        <is>
          <t>3초 매혹(행동불가)</t>
        </is>
      </c>
    </row>
    <row r="27">
      <c r="A27" s="8" t="inlineStr">
        <is>
          <t>꼬리</t>
        </is>
      </c>
      <c r="B27" s="8" t="inlineStr">
        <is>
          <t>whale_tail</t>
        </is>
      </c>
      <c r="C27" s="8" t="inlineStr">
        <is>
          <t>고래 꼬리</t>
        </is>
      </c>
      <c r="D27" s="8" t="inlineStr">
        <is>
          <t>🐋</t>
        </is>
      </c>
      <c r="E27" s="8" t="n">
        <v>3</v>
      </c>
      <c r="F27" s="8" t="inlineStr">
        <is>
          <t>power180</t>
        </is>
      </c>
      <c r="G27" s="8" t="inlineStr">
        <is>
          <t>쓰나미 범위+넉백</t>
        </is>
      </c>
    </row>
    <row r="28">
      <c r="A28" s="7" t="inlineStr">
        <is>
          <t>꼬리</t>
        </is>
      </c>
      <c r="B28" s="7" t="inlineStr">
        <is>
          <t>serpent_tail</t>
        </is>
      </c>
      <c r="C28" s="7" t="inlineStr">
        <is>
          <t>대뱀 꼬리</t>
        </is>
      </c>
      <c r="D28" s="7" t="inlineStr">
        <is>
          <t>🐍</t>
        </is>
      </c>
      <c r="E28" s="7" t="n">
        <v>3</v>
      </c>
      <c r="F28" s="7" t="inlineStr">
        <is>
          <t>power150</t>
        </is>
      </c>
      <c r="G28" s="7" t="inlineStr">
        <is>
          <t>3초 속박+DPS</t>
        </is>
      </c>
    </row>
    <row r="29">
      <c r="A29" s="8" t="inlineStr">
        <is>
          <t>꼬리</t>
        </is>
      </c>
      <c r="B29" s="8" t="inlineStr">
        <is>
          <t>meteor_tail</t>
        </is>
      </c>
      <c r="C29" s="8" t="inlineStr">
        <is>
          <t>운석 꼬리</t>
        </is>
      </c>
      <c r="D29" s="8" t="inlineStr">
        <is>
          <t>☄️</t>
        </is>
      </c>
      <c r="E29" s="8" t="n">
        <v>5</v>
      </c>
      <c r="F29" s="8" t="inlineStr">
        <is>
          <t>power350</t>
        </is>
      </c>
      <c r="G29" s="8" t="inlineStr">
        <is>
          <t>운석 낙하 범위350</t>
        </is>
      </c>
    </row>
    <row r="30">
      <c r="A30" s="7" t="inlineStr">
        <is>
          <t>꼬리</t>
        </is>
      </c>
      <c r="B30" s="7" t="inlineStr">
        <is>
          <t>crystal_tail</t>
        </is>
      </c>
      <c r="C30" s="7" t="inlineStr">
        <is>
          <t>수정 꼬리</t>
        </is>
      </c>
      <c r="D30" s="7" t="inlineStr">
        <is>
          <t>💎</t>
        </is>
      </c>
      <c r="E30" s="7" t="n">
        <v>3</v>
      </c>
      <c r="F30" s="7" t="inlineStr">
        <is>
          <t>power120</t>
        </is>
      </c>
      <c r="G30" s="7" t="inlineStr">
        <is>
          <t>데미지 20% 반사</t>
        </is>
      </c>
    </row>
    <row r="31">
      <c r="A31" s="8" t="inlineStr"/>
      <c r="B31" s="8" t="inlineStr"/>
      <c r="C31" s="8" t="inlineStr"/>
      <c r="D31" s="8" t="inlineStr"/>
      <c r="E31" s="8" t="inlineStr"/>
      <c r="F31" s="8" t="inlineStr"/>
      <c r="G31" s="8" t="inlineStr"/>
    </row>
    <row r="32">
      <c r="A32" s="7">
        <f>== 시너지 (5종) ===</f>
        <v/>
      </c>
      <c r="B32" s="7" t="inlineStr"/>
      <c r="C32" s="7" t="inlineStr"/>
      <c r="D32" s="7" t="inlineStr"/>
      <c r="E32" s="7" t="inlineStr"/>
      <c r="F32" s="7" t="inlineStr"/>
      <c r="G32" s="7" t="inlineStr"/>
    </row>
    <row r="33">
      <c r="A33" s="8" t="inlineStr">
        <is>
          <t>시너지</t>
        </is>
      </c>
      <c r="B33" s="8" t="inlineStr">
        <is>
          <t>순혈 드래곤</t>
        </is>
      </c>
      <c r="C33" s="8" t="inlineStr">
        <is>
          <t>🐉🐉🐉</t>
        </is>
      </c>
      <c r="D33" s="8" t="inlineStr">
        <is>
          <t>용머리+용몸+용꼬리</t>
        </is>
      </c>
      <c r="E33" s="8" t="inlineStr">
        <is>
          <t>전체 x1.5</t>
        </is>
      </c>
      <c r="F33" s="8" t="inlineStr">
        <is>
          <t>궁극: 용제의 심판</t>
        </is>
      </c>
    </row>
    <row r="34">
      <c r="A34" s="7" t="inlineStr">
        <is>
          <t>시너지</t>
        </is>
      </c>
      <c r="B34" s="7" t="inlineStr">
        <is>
          <t>고전 키메라</t>
        </is>
      </c>
      <c r="C34" s="7" t="inlineStr">
        <is>
          <t>🦁🗿🐍</t>
        </is>
      </c>
      <c r="D34" s="7" t="inlineStr">
        <is>
          <t>사자+골렘+대뱀</t>
        </is>
      </c>
      <c r="E34" s="7" t="inlineStr">
        <is>
          <t>ATK/DEF x1.3</t>
        </is>
      </c>
      <c r="F34" s="7" t="inlineStr">
        <is>
          <t>-</t>
        </is>
      </c>
    </row>
    <row r="35">
      <c r="A35" s="8" t="inlineStr">
        <is>
          <t>시너지</t>
        </is>
      </c>
      <c r="B35" s="8" t="inlineStr">
        <is>
          <t>해왕 리바이어선</t>
        </is>
      </c>
      <c r="C35" s="8" t="inlineStr">
        <is>
          <t>🐙🐲🐋</t>
        </is>
      </c>
      <c r="D35" s="8" t="inlineStr">
        <is>
          <t>크라켄+용몸+고래</t>
        </is>
      </c>
      <c r="E35" s="8" t="inlineStr">
        <is>
          <t>수속+50%+쓰나미</t>
        </is>
      </c>
      <c r="F35" s="8" t="inlineStr">
        <is>
          <t>-</t>
        </is>
      </c>
    </row>
    <row r="36">
      <c r="A36" s="7" t="inlineStr">
        <is>
          <t>시너지</t>
        </is>
      </c>
      <c r="B36" s="7" t="inlineStr">
        <is>
          <t>지옥의 종말수</t>
        </is>
      </c>
      <c r="C36" s="7" t="inlineStr">
        <is>
          <t>😈🗿☄️</t>
        </is>
      </c>
      <c r="D36" s="7" t="inlineStr">
        <is>
          <t>악마+타이탄+운석</t>
        </is>
      </c>
      <c r="E36" s="7" t="inlineStr">
        <is>
          <t>전체 x2.0+화속+30%</t>
        </is>
      </c>
      <c r="F36" s="7" t="inlineStr">
        <is>
          <t>-</t>
        </is>
      </c>
    </row>
    <row r="37">
      <c r="A37" s="8" t="inlineStr">
        <is>
          <t>시너지</t>
        </is>
      </c>
      <c r="B37" s="8" t="inlineStr">
        <is>
          <t>불멸의 봉황</t>
        </is>
      </c>
      <c r="C37" s="8" t="inlineStr">
        <is>
          <t>🔥👻💎</t>
        </is>
      </c>
      <c r="D37" s="8" t="inlineStr">
        <is>
          <t>불사조+환영+수정</t>
        </is>
      </c>
      <c r="E37" s="8" t="inlineStr">
        <is>
          <t>부활1회+반사15%</t>
        </is>
      </c>
      <c r="F37" s="8" t="inlineStr">
        <is>
          <t>-</t>
        </is>
      </c>
    </row>
    <row r="38">
      <c r="A38" s="7" t="inlineStr"/>
      <c r="B38" s="7" t="inlineStr"/>
      <c r="C38" s="7" t="inlineStr"/>
      <c r="D38" s="7" t="inlineStr"/>
      <c r="E38" s="7" t="inlineStr"/>
      <c r="F38" s="7" t="inlineStr"/>
      <c r="G38" s="7" t="inlineStr"/>
    </row>
    <row r="39">
      <c r="A39" s="8">
        <f>== 거수 레이드 (3종) ===</f>
        <v/>
      </c>
      <c r="B39" s="8" t="inlineStr"/>
      <c r="C39" s="8" t="inlineStr"/>
      <c r="D39" s="8" t="inlineStr"/>
      <c r="E39" s="8" t="inlineStr"/>
      <c r="F39" s="8" t="inlineStr"/>
      <c r="G39" s="8" t="inlineStr"/>
    </row>
    <row r="40">
      <c r="A40" s="7" t="inlineStr">
        <is>
          <t>레이드</t>
        </is>
      </c>
      <c r="B40" s="7" t="inlineStr">
        <is>
          <t>원초의 타이탄</t>
        </is>
      </c>
      <c r="C40" s="7" t="inlineStr">
        <is>
          <t>🗿👑</t>
        </is>
      </c>
      <c r="D40" s="7" t="inlineStr">
        <is>
          <t>HP200K, ATK1K</t>
        </is>
      </c>
      <c r="E40" s="7" t="inlineStr">
        <is>
          <t>전투력 3000+</t>
        </is>
      </c>
      <c r="F40" s="7" t="inlineStr">
        <is>
          <t>100KG / 50K EXP</t>
        </is>
      </c>
    </row>
    <row r="41">
      <c r="A41" s="8" t="inlineStr">
        <is>
          <t>레이드</t>
        </is>
      </c>
      <c r="B41" s="8" t="inlineStr">
        <is>
          <t>공허의 리바이어선</t>
        </is>
      </c>
      <c r="C41" s="8" t="inlineStr">
        <is>
          <t>🐋🕳️</t>
        </is>
      </c>
      <c r="D41" s="8" t="inlineStr">
        <is>
          <t>HP300K, ATK800</t>
        </is>
      </c>
      <c r="E41" s="8" t="inlineStr">
        <is>
          <t>전투력 5000+</t>
        </is>
      </c>
      <c r="F41" s="8" t="inlineStr">
        <is>
          <t>150KG / 80K EXP</t>
        </is>
      </c>
    </row>
    <row r="42">
      <c r="A42" s="7" t="inlineStr">
        <is>
          <t>레이드</t>
        </is>
      </c>
      <c r="B42" s="7" t="inlineStr">
        <is>
          <t>우주의 히드라</t>
        </is>
      </c>
      <c r="C42" s="7" t="inlineStr">
        <is>
          <t>🐉🌌</t>
        </is>
      </c>
      <c r="D42" s="7" t="inlineStr">
        <is>
          <t>HP500K, ATK1.2K</t>
        </is>
      </c>
      <c r="E42" s="7" t="inlineStr">
        <is>
          <t>전투력 8000+</t>
        </is>
      </c>
      <c r="F42" s="7" t="inlineStr">
        <is>
          <t>250KG / 120K EXP</t>
        </is>
      </c>
    </row>
  </sheetData>
  <mergeCells count="1">
    <mergeCell ref="A1:G1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6" customWidth="1" min="4" max="4"/>
    <col width="16" customWidth="1" min="5" max="5"/>
    <col width="30" customWidth="1" min="6" max="6"/>
  </cols>
  <sheetData>
    <row r="1">
      <c r="A1" s="5" t="inlineStr">
        <is>
          <t>상인 캐러밴 (v2.50)</t>
        </is>
      </c>
    </row>
    <row r="3">
      <c r="A3" s="6" t="inlineStr">
        <is>
          <t>항목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특산품</t>
        </is>
      </c>
      <c r="E3" s="6" t="inlineStr">
        <is>
          <t>매입/매각</t>
        </is>
      </c>
      <c r="F3" s="6" t="inlineStr">
        <is>
          <t>위험도/거리</t>
        </is>
      </c>
    </row>
    <row r="4">
      <c r="A4" s="7">
        <f>== 교역 도시 (8개) ===</f>
        <v/>
      </c>
      <c r="B4" s="7" t="inlineStr"/>
      <c r="C4" s="7" t="inlineStr"/>
      <c r="D4" s="7" t="inlineStr"/>
      <c r="E4" s="7" t="inlineStr"/>
      <c r="F4" s="7" t="inlineStr"/>
    </row>
    <row r="5">
      <c r="A5" s="8" t="inlineStr">
        <is>
          <t>도시</t>
        </is>
      </c>
      <c r="B5" s="8" t="inlineStr">
        <is>
          <t>수정 항구</t>
        </is>
      </c>
      <c r="C5" s="8" t="inlineStr">
        <is>
          <t>💎🏘️</t>
        </is>
      </c>
      <c r="D5" s="8" t="inlineStr">
        <is>
          <t>수정 원석</t>
        </is>
      </c>
      <c r="E5" s="8" t="inlineStr">
        <is>
          <t>100/250</t>
        </is>
      </c>
      <c r="F5" s="8" t="inlineStr">
        <is>
          <t>위험1 / 거리1</t>
        </is>
      </c>
    </row>
    <row r="6">
      <c r="A6" s="7" t="inlineStr">
        <is>
          <t>도시</t>
        </is>
      </c>
      <c r="B6" s="7" t="inlineStr">
        <is>
          <t>철의 대장간</t>
        </is>
      </c>
      <c r="C6" s="7" t="inlineStr">
        <is>
          <t>⚒️🏘️</t>
        </is>
      </c>
      <c r="D6" s="7" t="inlineStr">
        <is>
          <t>정련 철광</t>
        </is>
      </c>
      <c r="E6" s="7" t="inlineStr">
        <is>
          <t>80/200</t>
        </is>
      </c>
      <c r="F6" s="7" t="inlineStr">
        <is>
          <t>위험2 / 거리2</t>
        </is>
      </c>
    </row>
    <row r="7">
      <c r="A7" s="8" t="inlineStr">
        <is>
          <t>도시</t>
        </is>
      </c>
      <c r="B7" s="8" t="inlineStr">
        <is>
          <t>비단 정원</t>
        </is>
      </c>
      <c r="C7" s="8" t="inlineStr">
        <is>
          <t>🧵🏘️</t>
        </is>
      </c>
      <c r="D7" s="8" t="inlineStr">
        <is>
          <t>마법 비단</t>
        </is>
      </c>
      <c r="E7" s="8" t="inlineStr">
        <is>
          <t>120/300</t>
        </is>
      </c>
      <c r="F7" s="8" t="inlineStr">
        <is>
          <t>위험1 / 거리1</t>
        </is>
      </c>
    </row>
    <row r="8">
      <c r="A8" s="7" t="inlineStr">
        <is>
          <t>도시</t>
        </is>
      </c>
      <c r="B8" s="7" t="inlineStr">
        <is>
          <t>향신료 시장</t>
        </is>
      </c>
      <c r="C8" s="7" t="inlineStr">
        <is>
          <t>🌶️🏘️</t>
        </is>
      </c>
      <c r="D8" s="7" t="inlineStr">
        <is>
          <t>고대 향신료</t>
        </is>
      </c>
      <c r="E8" s="7" t="inlineStr">
        <is>
          <t>150/350</t>
        </is>
      </c>
      <c r="F8" s="7" t="inlineStr">
        <is>
          <t>위험2 / 거리2</t>
        </is>
      </c>
    </row>
    <row r="9">
      <c r="A9" s="8" t="inlineStr">
        <is>
          <t>도시</t>
        </is>
      </c>
      <c r="B9" s="8" t="inlineStr">
        <is>
          <t>룬 성소</t>
        </is>
      </c>
      <c r="C9" s="8" t="inlineStr">
        <is>
          <t>📜🏘️</t>
        </is>
      </c>
      <c r="D9" s="8" t="inlineStr">
        <is>
          <t>룬 조각</t>
        </is>
      </c>
      <c r="E9" s="8" t="inlineStr">
        <is>
          <t>200/500</t>
        </is>
      </c>
      <c r="F9" s="8" t="inlineStr">
        <is>
          <t>위험3 / 거리3</t>
        </is>
      </c>
    </row>
    <row r="10">
      <c r="A10" s="7" t="inlineStr">
        <is>
          <t>도시</t>
        </is>
      </c>
      <c r="B10" s="7" t="inlineStr">
        <is>
          <t>그림자 바자르</t>
        </is>
      </c>
      <c r="C10" s="7" t="inlineStr">
        <is>
          <t>🌑🏘️</t>
        </is>
      </c>
      <c r="D10" s="7" t="inlineStr">
        <is>
          <t>금지품</t>
        </is>
      </c>
      <c r="E10" s="7" t="inlineStr">
        <is>
          <t>300/800</t>
        </is>
      </c>
      <c r="F10" s="7" t="inlineStr">
        <is>
          <t>위험4 / 거리4</t>
        </is>
      </c>
    </row>
    <row r="11">
      <c r="A11" s="8" t="inlineStr">
        <is>
          <t>도시</t>
        </is>
      </c>
      <c r="B11" s="8" t="inlineStr">
        <is>
          <t>용봉우리</t>
        </is>
      </c>
      <c r="C11" s="8" t="inlineStr">
        <is>
          <t>🐉🏘️</t>
        </is>
      </c>
      <c r="D11" s="8" t="inlineStr">
        <is>
          <t>용의 보석</t>
        </is>
      </c>
      <c r="E11" s="8" t="inlineStr">
        <is>
          <t>500/1500</t>
        </is>
      </c>
      <c r="F11" s="8" t="inlineStr">
        <is>
          <t>위험5 / 거리5</t>
        </is>
      </c>
    </row>
    <row r="12">
      <c r="A12" s="7" t="inlineStr">
        <is>
          <t>도시</t>
        </is>
      </c>
      <c r="B12" s="7" t="inlineStr">
        <is>
          <t>천상 항구</t>
        </is>
      </c>
      <c r="C12" s="7" t="inlineStr">
        <is>
          <t>✨🏘️</t>
        </is>
      </c>
      <c r="D12" s="7" t="inlineStr">
        <is>
          <t>별빛 정수</t>
        </is>
      </c>
      <c r="E12" s="7" t="inlineStr">
        <is>
          <t>400/1200</t>
        </is>
      </c>
      <c r="F12" s="7" t="inlineStr">
        <is>
          <t>위험4 / 거리3</t>
        </is>
      </c>
    </row>
    <row r="13">
      <c r="A13" s="8" t="inlineStr"/>
      <c r="B13" s="8" t="inlineStr"/>
      <c r="C13" s="8" t="inlineStr"/>
      <c r="D13" s="8" t="inlineStr"/>
      <c r="E13" s="8" t="inlineStr"/>
      <c r="F13" s="8" t="inlineStr"/>
    </row>
    <row r="14">
      <c r="A14" s="7">
        <f>== 업그레이드 (5종) ===</f>
        <v/>
      </c>
      <c r="B14" s="7" t="inlineStr"/>
      <c r="C14" s="7" t="inlineStr"/>
      <c r="D14" s="7" t="inlineStr"/>
      <c r="E14" s="7" t="inlineStr"/>
      <c r="F14" s="7" t="inlineStr"/>
    </row>
    <row r="15">
      <c r="A15" s="8" t="inlineStr">
        <is>
          <t>업그</t>
        </is>
      </c>
      <c r="B15" s="8" t="inlineStr">
        <is>
          <t>마차</t>
        </is>
      </c>
      <c r="C15" s="8" t="inlineStr">
        <is>
          <t>🛒</t>
        </is>
      </c>
      <c r="D15" s="8" t="inlineStr">
        <is>
          <t>Lv.1~5</t>
        </is>
      </c>
      <c r="E15" s="8" t="inlineStr">
        <is>
          <t>5000G×Lv</t>
        </is>
      </c>
      <c r="F15" s="8" t="inlineStr">
        <is>
          <t>적재량 +10/Lv</t>
        </is>
      </c>
    </row>
    <row r="16">
      <c r="A16" s="7" t="inlineStr">
        <is>
          <t>업그</t>
        </is>
      </c>
      <c r="B16" s="7" t="inlineStr">
        <is>
          <t>호위대</t>
        </is>
      </c>
      <c r="C16" s="7" t="inlineStr">
        <is>
          <t>⚔️</t>
        </is>
      </c>
      <c r="D16" s="7" t="inlineStr">
        <is>
          <t>Lv.1~5</t>
        </is>
      </c>
      <c r="E16" s="7" t="inlineStr">
        <is>
          <t>8000G×Lv</t>
        </is>
      </c>
      <c r="F16" s="7" t="inlineStr">
        <is>
          <t>방어력 +50/Lv</t>
        </is>
      </c>
    </row>
    <row r="17">
      <c r="A17" s="8" t="inlineStr">
        <is>
          <t>업그</t>
        </is>
      </c>
      <c r="B17" s="8" t="inlineStr">
        <is>
          <t>마법 바퀴</t>
        </is>
      </c>
      <c r="C17" s="8" t="inlineStr">
        <is>
          <t>💨</t>
        </is>
      </c>
      <c r="D17" s="8" t="inlineStr">
        <is>
          <t>Lv.1~5</t>
        </is>
      </c>
      <c r="E17" s="8" t="inlineStr">
        <is>
          <t>6000G×Lv</t>
        </is>
      </c>
      <c r="F17" s="8" t="inlineStr">
        <is>
          <t>이동시간 -1분/Lv</t>
        </is>
      </c>
    </row>
    <row r="18">
      <c r="A18" s="7" t="inlineStr">
        <is>
          <t>업그</t>
        </is>
      </c>
      <c r="B18" s="7" t="inlineStr">
        <is>
          <t>숙련 상인</t>
        </is>
      </c>
      <c r="C18" s="7" t="inlineStr">
        <is>
          <t>🧑‍💼</t>
        </is>
      </c>
      <c r="D18" s="7" t="inlineStr">
        <is>
          <t>Lv.1~3</t>
        </is>
      </c>
      <c r="E18" s="7" t="inlineStr">
        <is>
          <t>15000G×Lv</t>
        </is>
      </c>
      <c r="F18" s="7" t="inlineStr">
        <is>
          <t>판매가격 +10%/Lv</t>
        </is>
      </c>
    </row>
    <row r="19">
      <c r="A19" s="8" t="inlineStr">
        <is>
          <t>업그</t>
        </is>
      </c>
      <c r="B19" s="8" t="inlineStr">
        <is>
          <t>정찰대</t>
        </is>
      </c>
      <c r="C19" s="8" t="inlineStr">
        <is>
          <t>🔭</t>
        </is>
      </c>
      <c r="D19" s="8" t="inlineStr">
        <is>
          <t>Lv.1~3</t>
        </is>
      </c>
      <c r="E19" s="8" t="inlineStr">
        <is>
          <t>10000G×Lv</t>
        </is>
      </c>
      <c r="F19" s="8" t="inlineStr">
        <is>
          <t>도적 회피 +15%/Lv</t>
        </is>
      </c>
    </row>
    <row r="20">
      <c r="A20" s="7" t="inlineStr"/>
      <c r="B20" s="7" t="inlineStr"/>
      <c r="C20" s="7" t="inlineStr"/>
      <c r="D20" s="7" t="inlineStr"/>
      <c r="E20" s="7" t="inlineStr"/>
      <c r="F20" s="7" t="inlineStr"/>
    </row>
    <row r="21">
      <c r="A21" s="8">
        <f>== 도적 (5종) ===</f>
        <v/>
      </c>
      <c r="B21" s="8" t="inlineStr"/>
      <c r="C21" s="8" t="inlineStr"/>
      <c r="D21" s="8" t="inlineStr"/>
      <c r="E21" s="8" t="inlineStr"/>
      <c r="F21" s="8" t="inlineStr"/>
    </row>
    <row r="22">
      <c r="A22" s="7" t="inlineStr">
        <is>
          <t>도적</t>
        </is>
      </c>
      <c r="B22" s="7" t="inlineStr">
        <is>
          <t>좀도둑</t>
        </is>
      </c>
      <c r="C22" s="7" t="inlineStr">
        <is>
          <t>🏴‍☠️</t>
        </is>
      </c>
      <c r="D22" s="7" t="inlineStr">
        <is>
          <t>전투력50</t>
        </is>
      </c>
      <c r="E22" s="7" t="inlineStr">
        <is>
          <t>물건10% 약탈</t>
        </is>
      </c>
      <c r="F22" s="7" t="inlineStr">
        <is>
          <t>방어력50 이상 격퇴</t>
        </is>
      </c>
    </row>
    <row r="23">
      <c r="A23" s="8" t="inlineStr">
        <is>
          <t>도적</t>
        </is>
      </c>
      <c r="B23" s="8" t="inlineStr">
        <is>
          <t>도적단</t>
        </is>
      </c>
      <c r="C23" s="8" t="inlineStr">
        <is>
          <t>⚔️🏴</t>
        </is>
      </c>
      <c r="D23" s="8" t="inlineStr">
        <is>
          <t>전투력150</t>
        </is>
      </c>
      <c r="E23" s="8" t="inlineStr">
        <is>
          <t>물건20% 약탈</t>
        </is>
      </c>
      <c r="F23" s="8" t="inlineStr">
        <is>
          <t>방어력150 이상 격퇴</t>
        </is>
      </c>
    </row>
    <row r="24">
      <c r="A24" s="7" t="inlineStr">
        <is>
          <t>도적</t>
        </is>
      </c>
      <c r="B24" s="7" t="inlineStr">
        <is>
          <t>암흑 습격대</t>
        </is>
      </c>
      <c r="C24" s="7" t="inlineStr">
        <is>
          <t>🌑⚔️</t>
        </is>
      </c>
      <c r="D24" s="7" t="inlineStr">
        <is>
          <t>전투력300</t>
        </is>
      </c>
      <c r="E24" s="7" t="inlineStr">
        <is>
          <t>물건30% 약탈</t>
        </is>
      </c>
      <c r="F24" s="7" t="inlineStr">
        <is>
          <t>방어력300 이상 격퇴</t>
        </is>
      </c>
    </row>
    <row r="25">
      <c r="A25" s="8" t="inlineStr">
        <is>
          <t>도적</t>
        </is>
      </c>
      <c r="B25" s="8" t="inlineStr">
        <is>
          <t>용기사 도적단</t>
        </is>
      </c>
      <c r="C25" s="8" t="inlineStr">
        <is>
          <t>🐉🏴</t>
        </is>
      </c>
      <c r="D25" s="8" t="inlineStr">
        <is>
          <t>전투력500</t>
        </is>
      </c>
      <c r="E25" s="8" t="inlineStr">
        <is>
          <t>물건50% 약탈</t>
        </is>
      </c>
      <c r="F25" s="8" t="inlineStr">
        <is>
          <t>방어력500 이상 격퇴</t>
        </is>
      </c>
    </row>
    <row r="26">
      <c r="A26" s="7" t="inlineStr">
        <is>
          <t>도적</t>
        </is>
      </c>
      <c r="B26" s="7" t="inlineStr">
        <is>
          <t>공허 해적단</t>
        </is>
      </c>
      <c r="C26" s="7" t="inlineStr">
        <is>
          <t>🕳️🏴</t>
        </is>
      </c>
      <c r="D26" s="7" t="inlineStr">
        <is>
          <t>전투력800</t>
        </is>
      </c>
      <c r="E26" s="7" t="inlineStr">
        <is>
          <t>물건70% 약탈</t>
        </is>
      </c>
      <c r="F26" s="7" t="inlineStr">
        <is>
          <t>방어력800 이상 격퇴</t>
        </is>
      </c>
    </row>
    <row r="27">
      <c r="A27" s="8" t="inlineStr"/>
      <c r="B27" s="8" t="inlineStr"/>
      <c r="C27" s="8" t="inlineStr"/>
      <c r="D27" s="8" t="inlineStr"/>
      <c r="E27" s="8" t="inlineStr"/>
      <c r="F27" s="8" t="inlineStr"/>
    </row>
    <row r="28">
      <c r="A28" s="7" t="inlineStr">
        <is>
          <t>시스템</t>
        </is>
      </c>
      <c r="B28" s="7" t="inlineStr">
        <is>
          <t>설립비</t>
        </is>
      </c>
      <c r="C28" s="7" t="inlineStr">
        <is>
          <t>20,000G</t>
        </is>
      </c>
      <c r="D28" s="7" t="inlineStr">
        <is>
          <t>Lv.20+</t>
        </is>
      </c>
      <c r="E28" s="7" t="inlineStr">
        <is>
          <t>기본 적재량 20</t>
        </is>
      </c>
      <c r="F28" s="7" t="inlineStr">
        <is>
          <t>상인등급: 견습→행상인→무역상→대상인→무역왕→전설의상인</t>
        </is>
      </c>
    </row>
    <row r="29">
      <c r="A29" s="8" t="inlineStr">
        <is>
          <t>시스템</t>
        </is>
      </c>
      <c r="B29" s="8" t="inlineStr">
        <is>
          <t>여행 이벤트</t>
        </is>
      </c>
      <c r="C29" s="8" t="inlineStr">
        <is>
          <t>8종 랜덤</t>
        </is>
      </c>
      <c r="D29" s="8" t="inlineStr">
        <is>
          <t>거리 기반</t>
        </is>
      </c>
      <c r="E29" s="8" t="inlineStr">
        <is>
          <t>최대24시간축적</t>
        </is>
      </c>
      <c r="F29" s="8" t="inlineStr">
        <is>
          <t>오아시스/유랑상인/보물/지름길/폭풍우/파손/밀수/축제</t>
        </is>
      </c>
    </row>
  </sheetData>
  <mergeCells count="1">
    <mergeCell ref="A1:F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8" customWidth="1" min="4" max="4"/>
    <col width="22" customWidth="1" min="5" max="5"/>
    <col width="30" customWidth="1" min="6" max="6"/>
  </cols>
  <sheetData>
    <row r="1">
      <c r="A1" s="5" t="inlineStr">
        <is>
          <t>기억 궁전 (v2.51)</t>
        </is>
      </c>
    </row>
    <row r="3">
      <c r="A3" s="6" t="inlineStr">
        <is>
          <t>항목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추적 스탯</t>
        </is>
      </c>
      <c r="E3" s="6" t="inlineStr">
        <is>
          <t>해금 조건</t>
        </is>
      </c>
      <c r="F3" s="6" t="inlineStr">
        <is>
          <t>각인 보상</t>
        </is>
      </c>
    </row>
    <row r="4">
      <c r="A4" s="7">
        <f>== 기억 유형 (6종) ===</f>
        <v/>
      </c>
      <c r="B4" s="7" t="inlineStr"/>
      <c r="C4" s="7" t="inlineStr"/>
      <c r="D4" s="7" t="inlineStr"/>
      <c r="E4" s="7" t="inlineStr"/>
      <c r="F4" s="7" t="inlineStr"/>
    </row>
    <row r="5">
      <c r="A5" s="8" t="inlineStr">
        <is>
          <t>기억</t>
        </is>
      </c>
      <c r="B5" s="8" t="inlineStr">
        <is>
          <t>전투의 기억</t>
        </is>
      </c>
      <c r="C5" s="8" t="inlineStr">
        <is>
          <t>⚔️🧠</t>
        </is>
      </c>
      <c r="D5" s="8" t="inlineStr">
        <is>
          <t>monstersKilled</t>
        </is>
      </c>
      <c r="E5" s="8" t="inlineStr">
        <is>
          <t>처치 50+</t>
        </is>
      </c>
      <c r="F5" s="8" t="inlineStr">
        <is>
          <t>전사의 메아리: ATK+10</t>
        </is>
      </c>
    </row>
    <row r="6">
      <c r="A6" s="7" t="inlineStr">
        <is>
          <t>기억</t>
        </is>
      </c>
      <c r="B6" s="7" t="inlineStr">
        <is>
          <t>죽음의 기억</t>
        </is>
      </c>
      <c r="C6" s="7" t="inlineStr">
        <is>
          <t>💀🧠</t>
        </is>
      </c>
      <c r="D6" s="7" t="inlineStr">
        <is>
          <t>deaths</t>
        </is>
      </c>
      <c r="E6" s="7" t="inlineStr">
        <is>
          <t>사망 5+</t>
        </is>
      </c>
      <c r="F6" s="7" t="inlineStr">
        <is>
          <t>생존자의 각인: HP+50, DEF+5</t>
        </is>
      </c>
    </row>
    <row r="7">
      <c r="A7" s="8" t="inlineStr">
        <is>
          <t>기억</t>
        </is>
      </c>
      <c r="B7" s="8" t="inlineStr">
        <is>
          <t>보물의 기억</t>
        </is>
      </c>
      <c r="C7" s="8" t="inlineStr">
        <is>
          <t>💎🧠</t>
        </is>
      </c>
      <c r="D7" s="8" t="inlineStr">
        <is>
          <t>goldEarned</t>
        </is>
      </c>
      <c r="E7" s="8" t="inlineStr">
        <is>
          <t>골드 100K+</t>
        </is>
      </c>
      <c r="F7" s="8" t="inlineStr">
        <is>
          <t>행운의 봉인: 골드+5%, 드롭+3%</t>
        </is>
      </c>
    </row>
    <row r="8">
      <c r="A8" s="7" t="inlineStr">
        <is>
          <t>기억</t>
        </is>
      </c>
      <c r="B8" s="7" t="inlineStr">
        <is>
          <t>여정의 기억</t>
        </is>
      </c>
      <c r="C8" s="7" t="inlineStr">
        <is>
          <t>🗺️🧠</t>
        </is>
      </c>
      <c r="D8" s="7" t="inlineStr">
        <is>
          <t>zonesVisited</t>
        </is>
      </c>
      <c r="E8" s="7" t="inlineStr">
        <is>
          <t>존 10+</t>
        </is>
      </c>
      <c r="F8" s="7" t="inlineStr">
        <is>
          <t>방랑자의 낙인: 속도+5%, EXP+5%</t>
        </is>
      </c>
    </row>
    <row r="9">
      <c r="A9" s="8" t="inlineStr">
        <is>
          <t>기억</t>
        </is>
      </c>
      <c r="B9" s="8" t="inlineStr">
        <is>
          <t>인연의 기억</t>
        </is>
      </c>
      <c r="C9" s="8" t="inlineStr">
        <is>
          <t>🤝🧠</t>
        </is>
      </c>
      <c r="D9" s="8" t="inlineStr">
        <is>
          <t>interactions</t>
        </is>
      </c>
      <c r="E9" s="8" t="inlineStr">
        <is>
          <t>상호작용 20+</t>
        </is>
      </c>
      <c r="F9" s="8" t="inlineStr">
        <is>
          <t>인연의 문장: 힐+8%, ALL+3</t>
        </is>
      </c>
    </row>
    <row r="10">
      <c r="A10" s="7" t="inlineStr">
        <is>
          <t>기억</t>
        </is>
      </c>
      <c r="B10" s="7" t="inlineStr">
        <is>
          <t>힘의 기억</t>
        </is>
      </c>
      <c r="C10" s="7" t="inlineStr">
        <is>
          <t>💪🧠</t>
        </is>
      </c>
      <c r="D10" s="7" t="inlineStr">
        <is>
          <t>maxDamage</t>
        </is>
      </c>
      <c r="E10" s="7" t="inlineStr">
        <is>
          <t>최대뎀 1000+</t>
        </is>
      </c>
      <c r="F10" s="7" t="inlineStr">
        <is>
          <t>힘의 상형문자: 크뎀+10%, ATK+15</t>
        </is>
      </c>
    </row>
    <row r="11">
      <c r="A11" s="8" t="inlineStr">
        <is>
          <t>마스터</t>
        </is>
      </c>
      <c r="B11" s="8" t="inlineStr">
        <is>
          <t>기억의 주인</t>
        </is>
      </c>
      <c r="C11" s="8" t="inlineStr">
        <is>
          <t>🧠👑</t>
        </is>
      </c>
      <c r="D11" s="8" t="inlineStr">
        <is>
          <t>전체 클리어</t>
        </is>
      </c>
      <c r="E11" s="8" t="inlineStr">
        <is>
          <t>18회+</t>
        </is>
      </c>
      <c r="F11" s="8" t="inlineStr">
        <is>
          <t>ALL+10 + 기억의 힘 해금</t>
        </is>
      </c>
    </row>
    <row r="12">
      <c r="A12" s="7" t="inlineStr"/>
      <c r="B12" s="7" t="inlineStr"/>
      <c r="C12" s="7" t="inlineStr"/>
      <c r="D12" s="7" t="inlineStr"/>
      <c r="E12" s="7" t="inlineStr"/>
      <c r="F12" s="7" t="inlineStr"/>
    </row>
    <row r="13">
      <c r="A13" s="8">
        <f>== 난이도 (5단계) ===</f>
        <v/>
      </c>
      <c r="B13" s="8" t="inlineStr"/>
      <c r="C13" s="8" t="inlineStr"/>
      <c r="D13" s="8" t="inlineStr"/>
      <c r="E13" s="8" t="inlineStr"/>
      <c r="F13" s="8" t="inlineStr"/>
    </row>
    <row r="14">
      <c r="A14" s="7" t="inlineStr">
        <is>
          <t>난이도</t>
        </is>
      </c>
      <c r="B14" s="7" t="inlineStr">
        <is>
          <t>희미한 기억</t>
        </is>
      </c>
      <c r="C14" s="7" t="inlineStr">
        <is>
          <t>🌫️</t>
        </is>
      </c>
      <c r="D14" s="7" t="inlineStr">
        <is>
          <t>적 x0.7</t>
        </is>
      </c>
      <c r="E14" s="7" t="inlineStr">
        <is>
          <t>보상 x0.8</t>
        </is>
      </c>
      <c r="F14" s="7" t="inlineStr"/>
    </row>
    <row r="15">
      <c r="A15" s="8" t="inlineStr">
        <is>
          <t>난이도</t>
        </is>
      </c>
      <c r="B15" s="8" t="inlineStr">
        <is>
          <t>선명한 기억</t>
        </is>
      </c>
      <c r="C15" s="8" t="inlineStr">
        <is>
          <t>🔍</t>
        </is>
      </c>
      <c r="D15" s="8" t="inlineStr">
        <is>
          <t>적 x1.0</t>
        </is>
      </c>
      <c r="E15" s="8" t="inlineStr">
        <is>
          <t>보상 x1.0</t>
        </is>
      </c>
      <c r="F15" s="8" t="inlineStr"/>
    </row>
    <row r="16">
      <c r="A16" s="7" t="inlineStr">
        <is>
          <t>난이도</t>
        </is>
      </c>
      <c r="B16" s="7" t="inlineStr">
        <is>
          <t>생생한 기억</t>
        </is>
      </c>
      <c r="C16" s="7" t="inlineStr">
        <is>
          <t>✨</t>
        </is>
      </c>
      <c r="D16" s="7" t="inlineStr">
        <is>
          <t>적 x1.5</t>
        </is>
      </c>
      <c r="E16" s="7" t="inlineStr">
        <is>
          <t>보상 x1.5</t>
        </is>
      </c>
      <c r="F16" s="7" t="inlineStr"/>
    </row>
    <row r="17">
      <c r="A17" s="8" t="inlineStr">
        <is>
          <t>난이도</t>
        </is>
      </c>
      <c r="B17" s="8" t="inlineStr">
        <is>
          <t>악몽의 기억</t>
        </is>
      </c>
      <c r="C17" s="8" t="inlineStr">
        <is>
          <t>😱</t>
        </is>
      </c>
      <c r="D17" s="8" t="inlineStr">
        <is>
          <t>적 x2.0</t>
        </is>
      </c>
      <c r="E17" s="8" t="inlineStr">
        <is>
          <t>보상 x2.5</t>
        </is>
      </c>
      <c r="F17" s="8" t="inlineStr"/>
    </row>
    <row r="18">
      <c r="A18" s="7" t="inlineStr">
        <is>
          <t>난이도</t>
        </is>
      </c>
      <c r="B18" s="7" t="inlineStr">
        <is>
          <t>영원의 기억</t>
        </is>
      </c>
      <c r="C18" s="7" t="inlineStr">
        <is>
          <t>♾️</t>
        </is>
      </c>
      <c r="D18" s="7" t="inlineStr">
        <is>
          <t>적 x3.0</t>
        </is>
      </c>
      <c r="E18" s="7" t="inlineStr">
        <is>
          <t>보상 x4.0</t>
        </is>
      </c>
      <c r="F18" s="7" t="inlineStr"/>
    </row>
    <row r="19">
      <c r="A19" s="8" t="inlineStr"/>
      <c r="B19" s="8" t="inlineStr"/>
      <c r="C19" s="8" t="inlineStr"/>
      <c r="D19" s="8" t="inlineStr"/>
      <c r="E19" s="8" t="inlineStr"/>
      <c r="F19" s="8" t="inlineStr"/>
    </row>
    <row r="20">
      <c r="A20" s="7" t="inlineStr">
        <is>
          <t>시스템</t>
        </is>
      </c>
      <c r="B20" s="7" t="inlineStr">
        <is>
          <t>입장 조건</t>
        </is>
      </c>
      <c r="C20" s="7" t="inlineStr">
        <is>
          <t>Lv.25+</t>
        </is>
      </c>
      <c r="D20" s="7" t="inlineStr">
        <is>
          <t>기억 유형별 3회 클리어시 각인</t>
        </is>
      </c>
      <c r="E20" s="7" t="inlineStr">
        <is>
          <t>각인 = 영구 스탯 보너스</t>
        </is>
      </c>
      <c r="F20" s="7" t="inlineStr">
        <is>
          <t>적: 과거 기록 기반 생성</t>
        </is>
      </c>
    </row>
  </sheetData>
  <mergeCells count="1">
    <mergeCell ref="A1:F1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14" customWidth="1" min="5" max="5"/>
    <col width="36" customWidth="1" min="6" max="6"/>
  </cols>
  <sheetData>
    <row r="1">
      <c r="A1" s="5" t="inlineStr">
        <is>
          <t>마왕의 옥좌 (v2.52)</t>
        </is>
      </c>
    </row>
    <row r="3">
      <c r="A3" s="6" t="inlineStr">
        <is>
          <t>항목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티어/조건</t>
        </is>
      </c>
      <c r="E3" s="6" t="inlineStr">
        <is>
          <t>비용/수치</t>
        </is>
      </c>
      <c r="F3" s="6" t="inlineStr">
        <is>
          <t>효과</t>
        </is>
      </c>
    </row>
    <row r="4">
      <c r="A4" s="7">
        <f>== 마왕 스킬 (6종) ===</f>
        <v/>
      </c>
      <c r="B4" s="7" t="inlineStr"/>
      <c r="C4" s="7" t="inlineStr"/>
      <c r="D4" s="7" t="inlineStr"/>
      <c r="E4" s="7" t="inlineStr"/>
      <c r="F4" s="7" t="inlineStr"/>
    </row>
    <row r="5">
      <c r="A5" s="8" t="inlineStr">
        <is>
          <t>스킬</t>
        </is>
      </c>
      <c r="B5" s="8" t="inlineStr">
        <is>
          <t>암흑 오라</t>
        </is>
      </c>
      <c r="C5" s="8" t="inlineStr">
        <is>
          <t>🌑</t>
        </is>
      </c>
      <c r="D5" s="8" t="inlineStr">
        <is>
          <t>T1</t>
        </is>
      </c>
      <c r="E5" s="8" t="inlineStr">
        <is>
          <t>SP 0</t>
        </is>
      </c>
      <c r="F5" s="8" t="inlineStr">
        <is>
          <t>부하 DEF+10%, 암속+5%</t>
        </is>
      </c>
    </row>
    <row r="6">
      <c r="A6" s="7" t="inlineStr">
        <is>
          <t>스킬</t>
        </is>
      </c>
      <c r="B6" s="7" t="inlineStr">
        <is>
          <t>공포의 외침</t>
        </is>
      </c>
      <c r="C6" s="7" t="inlineStr">
        <is>
          <t>😱</t>
        </is>
      </c>
      <c r="D6" s="7" t="inlineStr">
        <is>
          <t>T1</t>
        </is>
      </c>
      <c r="E6" s="7" t="inlineStr">
        <is>
          <t>SP 5</t>
        </is>
      </c>
      <c r="F6" s="7" t="inlineStr">
        <is>
          <t>토벌대 5초 공포 (CD60)</t>
        </is>
      </c>
    </row>
    <row r="7">
      <c r="A7" s="8" t="inlineStr">
        <is>
          <t>스킬</t>
        </is>
      </c>
      <c r="B7" s="8" t="inlineStr">
        <is>
          <t>정예 소환</t>
        </is>
      </c>
      <c r="C7" s="8" t="inlineStr">
        <is>
          <t>👹+</t>
        </is>
      </c>
      <c r="D7" s="8" t="inlineStr">
        <is>
          <t>T2</t>
        </is>
      </c>
      <c r="E7" s="8" t="inlineStr">
        <is>
          <t>SP 10</t>
        </is>
      </c>
      <c r="F7" s="8" t="inlineStr">
        <is>
          <t>정예 부하 즉시 소환 (CD90)</t>
        </is>
      </c>
    </row>
    <row r="8">
      <c r="A8" s="7" t="inlineStr">
        <is>
          <t>스킬</t>
        </is>
      </c>
      <c r="B8" s="7" t="inlineStr">
        <is>
          <t>죽음의 세금</t>
        </is>
      </c>
      <c r="C8" s="7" t="inlineStr">
        <is>
          <t>💀💰</t>
        </is>
      </c>
      <c r="D8" s="7" t="inlineStr">
        <is>
          <t>T2</t>
        </is>
      </c>
      <c r="E8" s="7" t="inlineStr">
        <is>
          <t>SP 15</t>
        </is>
      </c>
      <c r="F8" s="7" t="inlineStr">
        <is>
          <t>토벌대 처치시 골드 5% 강탈</t>
        </is>
      </c>
    </row>
    <row r="9">
      <c r="A9" s="8" t="inlineStr">
        <is>
          <t>스킬</t>
        </is>
      </c>
      <c r="B9" s="8" t="inlineStr">
        <is>
          <t>옥좌의 결계</t>
        </is>
      </c>
      <c r="C9" s="8" t="inlineStr">
        <is>
          <t>🛡️👑</t>
        </is>
      </c>
      <c r="D9" s="8" t="inlineStr">
        <is>
          <t>T3</t>
        </is>
      </c>
      <c r="E9" s="8" t="inlineStr">
        <is>
          <t>SP 25</t>
        </is>
      </c>
      <c r="F9" s="8" t="inlineStr">
        <is>
          <t>보호막 5000HP (CD120)</t>
        </is>
      </c>
    </row>
    <row r="10">
      <c r="A10" s="7" t="inlineStr">
        <is>
          <t>스킬</t>
        </is>
      </c>
      <c r="B10" s="7" t="inlineStr">
        <is>
          <t>종말 선언</t>
        </is>
      </c>
      <c r="C10" s="7" t="inlineStr">
        <is>
          <t>💀🔥</t>
        </is>
      </c>
      <c r="D10" s="7" t="inlineStr">
        <is>
          <t>T4</t>
        </is>
      </c>
      <c r="E10" s="7" t="inlineStr">
        <is>
          <t>SP 50</t>
        </is>
      </c>
      <c r="F10" s="7" t="inlineStr">
        <is>
          <t>ATKx10 범위 공격 (CD180)</t>
        </is>
      </c>
    </row>
    <row r="11">
      <c r="A11" s="8" t="inlineStr"/>
      <c r="B11" s="8" t="inlineStr"/>
      <c r="C11" s="8" t="inlineStr"/>
      <c r="D11" s="8" t="inlineStr"/>
      <c r="E11" s="8" t="inlineStr"/>
      <c r="F11" s="8" t="inlineStr"/>
    </row>
    <row r="12">
      <c r="A12" s="7">
        <f>== 부하 (6종) ===</f>
        <v/>
      </c>
      <c r="B12" s="7" t="inlineStr"/>
      <c r="C12" s="7" t="inlineStr"/>
      <c r="D12" s="7" t="inlineStr"/>
      <c r="E12" s="7" t="inlineStr"/>
      <c r="F12" s="7" t="inlineStr"/>
    </row>
    <row r="13">
      <c r="A13" s="8" t="inlineStr">
        <is>
          <t>부하</t>
        </is>
      </c>
      <c r="B13" s="8" t="inlineStr">
        <is>
          <t>임프</t>
        </is>
      </c>
      <c r="C13" s="8" t="inlineStr">
        <is>
          <t>👿</t>
        </is>
      </c>
      <c r="D13" s="8" t="inlineStr">
        <is>
          <t>T1</t>
        </is>
      </c>
      <c r="E13" s="8" t="inlineStr">
        <is>
          <t>1,000G</t>
        </is>
      </c>
      <c r="F13" s="8" t="inlineStr">
        <is>
          <t>HP300/ATK40/DEF10</t>
        </is>
      </c>
    </row>
    <row r="14">
      <c r="A14" s="7" t="inlineStr">
        <is>
          <t>부하</t>
        </is>
      </c>
      <c r="B14" s="7" t="inlineStr">
        <is>
          <t>스켈레톤</t>
        </is>
      </c>
      <c r="C14" s="7" t="inlineStr">
        <is>
          <t>💀</t>
        </is>
      </c>
      <c r="D14" s="7" t="inlineStr">
        <is>
          <t>T1</t>
        </is>
      </c>
      <c r="E14" s="7" t="inlineStr">
        <is>
          <t>1,500G</t>
        </is>
      </c>
      <c r="F14" s="7" t="inlineStr">
        <is>
          <t>HP500/ATK50/DEF30</t>
        </is>
      </c>
    </row>
    <row r="15">
      <c r="A15" s="8" t="inlineStr">
        <is>
          <t>부하</t>
        </is>
      </c>
      <c r="B15" s="8" t="inlineStr">
        <is>
          <t>암흑 기사</t>
        </is>
      </c>
      <c r="C15" s="8" t="inlineStr">
        <is>
          <t>🗡️🌑</t>
        </is>
      </c>
      <c r="D15" s="8" t="inlineStr">
        <is>
          <t>T2</t>
        </is>
      </c>
      <c r="E15" s="8" t="inlineStr">
        <is>
          <t>5,000G</t>
        </is>
      </c>
      <c r="F15" s="8" t="inlineStr">
        <is>
          <t>HP1500/ATK120/DEF80 + 암흑참격</t>
        </is>
      </c>
    </row>
    <row r="16">
      <c r="A16" s="7" t="inlineStr">
        <is>
          <t>부하</t>
        </is>
      </c>
      <c r="B16" s="7" t="inlineStr">
        <is>
          <t>네크로맨서</t>
        </is>
      </c>
      <c r="C16" s="7" t="inlineStr">
        <is>
          <t>💀🔮</t>
        </is>
      </c>
      <c r="D16" s="7" t="inlineStr">
        <is>
          <t>T2</t>
        </is>
      </c>
      <c r="E16" s="7" t="inlineStr">
        <is>
          <t>6,000G</t>
        </is>
      </c>
      <c r="F16" s="7" t="inlineStr">
        <is>
          <t>HP800/ATK150/DEF40 + 언데드소환</t>
        </is>
      </c>
    </row>
    <row r="17">
      <c r="A17" s="8" t="inlineStr">
        <is>
          <t>부하</t>
        </is>
      </c>
      <c r="B17" s="8" t="inlineStr">
        <is>
          <t>악마 근위대</t>
        </is>
      </c>
      <c r="C17" s="8" t="inlineStr">
        <is>
          <t>😈🛡️</t>
        </is>
      </c>
      <c r="D17" s="8" t="inlineStr">
        <is>
          <t>T3</t>
        </is>
      </c>
      <c r="E17" s="8" t="inlineStr">
        <is>
          <t>15,000G</t>
        </is>
      </c>
      <c r="F17" s="8" t="inlineStr">
        <is>
          <t>HP3000/ATK200/DEF150 + 마왕호위</t>
        </is>
      </c>
    </row>
    <row r="18">
      <c r="A18" s="7" t="inlineStr">
        <is>
          <t>부하</t>
        </is>
      </c>
      <c r="B18" s="7" t="inlineStr">
        <is>
          <t>흑룡</t>
        </is>
      </c>
      <c r="C18" s="7" t="inlineStr">
        <is>
          <t>🐉🌑</t>
        </is>
      </c>
      <c r="D18" s="7" t="inlineStr">
        <is>
          <t>T4</t>
        </is>
      </c>
      <c r="E18" s="7" t="inlineStr">
        <is>
          <t>50,000G</t>
        </is>
      </c>
      <c r="F18" s="7" t="inlineStr">
        <is>
          <t>HP8000/ATK400/DEF200 + 암흑브레스</t>
        </is>
      </c>
    </row>
    <row r="19">
      <c r="A19" s="8" t="inlineStr"/>
      <c r="B19" s="8" t="inlineStr"/>
      <c r="C19" s="8" t="inlineStr"/>
      <c r="D19" s="8" t="inlineStr"/>
      <c r="E19" s="8" t="inlineStr"/>
      <c r="F19" s="8" t="inlineStr"/>
    </row>
    <row r="20">
      <c r="A20" s="7" t="inlineStr">
        <is>
          <t>시스템</t>
        </is>
      </c>
      <c r="B20" s="7" t="inlineStr">
        <is>
          <t>즉위 조건</t>
        </is>
      </c>
      <c r="C20" s="7" t="inlineStr">
        <is>
          <t>Lv.40+</t>
        </is>
      </c>
      <c r="D20" s="7" t="inlineStr">
        <is>
          <t>비용 100,000G</t>
        </is>
      </c>
      <c r="E20" s="7" t="inlineStr">
        <is>
          <t>옥좌HP 10,000</t>
        </is>
      </c>
      <c r="F20" s="7" t="inlineStr">
        <is>
          <t>시간당 2000G+500EXP / 부하 최대5명</t>
        </is>
      </c>
    </row>
    <row r="21">
      <c r="A21" s="8" t="inlineStr">
        <is>
          <t>시스템</t>
        </is>
      </c>
      <c r="B21" s="8" t="inlineStr">
        <is>
          <t>토벌전</t>
        </is>
      </c>
      <c r="C21" s="8" t="inlineStr">
        <is>
          <t>자동 방어</t>
        </is>
      </c>
      <c r="D21" s="8" t="inlineStr">
        <is>
          <t>부하→옥좌 순</t>
        </is>
      </c>
      <c r="E21" s="8" t="inlineStr">
        <is>
          <t>격퇴시 세금+1SP</t>
        </is>
      </c>
      <c r="F21" s="8" t="inlineStr">
        <is>
          <t>옥좌 파괴시 퇴위</t>
        </is>
      </c>
    </row>
  </sheetData>
  <mergeCells count="1">
    <mergeCell ref="A1:F1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28" customWidth="1" min="4" max="4"/>
    <col width="22" customWidth="1" min="5" max="5"/>
    <col width="18" customWidth="1" min="6" max="6"/>
  </cols>
  <sheetData>
    <row r="1">
      <c r="A1" s="5" t="inlineStr">
        <is>
          <t>천상 대장간 (v2.53)</t>
        </is>
      </c>
    </row>
    <row r="3">
      <c r="A3" s="6" t="inlineStr">
        <is>
          <t>항목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재료</t>
        </is>
      </c>
      <c r="E3" s="6" t="inlineStr">
        <is>
          <t>기본스탯</t>
        </is>
      </c>
      <c r="F3" s="6" t="inlineStr">
        <is>
          <t>등급</t>
        </is>
      </c>
    </row>
    <row r="4">
      <c r="A4" s="7">
        <f>== 신의 재료 (7종) ===</f>
        <v/>
      </c>
      <c r="B4" s="7" t="inlineStr"/>
      <c r="C4" s="7" t="inlineStr"/>
      <c r="D4" s="7" t="inlineStr"/>
      <c r="E4" s="7" t="inlineStr"/>
      <c r="F4" s="7" t="inlineStr"/>
    </row>
    <row r="5">
      <c r="A5" s="8" t="inlineStr">
        <is>
          <t>재료</t>
        </is>
      </c>
      <c r="B5" s="8" t="inlineStr">
        <is>
          <t>별의 철</t>
        </is>
      </c>
      <c r="C5" s="8" t="inlineStr">
        <is>
          <t>⭐⚙️</t>
        </is>
      </c>
      <c r="D5" s="8" t="inlineStr">
        <is>
          <t>T1</t>
        </is>
      </c>
      <c r="E5" s="8" t="inlineStr">
        <is>
          <t>보스 드롭</t>
        </is>
      </c>
      <c r="F5" s="8" t="inlineStr">
        <is>
          <t>-</t>
        </is>
      </c>
    </row>
    <row r="6">
      <c r="A6" s="7" t="inlineStr">
        <is>
          <t>재료</t>
        </is>
      </c>
      <c r="B6" s="7" t="inlineStr">
        <is>
          <t>달의 은</t>
        </is>
      </c>
      <c r="C6" s="7" t="inlineStr">
        <is>
          <t>🌙🥈</t>
        </is>
      </c>
      <c r="D6" s="7" t="inlineStr">
        <is>
          <t>T2</t>
        </is>
      </c>
      <c r="E6" s="7" t="inlineStr">
        <is>
          <t>달빛 성역</t>
        </is>
      </c>
      <c r="F6" s="7" t="inlineStr">
        <is>
          <t>-</t>
        </is>
      </c>
    </row>
    <row r="7">
      <c r="A7" s="8" t="inlineStr">
        <is>
          <t>재료</t>
        </is>
      </c>
      <c r="B7" s="8" t="inlineStr">
        <is>
          <t>태양의 금</t>
        </is>
      </c>
      <c r="C7" s="8" t="inlineStr">
        <is>
          <t>☀️🥇</t>
        </is>
      </c>
      <c r="D7" s="8" t="inlineStr">
        <is>
          <t>T3</t>
        </is>
      </c>
      <c r="E7" s="8" t="inlineStr">
        <is>
          <t>별자리 전쟁</t>
        </is>
      </c>
      <c r="F7" s="8" t="inlineStr">
        <is>
          <t>-</t>
        </is>
      </c>
    </row>
    <row r="8">
      <c r="A8" s="7" t="inlineStr">
        <is>
          <t>재료</t>
        </is>
      </c>
      <c r="B8" s="7" t="inlineStr">
        <is>
          <t>공허 수정</t>
        </is>
      </c>
      <c r="C8" s="7" t="inlineStr">
        <is>
          <t>🕳️💎</t>
        </is>
      </c>
      <c r="D8" s="7" t="inlineStr">
        <is>
          <t>T3</t>
        </is>
      </c>
      <c r="E8" s="7" t="inlineStr">
        <is>
          <t>심연 던전</t>
        </is>
      </c>
      <c r="F8" s="7" t="inlineStr">
        <is>
          <t>-</t>
        </is>
      </c>
    </row>
    <row r="9">
      <c r="A9" s="8" t="inlineStr">
        <is>
          <t>재료</t>
        </is>
      </c>
      <c r="B9" s="8" t="inlineStr">
        <is>
          <t>용의 눈물</t>
        </is>
      </c>
      <c r="C9" s="8" t="inlineStr">
        <is>
          <t>🐉💧</t>
        </is>
      </c>
      <c r="D9" s="8" t="inlineStr">
        <is>
          <t>T4</t>
        </is>
      </c>
      <c r="E9" s="8" t="inlineStr">
        <is>
          <t>거수 레이드</t>
        </is>
      </c>
      <c r="F9" s="8" t="inlineStr">
        <is>
          <t>-</t>
        </is>
      </c>
    </row>
    <row r="10">
      <c r="A10" s="7" t="inlineStr">
        <is>
          <t>재료</t>
        </is>
      </c>
      <c r="B10" s="7" t="inlineStr">
        <is>
          <t>신의 파편</t>
        </is>
      </c>
      <c r="C10" s="7" t="inlineStr">
        <is>
          <t>✨🔮</t>
        </is>
      </c>
      <c r="D10" s="7" t="inlineStr">
        <is>
          <t>T5</t>
        </is>
      </c>
      <c r="E10" s="7" t="inlineStr">
        <is>
          <t>환영 투기장 신등급</t>
        </is>
      </c>
      <c r="F10" s="7" t="inlineStr">
        <is>
          <t>-</t>
        </is>
      </c>
    </row>
    <row r="11">
      <c r="A11" s="8" t="inlineStr">
        <is>
          <t>재료</t>
        </is>
      </c>
      <c r="B11" s="8" t="inlineStr">
        <is>
          <t>혼돈의 정수</t>
        </is>
      </c>
      <c r="C11" s="8" t="inlineStr">
        <is>
          <t>🌀💜</t>
        </is>
      </c>
      <c r="D11" s="8" t="inlineStr">
        <is>
          <t>T5</t>
        </is>
      </c>
      <c r="E11" s="8" t="inlineStr">
        <is>
          <t>저주던전 완전저주 클리어</t>
        </is>
      </c>
      <c r="F11" s="8" t="inlineStr">
        <is>
          <t>-</t>
        </is>
      </c>
    </row>
    <row r="12">
      <c r="A12" s="7" t="inlineStr"/>
      <c r="B12" s="7" t="inlineStr"/>
      <c r="C12" s="7" t="inlineStr"/>
      <c r="D12" s="7" t="inlineStr"/>
      <c r="E12" s="7" t="inlineStr"/>
      <c r="F12" s="7" t="inlineStr"/>
    </row>
    <row r="13">
      <c r="A13" s="8">
        <f>== 레시피 (8종) ===</f>
        <v/>
      </c>
      <c r="B13" s="8" t="inlineStr"/>
      <c r="C13" s="8" t="inlineStr"/>
      <c r="D13" s="8" t="inlineStr"/>
      <c r="E13" s="8" t="inlineStr"/>
      <c r="F13" s="8" t="inlineStr"/>
    </row>
    <row r="14">
      <c r="A14" s="7" t="inlineStr">
        <is>
          <t>무기</t>
        </is>
      </c>
      <c r="B14" s="7" t="inlineStr">
        <is>
          <t>성락검</t>
        </is>
      </c>
      <c r="C14" s="7" t="inlineStr">
        <is>
          <t>⚔️⭐</t>
        </is>
      </c>
      <c r="D14" s="7" t="inlineStr">
        <is>
          <t>별철x5+달은x3</t>
        </is>
      </c>
      <c r="E14" s="7" t="inlineStr">
        <is>
          <t>ATK100</t>
        </is>
      </c>
      <c r="F14" s="7" t="inlineStr">
        <is>
          <t>전설 (50KG)</t>
        </is>
      </c>
    </row>
    <row r="15">
      <c r="A15" s="8" t="inlineStr">
        <is>
          <t>무기</t>
        </is>
      </c>
      <c r="B15" s="8" t="inlineStr">
        <is>
          <t>태양화 지팡이</t>
        </is>
      </c>
      <c r="C15" s="8" t="inlineStr">
        <is>
          <t>🪄☀️</t>
        </is>
      </c>
      <c r="D15" s="8" t="inlineStr">
        <is>
          <t>태양금x3+별철x3</t>
        </is>
      </c>
      <c r="E15" s="8" t="inlineStr">
        <is>
          <t>ATK80+마법+15%</t>
        </is>
      </c>
      <c r="F15" s="8" t="inlineStr">
        <is>
          <t>전설 (50KG)</t>
        </is>
      </c>
    </row>
    <row r="16">
      <c r="A16" s="7" t="inlineStr">
        <is>
          <t>무기</t>
        </is>
      </c>
      <c r="B16" s="7" t="inlineStr">
        <is>
          <t>공허의 낫</t>
        </is>
      </c>
      <c r="C16" s="7" t="inlineStr">
        <is>
          <t>⚔️🕳️</t>
        </is>
      </c>
      <c r="D16" s="7" t="inlineStr">
        <is>
          <t>공허수정x5+혼돈정수x2</t>
        </is>
      </c>
      <c r="E16" s="7" t="inlineStr">
        <is>
          <t>ATK150+흡혈10%</t>
        </is>
      </c>
      <c r="F16" s="7" t="inlineStr">
        <is>
          <t>신화 (100KG)</t>
        </is>
      </c>
    </row>
    <row r="17">
      <c r="A17" s="8" t="inlineStr">
        <is>
          <t>무기</t>
        </is>
      </c>
      <c r="B17" s="8" t="inlineStr">
        <is>
          <t>신의 분노</t>
        </is>
      </c>
      <c r="C17" s="8" t="inlineStr">
        <is>
          <t>⚔️✨</t>
        </is>
      </c>
      <c r="D17" s="8" t="inlineStr">
        <is>
          <t>신파편x3+용눈물x2+태양금x3</t>
        </is>
      </c>
      <c r="E17" s="8" t="inlineStr">
        <is>
          <t>ATK200+ALL10</t>
        </is>
      </c>
      <c r="F17" s="8" t="inlineStr">
        <is>
          <t>신성 (200KG)</t>
        </is>
      </c>
    </row>
    <row r="18">
      <c r="A18" s="7" t="inlineStr">
        <is>
          <t>방어</t>
        </is>
      </c>
      <c r="B18" s="7" t="inlineStr">
        <is>
          <t>월광 갑옷</t>
        </is>
      </c>
      <c r="C18" s="7" t="inlineStr">
        <is>
          <t>🛡️🌙</t>
        </is>
      </c>
      <c r="D18" s="7" t="inlineStr">
        <is>
          <t>달은x5+별철x3</t>
        </is>
      </c>
      <c r="E18" s="7" t="inlineStr">
        <is>
          <t>DEF80+HP200</t>
        </is>
      </c>
      <c r="F18" s="7" t="inlineStr">
        <is>
          <t>전설 (50KG)</t>
        </is>
      </c>
    </row>
    <row r="19">
      <c r="A19" s="8" t="inlineStr">
        <is>
          <t>방어</t>
        </is>
      </c>
      <c r="B19" s="8" t="inlineStr">
        <is>
          <t>용린 갑옷</t>
        </is>
      </c>
      <c r="C19" s="8" t="inlineStr">
        <is>
          <t>🛡️🐉</t>
        </is>
      </c>
      <c r="D19" s="8" t="inlineStr">
        <is>
          <t>용눈물x3+공허수정x2</t>
        </is>
      </c>
      <c r="E19" s="8" t="inlineStr">
        <is>
          <t>DEF120+HP500+화저항20%</t>
        </is>
      </c>
      <c r="F19" s="8" t="inlineStr">
        <is>
          <t>신화 (100KG)</t>
        </is>
      </c>
    </row>
    <row r="20">
      <c r="A20" s="7" t="inlineStr">
        <is>
          <t>악세</t>
        </is>
      </c>
      <c r="B20" s="7" t="inlineStr">
        <is>
          <t>혼돈의 펜던트</t>
        </is>
      </c>
      <c r="C20" s="7" t="inlineStr">
        <is>
          <t>📿🌀</t>
        </is>
      </c>
      <c r="D20" s="7" t="inlineStr">
        <is>
          <t>혼돈정수x3+공허수정x3</t>
        </is>
      </c>
      <c r="E20" s="7" t="inlineStr">
        <is>
          <t>ALL8+크리8%</t>
        </is>
      </c>
      <c r="F20" s="7" t="inlineStr">
        <is>
          <t>신화 (100KG)</t>
        </is>
      </c>
    </row>
    <row r="21">
      <c r="A21" s="8" t="inlineStr">
        <is>
          <t>악세</t>
        </is>
      </c>
      <c r="B21" s="8" t="inlineStr">
        <is>
          <t>신성한 왕관</t>
        </is>
      </c>
      <c r="C21" s="8" t="inlineStr">
        <is>
          <t>👑✨</t>
        </is>
      </c>
      <c r="D21" s="8" t="inlineStr">
        <is>
          <t>신파편x5+태양금x5+용눈물x3</t>
        </is>
      </c>
      <c r="E21" s="8" t="inlineStr">
        <is>
          <t>ALL20+신성</t>
        </is>
      </c>
      <c r="F21" s="8" t="inlineStr">
        <is>
          <t>신성 (200KG)</t>
        </is>
      </c>
    </row>
    <row r="22">
      <c r="A22" s="7" t="inlineStr"/>
      <c r="B22" s="7" t="inlineStr"/>
      <c r="C22" s="7" t="inlineStr"/>
      <c r="D22" s="7" t="inlineStr"/>
      <c r="E22" s="7" t="inlineStr"/>
      <c r="F22" s="7" t="inlineStr"/>
    </row>
    <row r="23">
      <c r="A23" s="8">
        <f>== 제작 결과 (6단계) ===</f>
        <v/>
      </c>
      <c r="B23" s="8" t="inlineStr"/>
      <c r="C23" s="8" t="inlineStr"/>
      <c r="D23" s="8" t="inlineStr"/>
      <c r="E23" s="8" t="inlineStr"/>
      <c r="F23" s="8" t="inlineStr"/>
    </row>
    <row r="24">
      <c r="A24" s="7" t="inlineStr">
        <is>
          <t>결과</t>
        </is>
      </c>
      <c r="B24" s="7" t="inlineStr">
        <is>
          <t>대폭발</t>
        </is>
      </c>
      <c r="C24" s="7" t="inlineStr">
        <is>
          <t>💥😱</t>
        </is>
      </c>
      <c r="D24" s="7" t="inlineStr">
        <is>
          <t>&lt;5%</t>
        </is>
      </c>
      <c r="E24" s="7" t="inlineStr">
        <is>
          <t>재료 소멸+저주 장비</t>
        </is>
      </c>
      <c r="F24" s="7" t="inlineStr">
        <is>
          <t>스탯 x0</t>
        </is>
      </c>
    </row>
    <row r="25">
      <c r="A25" s="8" t="inlineStr">
        <is>
          <t>결과</t>
        </is>
      </c>
      <c r="B25" s="8" t="inlineStr">
        <is>
          <t>실패</t>
        </is>
      </c>
      <c r="C25" s="8" t="inlineStr">
        <is>
          <t>💔</t>
        </is>
      </c>
      <c r="D25" s="8" t="inlineStr">
        <is>
          <t>5~20%</t>
        </is>
      </c>
      <c r="E25" s="8" t="inlineStr">
        <is>
          <t>하급 장비</t>
        </is>
      </c>
      <c r="F25" s="8" t="inlineStr">
        <is>
          <t>스탯 x0.5</t>
        </is>
      </c>
    </row>
    <row r="26">
      <c r="A26" s="7" t="inlineStr">
        <is>
          <t>결과</t>
        </is>
      </c>
      <c r="B26" s="7" t="inlineStr">
        <is>
          <t>성공</t>
        </is>
      </c>
      <c r="C26" s="7" t="inlineStr">
        <is>
          <t>⚒️</t>
        </is>
      </c>
      <c r="D26" s="7" t="inlineStr">
        <is>
          <t>20~55%</t>
        </is>
      </c>
      <c r="E26" s="7" t="inlineStr">
        <is>
          <t>기본 장비</t>
        </is>
      </c>
      <c r="F26" s="7" t="inlineStr">
        <is>
          <t>스탯 x1.0</t>
        </is>
      </c>
    </row>
    <row r="27">
      <c r="A27" s="8" t="inlineStr">
        <is>
          <t>결과</t>
        </is>
      </c>
      <c r="B27" s="8" t="inlineStr">
        <is>
          <t>대성공</t>
        </is>
      </c>
      <c r="C27" s="8" t="inlineStr">
        <is>
          <t>✨⚒️</t>
        </is>
      </c>
      <c r="D27" s="8" t="inlineStr">
        <is>
          <t>55~80%</t>
        </is>
      </c>
      <c r="E27" s="8" t="inlineStr">
        <is>
          <t>강화 장비</t>
        </is>
      </c>
      <c r="F27" s="8" t="inlineStr">
        <is>
          <t>스탯 x1.5</t>
        </is>
      </c>
    </row>
    <row r="28">
      <c r="A28" s="7" t="inlineStr">
        <is>
          <t>결과</t>
        </is>
      </c>
      <c r="B28" s="7" t="inlineStr">
        <is>
          <t>걸작</t>
        </is>
      </c>
      <c r="C28" s="7" t="inlineStr">
        <is>
          <t>🌟⚒️</t>
        </is>
      </c>
      <c r="D28" s="7" t="inlineStr">
        <is>
          <t>80~95%</t>
        </is>
      </c>
      <c r="E28" s="7" t="inlineStr">
        <is>
          <t>최강 장비</t>
        </is>
      </c>
      <c r="F28" s="7" t="inlineStr">
        <is>
          <t>스탯 x2.0</t>
        </is>
      </c>
    </row>
    <row r="29">
      <c r="A29" s="8" t="inlineStr">
        <is>
          <t>결과</t>
        </is>
      </c>
      <c r="B29" s="8" t="inlineStr">
        <is>
          <t>신의 작품</t>
        </is>
      </c>
      <c r="C29" s="8" t="inlineStr">
        <is>
          <t>👑⚒️</t>
        </is>
      </c>
      <c r="D29" s="8" t="inlineStr">
        <is>
          <t>95%+</t>
        </is>
      </c>
      <c r="E29" s="8" t="inlineStr">
        <is>
          <t>★ 유일 장비! ★</t>
        </is>
      </c>
      <c r="F29" s="8" t="inlineStr">
        <is>
          <t>스탯 x3.0</t>
        </is>
      </c>
    </row>
    <row r="30">
      <c r="A30" s="7" t="inlineStr"/>
      <c r="B30" s="7" t="inlineStr"/>
      <c r="C30" s="7" t="inlineStr"/>
      <c r="D30" s="7" t="inlineStr"/>
      <c r="E30" s="7" t="inlineStr"/>
      <c r="F30" s="7" t="inlineStr"/>
    </row>
    <row r="31">
      <c r="A31" s="8" t="inlineStr">
        <is>
          <t>시스템</t>
        </is>
      </c>
      <c r="B31" s="8" t="inlineStr">
        <is>
          <t>대장간 Lv.1~9</t>
        </is>
      </c>
      <c r="C31" s="8" t="inlineStr">
        <is>
          <t>레벨당 성공률+3%</t>
        </is>
      </c>
      <c r="D31" s="8" t="inlineStr"/>
      <c r="E31" s="8" t="inlineStr"/>
      <c r="F31" s="8" t="inlineStr">
        <is>
          <t>EXP: 신성500/신화200/전설100</t>
        </is>
      </c>
    </row>
  </sheetData>
  <mergeCells count="1">
    <mergeCell ref="A1:F1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10" customWidth="1" min="5" max="5"/>
    <col width="28" customWidth="1" min="6" max="6"/>
    <col width="40" customWidth="1" min="7" max="7"/>
  </cols>
  <sheetData>
    <row r="1">
      <c r="A1" s="5" t="inlineStr">
        <is>
          <t>살아있는 마도서 (v2.54)</t>
        </is>
      </c>
    </row>
    <row r="3">
      <c r="A3" s="6" t="inlineStr">
        <is>
          <t>마도서ID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원소</t>
        </is>
      </c>
      <c r="E3" s="6" t="inlineStr">
        <is>
          <t>성격</t>
        </is>
      </c>
      <c r="F3" s="6" t="inlineStr">
        <is>
          <t>기본 마법</t>
        </is>
      </c>
      <c r="G3" s="6" t="inlineStr">
        <is>
          <t>설명</t>
        </is>
      </c>
    </row>
    <row r="4">
      <c r="A4" s="7" t="inlineStr">
        <is>
          <t>ignis</t>
        </is>
      </c>
      <c r="B4" s="7" t="inlineStr">
        <is>
          <t>이그니스</t>
        </is>
      </c>
      <c r="C4" s="7" t="inlineStr">
        <is>
          <t>📕🔥</t>
        </is>
      </c>
      <c r="D4" s="7" t="inlineStr">
        <is>
          <t>화염</t>
        </is>
      </c>
      <c r="E4" s="7" t="inlineStr">
        <is>
          <t>다혈질</t>
        </is>
      </c>
      <c r="F4" s="7" t="inlineStr">
        <is>
          <t>화염 보조 (ATKx1.5)</t>
        </is>
      </c>
      <c r="G4" s="7" t="inlineStr">
        <is>
          <t>뜨겁지? 나와 함께면 모든 걸 태울 수 있어!</t>
        </is>
      </c>
    </row>
    <row r="5">
      <c r="A5" s="8" t="inlineStr">
        <is>
          <t>glacies</t>
        </is>
      </c>
      <c r="B5" s="8" t="inlineStr">
        <is>
          <t>글라시스</t>
        </is>
      </c>
      <c r="C5" s="8" t="inlineStr">
        <is>
          <t>📘❄️</t>
        </is>
      </c>
      <c r="D5" s="8" t="inlineStr">
        <is>
          <t>빙결</t>
        </is>
      </c>
      <c r="E5" s="8" t="inlineStr">
        <is>
          <t>침착</t>
        </is>
      </c>
      <c r="F5" s="8" t="inlineStr">
        <is>
          <t>빙결 보조 (ATKx1.2+둔화20%)</t>
        </is>
      </c>
      <c r="G5" s="8" t="inlineStr">
        <is>
          <t>...차분하게 가자. 서두르면 실수해.</t>
        </is>
      </c>
    </row>
    <row r="6">
      <c r="A6" s="7" t="inlineStr">
        <is>
          <t>fulgur</t>
        </is>
      </c>
      <c r="B6" s="7" t="inlineStr">
        <is>
          <t>풀구르</t>
        </is>
      </c>
      <c r="C6" s="7" t="inlineStr">
        <is>
          <t>📗⚡</t>
        </is>
      </c>
      <c r="D6" s="7" t="inlineStr">
        <is>
          <t>번개</t>
        </is>
      </c>
      <c r="E6" s="7" t="inlineStr">
        <is>
          <t>활발</t>
        </is>
      </c>
      <c r="F6" s="7" t="inlineStr">
        <is>
          <t>번개 보조 (ATKx1.8+기절1초)</t>
        </is>
      </c>
      <c r="G6" s="7" t="inlineStr">
        <is>
          <t>빠르게! 빠르게! 적을 감전시키자!</t>
        </is>
      </c>
    </row>
    <row r="7">
      <c r="A7" s="8" t="inlineStr">
        <is>
          <t>umbra</t>
        </is>
      </c>
      <c r="B7" s="8" t="inlineStr">
        <is>
          <t>움브라</t>
        </is>
      </c>
      <c r="C7" s="8" t="inlineStr">
        <is>
          <t>📓🌑</t>
        </is>
      </c>
      <c r="D7" s="8" t="inlineStr">
        <is>
          <t>암흑</t>
        </is>
      </c>
      <c r="E7" s="8" t="inlineStr">
        <is>
          <t>신비</t>
        </is>
      </c>
      <c r="F7" s="8" t="inlineStr">
        <is>
          <t>암흑 보조 (ATKx1.3+흡혈10%)</t>
        </is>
      </c>
      <c r="G7" s="8" t="inlineStr">
        <is>
          <t>...그림자는 모든 것을 알고 있어.</t>
        </is>
      </c>
    </row>
    <row r="8">
      <c r="A8" s="7" t="inlineStr">
        <is>
          <t>lux</t>
        </is>
      </c>
      <c r="B8" s="7" t="inlineStr">
        <is>
          <t>룩스</t>
        </is>
      </c>
      <c r="C8" s="7" t="inlineStr">
        <is>
          <t>📒✨</t>
        </is>
      </c>
      <c r="D8" s="7" t="inlineStr">
        <is>
          <t>성광</t>
        </is>
      </c>
      <c r="E8" s="7" t="inlineStr">
        <is>
          <t>쾌활</t>
        </is>
      </c>
      <c r="F8" s="7" t="inlineStr">
        <is>
          <t>성광 보조 (ATKx1.0+힐5%)</t>
        </is>
      </c>
      <c r="G8" s="7" t="inlineStr">
        <is>
          <t>안녕! 함께하면 어둠도 무섭지 않아~!</t>
        </is>
      </c>
    </row>
    <row r="9">
      <c r="A9" s="8" t="inlineStr">
        <is>
          <t>chaos</t>
        </is>
      </c>
      <c r="B9" s="8" t="inlineStr">
        <is>
          <t>카오스</t>
        </is>
      </c>
      <c r="C9" s="8" t="inlineStr">
        <is>
          <t>📙🌀</t>
        </is>
      </c>
      <c r="D9" s="8" t="inlineStr">
        <is>
          <t>혼돈</t>
        </is>
      </c>
      <c r="E9" s="8" t="inlineStr">
        <is>
          <t>불안정</t>
        </is>
      </c>
      <c r="F9" s="8" t="inlineStr">
        <is>
          <t>혼돈 보조 (ATKx2.0+랜덤)</t>
        </is>
      </c>
      <c r="G9" s="8" t="inlineStr">
        <is>
          <t>하하하... 뭐가 나올지 나도 몰라!</t>
        </is>
      </c>
    </row>
    <row r="10">
      <c r="A10" s="7" t="inlineStr"/>
      <c r="B10" s="7" t="inlineStr"/>
      <c r="C10" s="7" t="inlineStr"/>
      <c r="D10" s="7" t="inlineStr"/>
      <c r="E10" s="7" t="inlineStr"/>
      <c r="F10" s="7" t="inlineStr"/>
      <c r="G10" s="7" t="inlineStr"/>
    </row>
    <row r="11">
      <c r="A11" s="8">
        <f>== 페이지 해금 (5단계) ===</f>
        <v/>
      </c>
      <c r="B11" s="8" t="inlineStr"/>
      <c r="C11" s="8" t="inlineStr"/>
      <c r="D11" s="8" t="inlineStr"/>
      <c r="E11" s="8" t="inlineStr"/>
      <c r="F11" s="8" t="inlineStr"/>
      <c r="G11" s="8" t="inlineStr"/>
    </row>
    <row r="12">
      <c r="A12" s="7" t="inlineStr">
        <is>
          <t>Lv.2</t>
        </is>
      </c>
      <c r="B12" s="7" t="inlineStr">
        <is>
          <t>원소 강화</t>
        </is>
      </c>
      <c r="C12" s="7" t="inlineStr"/>
      <c r="D12" s="7" t="inlineStr"/>
      <c r="E12" s="7" t="inlineStr"/>
      <c r="F12" s="7" t="inlineStr">
        <is>
          <t>원소 데미지 +10%</t>
        </is>
      </c>
      <c r="G12" s="7" t="inlineStr"/>
    </row>
    <row r="13">
      <c r="A13" s="8" t="inlineStr">
        <is>
          <t>Lv.3</t>
        </is>
      </c>
      <c r="B13" s="8" t="inlineStr">
        <is>
          <t>자동 시전</t>
        </is>
      </c>
      <c r="C13" s="8" t="inlineStr"/>
      <c r="D13" s="8" t="inlineStr"/>
      <c r="E13" s="8" t="inlineStr"/>
      <c r="F13" s="8" t="inlineStr">
        <is>
          <t>자동으로 보조 마법 시전</t>
        </is>
      </c>
      <c r="G13" s="8" t="inlineStr"/>
    </row>
    <row r="14">
      <c r="A14" s="7" t="inlineStr">
        <is>
          <t>Lv.5</t>
        </is>
      </c>
      <c r="B14" s="7" t="inlineStr">
        <is>
          <t>방어 마법</t>
        </is>
      </c>
      <c r="C14" s="7" t="inlineStr"/>
      <c r="D14" s="7" t="inlineStr"/>
      <c r="E14" s="7" t="inlineStr"/>
      <c r="F14" s="7" t="inlineStr">
        <is>
          <t>피격 시 방어 마법 발동 (DEF+30)</t>
        </is>
      </c>
      <c r="G14" s="7" t="inlineStr"/>
    </row>
    <row r="15">
      <c r="A15" s="8" t="inlineStr">
        <is>
          <t>Lv.7</t>
        </is>
      </c>
      <c r="B15" s="8" t="inlineStr">
        <is>
          <t>원소 폭발</t>
        </is>
      </c>
      <c r="C15" s="8" t="inlineStr"/>
      <c r="D15" s="8" t="inlineStr"/>
      <c r="E15" s="8" t="inlineStr"/>
      <c r="F15" s="8" t="inlineStr">
        <is>
          <t>원소 폭발 ATKx3 (CD45초)</t>
        </is>
      </c>
      <c r="G15" s="8" t="inlineStr"/>
    </row>
    <row r="16">
      <c r="A16" s="7" t="inlineStr">
        <is>
          <t>Lv.10</t>
        </is>
      </c>
      <c r="B16" s="7" t="inlineStr">
        <is>
          <t>금지된 장</t>
        </is>
      </c>
      <c r="C16" s="7" t="inlineStr"/>
      <c r="D16" s="7" t="inlineStr"/>
      <c r="E16" s="7" t="inlineStr"/>
      <c r="F16" s="7" t="inlineStr">
        <is>
          <t>금지 마법 해방! ATKx5 (자해10%)</t>
        </is>
      </c>
      <c r="G16" s="7" t="inlineStr"/>
    </row>
    <row r="17">
      <c r="A17" s="8" t="inlineStr"/>
      <c r="B17" s="8" t="inlineStr"/>
      <c r="C17" s="8" t="inlineStr"/>
      <c r="D17" s="8" t="inlineStr"/>
      <c r="E17" s="8" t="inlineStr"/>
      <c r="F17" s="8" t="inlineStr"/>
      <c r="G17" s="8" t="inlineStr"/>
    </row>
    <row r="18">
      <c r="A18" s="7" t="inlineStr">
        <is>
          <t>시스템</t>
        </is>
      </c>
      <c r="B18" s="7" t="inlineStr">
        <is>
          <t>계약비 20,000G</t>
        </is>
      </c>
      <c r="C18" s="7" t="inlineStr">
        <is>
          <t>Lv.15+</t>
        </is>
      </c>
      <c r="D18" s="7" t="inlineStr">
        <is>
          <t>최대 Lv.10</t>
        </is>
      </c>
      <c r="E18" s="7" t="inlineStr">
        <is>
          <t>친밀도 0~100</t>
        </is>
      </c>
      <c r="F18" s="7" t="inlineStr">
        <is>
          <t>대화시 친밀도+1 / 친밀도 EXP보너스 x0.5%</t>
        </is>
      </c>
      <c r="G18" s="7" t="inlineStr">
        <is>
          <t>6권 전부 수집 가능</t>
        </is>
      </c>
    </row>
  </sheetData>
  <mergeCells count="1">
    <mergeCell ref="A1:G1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5" customWidth="1" min="4" max="4"/>
    <col width="28" customWidth="1" min="5" max="5"/>
    <col width="34" customWidth="1" min="6" max="6"/>
  </cols>
  <sheetData>
    <row r="1">
      <c r="A1" s="5" t="inlineStr">
        <is>
          <t>세계의 씨앗 (v2.55)</t>
        </is>
      </c>
    </row>
    <row r="3">
      <c r="A3" s="6" t="inlineStr">
        <is>
          <t>항목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티어</t>
        </is>
      </c>
      <c r="E3" s="6" t="inlineStr">
        <is>
          <t>자원/수치</t>
        </is>
      </c>
      <c r="F3" s="6" t="inlineStr">
        <is>
          <t>효과/설명</t>
        </is>
      </c>
    </row>
    <row r="4">
      <c r="A4" s="7">
        <f>== 바이옴 (7종) ===</f>
        <v/>
      </c>
      <c r="B4" s="7" t="inlineStr"/>
      <c r="C4" s="7" t="inlineStr"/>
      <c r="D4" s="7" t="inlineStr"/>
      <c r="E4" s="7" t="inlineStr"/>
      <c r="F4" s="7" t="inlineStr"/>
    </row>
    <row r="5">
      <c r="A5" s="8" t="inlineStr">
        <is>
          <t>바이옴</t>
        </is>
      </c>
      <c r="B5" s="8" t="inlineStr">
        <is>
          <t>공허 평원</t>
        </is>
      </c>
      <c r="C5" s="8" t="inlineStr">
        <is>
          <t>🕳️🌿</t>
        </is>
      </c>
      <c r="D5" s="8" t="inlineStr">
        <is>
          <t>-</t>
        </is>
      </c>
      <c r="E5" s="8" t="inlineStr">
        <is>
          <t>void_dust x3</t>
        </is>
      </c>
      <c r="F5" s="8" t="inlineStr">
        <is>
          <t>몬스터 최대 5마리</t>
        </is>
      </c>
    </row>
    <row r="6">
      <c r="A6" s="7" t="inlineStr">
        <is>
          <t>바이옴</t>
        </is>
      </c>
      <c r="B6" s="7" t="inlineStr">
        <is>
          <t>화산 지대</t>
        </is>
      </c>
      <c r="C6" s="7" t="inlineStr">
        <is>
          <t>🌋</t>
        </is>
      </c>
      <c r="D6" s="7" t="inlineStr">
        <is>
          <t>-</t>
        </is>
      </c>
      <c r="E6" s="7" t="inlineStr">
        <is>
          <t>magma_ore x5, fire_crystal x2</t>
        </is>
      </c>
      <c r="F6" s="7" t="inlineStr">
        <is>
          <t>몬스터 최대 8마리</t>
        </is>
      </c>
    </row>
    <row r="7">
      <c r="A7" s="8" t="inlineStr">
        <is>
          <t>바이옴</t>
        </is>
      </c>
      <c r="B7" s="8" t="inlineStr">
        <is>
          <t>빙하 동토</t>
        </is>
      </c>
      <c r="C7" s="8" t="inlineStr">
        <is>
          <t>❄️🏔️</t>
        </is>
      </c>
      <c r="D7" s="8" t="inlineStr">
        <is>
          <t>-</t>
        </is>
      </c>
      <c r="E7" s="8" t="inlineStr">
        <is>
          <t>frost_gem x4, ice_shard x3</t>
        </is>
      </c>
      <c r="F7" s="8" t="inlineStr">
        <is>
          <t>몬스터 최대 6마리</t>
        </is>
      </c>
    </row>
    <row r="8">
      <c r="A8" s="7" t="inlineStr">
        <is>
          <t>바이옴</t>
        </is>
      </c>
      <c r="B8" s="7" t="inlineStr">
        <is>
          <t>하늘 섬</t>
        </is>
      </c>
      <c r="C8" s="7" t="inlineStr">
        <is>
          <t>☁️🏝️</t>
        </is>
      </c>
      <c r="D8" s="7" t="inlineStr">
        <is>
          <t>-</t>
        </is>
      </c>
      <c r="E8" s="7" t="inlineStr">
        <is>
          <t>cloud_silk x4, sky_pearl x2</t>
        </is>
      </c>
      <c r="F8" s="7" t="inlineStr">
        <is>
          <t>몬스터 최대 7마리</t>
        </is>
      </c>
    </row>
    <row r="9">
      <c r="A9" s="8" t="inlineStr">
        <is>
          <t>바이옴</t>
        </is>
      </c>
      <c r="B9" s="8" t="inlineStr">
        <is>
          <t>그림자 숲</t>
        </is>
      </c>
      <c r="C9" s="8" t="inlineStr">
        <is>
          <t>🌑🌲</t>
        </is>
      </c>
      <c r="D9" s="8" t="inlineStr">
        <is>
          <t>-</t>
        </is>
      </c>
      <c r="E9" s="8" t="inlineStr">
        <is>
          <t>dark_wood x5, shadow_sap x3</t>
        </is>
      </c>
      <c r="F9" s="8" t="inlineStr">
        <is>
          <t>몬스터 최대 10마리</t>
        </is>
      </c>
    </row>
    <row r="10">
      <c r="A10" s="7" t="inlineStr">
        <is>
          <t>바이옴</t>
        </is>
      </c>
      <c r="B10" s="7" t="inlineStr">
        <is>
          <t>수정 동굴</t>
        </is>
      </c>
      <c r="C10" s="7" t="inlineStr">
        <is>
          <t>💎🕳️</t>
        </is>
      </c>
      <c r="D10" s="7" t="inlineStr">
        <is>
          <t>-</t>
        </is>
      </c>
      <c r="E10" s="7" t="inlineStr">
        <is>
          <t>rainbow_crystal x6, mana_stone x4</t>
        </is>
      </c>
      <c r="F10" s="7" t="inlineStr">
        <is>
          <t>몬스터 최대 6마리</t>
        </is>
      </c>
    </row>
    <row r="11">
      <c r="A11" s="8" t="inlineStr">
        <is>
          <t>바이옴</t>
        </is>
      </c>
      <c r="B11" s="8" t="inlineStr">
        <is>
          <t>천상계</t>
        </is>
      </c>
      <c r="C11" s="8" t="inlineStr">
        <is>
          <t>✨☁️</t>
        </is>
      </c>
      <c r="D11" s="8" t="inlineStr">
        <is>
          <t>-</t>
        </is>
      </c>
      <c r="E11" s="8" t="inlineStr">
        <is>
          <t>star_dust x5, divine_essence x2</t>
        </is>
      </c>
      <c r="F11" s="8" t="inlineStr">
        <is>
          <t>몬스터 최대 5마리</t>
        </is>
      </c>
    </row>
    <row r="12">
      <c r="A12" s="7" t="inlineStr"/>
      <c r="B12" s="7" t="inlineStr"/>
      <c r="C12" s="7" t="inlineStr"/>
      <c r="D12" s="7" t="inlineStr"/>
      <c r="E12" s="7" t="inlineStr"/>
      <c r="F12" s="7" t="inlineStr"/>
    </row>
    <row r="13">
      <c r="A13" s="8">
        <f>== 몬스터 (8종) ===</f>
        <v/>
      </c>
      <c r="B13" s="8" t="inlineStr"/>
      <c r="C13" s="8" t="inlineStr"/>
      <c r="D13" s="8" t="inlineStr"/>
      <c r="E13" s="8" t="inlineStr"/>
      <c r="F13" s="8" t="inlineStr"/>
    </row>
    <row r="14">
      <c r="A14" s="7" t="inlineStr">
        <is>
          <t>몬스터</t>
        </is>
      </c>
      <c r="B14" s="7" t="inlineStr">
        <is>
          <t>씨앗 슬라임</t>
        </is>
      </c>
      <c r="C14" s="7" t="inlineStr">
        <is>
          <t>🟢🌱</t>
        </is>
      </c>
      <c r="D14" s="7" t="n">
        <v>1</v>
      </c>
      <c r="E14" s="7" t="inlineStr">
        <is>
          <t>HP200/ATK20</t>
        </is>
      </c>
      <c r="F14" s="7" t="inlineStr">
        <is>
          <t>slime_gel x2 (500G)</t>
        </is>
      </c>
    </row>
    <row r="15">
      <c r="A15" s="8" t="inlineStr">
        <is>
          <t>몬스터</t>
        </is>
      </c>
      <c r="B15" s="8" t="inlineStr">
        <is>
          <t>화염 정령</t>
        </is>
      </c>
      <c r="C15" s="8" t="inlineStr">
        <is>
          <t>🔥🧚</t>
        </is>
      </c>
      <c r="D15" s="8" t="n">
        <v>2</v>
      </c>
      <c r="E15" s="8" t="inlineStr">
        <is>
          <t>HP500/ATK60</t>
        </is>
      </c>
      <c r="F15" s="8" t="inlineStr">
        <is>
          <t>fire_crystal x1 (2000G)</t>
        </is>
      </c>
    </row>
    <row r="16">
      <c r="A16" s="7" t="inlineStr">
        <is>
          <t>몬스터</t>
        </is>
      </c>
      <c r="B16" s="7" t="inlineStr">
        <is>
          <t>서리 골렘</t>
        </is>
      </c>
      <c r="C16" s="7" t="inlineStr">
        <is>
          <t>❄️🗿</t>
        </is>
      </c>
      <c r="D16" s="7" t="n">
        <v>2</v>
      </c>
      <c r="E16" s="7" t="inlineStr">
        <is>
          <t>HP800/ATK40</t>
        </is>
      </c>
      <c r="F16" s="7" t="inlineStr">
        <is>
          <t>frost_gem x1 (2500G)</t>
        </is>
      </c>
    </row>
    <row r="17">
      <c r="A17" s="8" t="inlineStr">
        <is>
          <t>몬스터</t>
        </is>
      </c>
      <c r="B17" s="8" t="inlineStr">
        <is>
          <t>그림자 늑대</t>
        </is>
      </c>
      <c r="C17" s="8" t="inlineStr">
        <is>
          <t>🐺🌑</t>
        </is>
      </c>
      <c r="D17" s="8" t="n">
        <v>2</v>
      </c>
      <c r="E17" s="8" t="inlineStr">
        <is>
          <t>HP600/ATK80</t>
        </is>
      </c>
      <c r="F17" s="8" t="inlineStr">
        <is>
          <t>shadow_sap x1 (3000G)</t>
        </is>
      </c>
    </row>
    <row r="18">
      <c r="A18" s="7" t="inlineStr">
        <is>
          <t>몬스터</t>
        </is>
      </c>
      <c r="B18" s="7" t="inlineStr">
        <is>
          <t>수정 드래곤</t>
        </is>
      </c>
      <c r="C18" s="7" t="inlineStr">
        <is>
          <t>🐉💎</t>
        </is>
      </c>
      <c r="D18" s="7" t="n">
        <v>3</v>
      </c>
      <c r="E18" s="7" t="inlineStr">
        <is>
          <t>HP2000/ATK150</t>
        </is>
      </c>
      <c r="F18" s="7" t="inlineStr">
        <is>
          <t>rainbow_crystal x2 (10KG)</t>
        </is>
      </c>
    </row>
    <row r="19">
      <c r="A19" s="8" t="inlineStr">
        <is>
          <t>몬스터</t>
        </is>
      </c>
      <c r="B19" s="8" t="inlineStr">
        <is>
          <t>하늘 불사조</t>
        </is>
      </c>
      <c r="C19" s="8" t="inlineStr">
        <is>
          <t>🐦☁️</t>
        </is>
      </c>
      <c r="D19" s="8" t="n">
        <v>3</v>
      </c>
      <c r="E19" s="8" t="inlineStr">
        <is>
          <t>HP1500/ATK120</t>
        </is>
      </c>
      <c r="F19" s="8" t="inlineStr">
        <is>
          <t>sky_pearl x2 (12KG)</t>
        </is>
      </c>
    </row>
    <row r="20">
      <c r="A20" s="7" t="inlineStr">
        <is>
          <t>몬스터</t>
        </is>
      </c>
      <c r="B20" s="7" t="inlineStr">
        <is>
          <t>공허 거신</t>
        </is>
      </c>
      <c r="C20" s="7" t="inlineStr">
        <is>
          <t>🗿🕳️</t>
        </is>
      </c>
      <c r="D20" s="7" t="n">
        <v>4</v>
      </c>
      <c r="E20" s="7" t="inlineStr">
        <is>
          <t>HP5000/ATK300</t>
        </is>
      </c>
      <c r="F20" s="7" t="inlineStr">
        <is>
          <t>void_essence x3 (30KG)</t>
        </is>
      </c>
    </row>
    <row r="21">
      <c r="A21" s="8" t="inlineStr">
        <is>
          <t>몬스터</t>
        </is>
      </c>
      <c r="B21" s="8" t="inlineStr">
        <is>
          <t>별의 천사</t>
        </is>
      </c>
      <c r="C21" s="8" t="inlineStr">
        <is>
          <t>👼⭐</t>
        </is>
      </c>
      <c r="D21" s="8" t="n">
        <v>4</v>
      </c>
      <c r="E21" s="8" t="inlineStr">
        <is>
          <t>HP3000/ATK200</t>
        </is>
      </c>
      <c r="F21" s="8" t="inlineStr">
        <is>
          <t>divine_essence x2 (25KG)</t>
        </is>
      </c>
    </row>
    <row r="22">
      <c r="A22" s="7" t="inlineStr"/>
      <c r="B22" s="7" t="inlineStr"/>
      <c r="C22" s="7" t="inlineStr"/>
      <c r="D22" s="7" t="inlineStr"/>
      <c r="E22" s="7" t="inlineStr"/>
      <c r="F22" s="7" t="inlineStr"/>
    </row>
    <row r="23">
      <c r="A23" s="8">
        <f>== 건물 (5종) ===</f>
        <v/>
      </c>
      <c r="B23" s="8" t="inlineStr"/>
      <c r="C23" s="8" t="inlineStr"/>
      <c r="D23" s="8" t="inlineStr"/>
      <c r="E23" s="8" t="inlineStr"/>
      <c r="F23" s="8" t="inlineStr"/>
    </row>
    <row r="24">
      <c r="A24" s="7" t="inlineStr">
        <is>
          <t>건물</t>
        </is>
      </c>
      <c r="B24" s="7" t="inlineStr">
        <is>
          <t>마나 우물</t>
        </is>
      </c>
      <c r="C24" s="7" t="inlineStr">
        <is>
          <t>💧🔮</t>
        </is>
      </c>
      <c r="D24" s="7" t="inlineStr">
        <is>
          <t>-</t>
        </is>
      </c>
      <c r="E24" s="7" t="inlineStr">
        <is>
          <t>5,000G</t>
        </is>
      </c>
      <c r="F24" s="7" t="inlineStr">
        <is>
          <t>시간당 마나+10 / 최대마나+50</t>
        </is>
      </c>
    </row>
    <row r="25">
      <c r="A25" s="8" t="inlineStr">
        <is>
          <t>건물</t>
        </is>
      </c>
      <c r="B25" s="8" t="inlineStr">
        <is>
          <t>수호 탑</t>
        </is>
      </c>
      <c r="C25" s="8" t="inlineStr">
        <is>
          <t>🗼🛡️</t>
        </is>
      </c>
      <c r="D25" s="8" t="inlineStr">
        <is>
          <t>-</t>
        </is>
      </c>
      <c r="E25" s="8" t="inlineStr">
        <is>
          <t>8,000G</t>
        </is>
      </c>
      <c r="F25" s="8" t="inlineStr">
        <is>
          <t>침공 방어력 +200</t>
        </is>
      </c>
    </row>
    <row r="26">
      <c r="A26" s="7" t="inlineStr">
        <is>
          <t>건물</t>
        </is>
      </c>
      <c r="B26" s="7" t="inlineStr">
        <is>
          <t>수확 신전</t>
        </is>
      </c>
      <c r="C26" s="7" t="inlineStr">
        <is>
          <t>⛩️🌾</t>
        </is>
      </c>
      <c r="D26" s="7" t="inlineStr">
        <is>
          <t>-</t>
        </is>
      </c>
      <c r="E26" s="7" t="inlineStr">
        <is>
          <t>10,000G</t>
        </is>
      </c>
      <c r="F26" s="7" t="inlineStr">
        <is>
          <t>자원 수확량 x1.5</t>
        </is>
      </c>
    </row>
    <row r="27">
      <c r="A27" s="8" t="inlineStr">
        <is>
          <t>건물</t>
        </is>
      </c>
      <c r="B27" s="8" t="inlineStr">
        <is>
          <t>차원문</t>
        </is>
      </c>
      <c r="C27" s="8" t="inlineStr">
        <is>
          <t>🌀🚪</t>
        </is>
      </c>
      <c r="D27" s="8" t="inlineStr">
        <is>
          <t>-</t>
        </is>
      </c>
      <c r="E27" s="8" t="inlineStr">
        <is>
          <t>20,000G</t>
        </is>
      </c>
      <c r="F27" s="8" t="inlineStr">
        <is>
          <t>다른 세계 침공 가능</t>
        </is>
      </c>
    </row>
    <row r="28">
      <c r="A28" s="7" t="inlineStr">
        <is>
          <t>건물</t>
        </is>
      </c>
      <c r="B28" s="7" t="inlineStr">
        <is>
          <t>세계수</t>
        </is>
      </c>
      <c r="C28" s="7" t="inlineStr">
        <is>
          <t>🌳✨</t>
        </is>
      </c>
      <c r="D28" s="7" t="inlineStr">
        <is>
          <t>-</t>
        </is>
      </c>
      <c r="E28" s="7" t="inlineStr">
        <is>
          <t>50,000G</t>
        </is>
      </c>
      <c r="F28" s="7" t="inlineStr">
        <is>
          <t>세계 레벨업! 모든 효과 +10%</t>
        </is>
      </c>
    </row>
    <row r="29">
      <c r="A29" s="8" t="inlineStr"/>
      <c r="B29" s="8" t="inlineStr"/>
      <c r="C29" s="8" t="inlineStr"/>
      <c r="D29" s="8" t="inlineStr"/>
      <c r="E29" s="8" t="inlineStr"/>
      <c r="F29" s="8" t="inlineStr"/>
    </row>
    <row r="30">
      <c r="A30" s="7" t="inlineStr">
        <is>
          <t>시스템</t>
        </is>
      </c>
      <c r="B30" s="7" t="inlineStr">
        <is>
          <t>생성비</t>
        </is>
      </c>
      <c r="C30" s="7" t="inlineStr">
        <is>
          <t>30,000G</t>
        </is>
      </c>
      <c r="D30" s="7" t="inlineStr">
        <is>
          <t>Lv.30+</t>
        </is>
      </c>
      <c r="E30" s="7" t="inlineStr">
        <is>
          <t>1시간마다 수확 (최대24h)</t>
        </is>
      </c>
      <c r="F30" s="7" t="inlineStr">
        <is>
          <t>침공시 자원 20% 약탈 가능</t>
        </is>
      </c>
    </row>
  </sheetData>
  <mergeCells count="1">
    <mergeCell ref="A1:F1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8" customWidth="1" min="4" max="4"/>
    <col width="14" customWidth="1" min="5" max="5"/>
    <col width="30" customWidth="1" min="6" max="6"/>
    <col width="24" customWidth="1" min="7" max="7"/>
  </cols>
  <sheetData>
    <row r="1">
      <c r="A1" s="5" t="inlineStr">
        <is>
          <t>운명의 직공 (v2.56)</t>
        </is>
      </c>
    </row>
    <row r="3">
      <c r="A3" s="6" t="inlineStr">
        <is>
          <t>실ID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유형</t>
        </is>
      </c>
      <c r="E3" s="6" t="inlineStr">
        <is>
          <t>티어/비용</t>
        </is>
      </c>
      <c r="F3" s="6" t="inlineStr">
        <is>
          <t>효과</t>
        </is>
      </c>
      <c r="G3" s="6" t="inlineStr">
        <is>
          <t>반작용</t>
        </is>
      </c>
    </row>
    <row r="4">
      <c r="A4" s="7">
        <f>== 축복 실 (5종) ===</f>
        <v/>
      </c>
      <c r="B4" s="7" t="inlineStr"/>
      <c r="C4" s="7" t="inlineStr"/>
      <c r="D4" s="7" t="inlineStr"/>
      <c r="E4" s="7" t="inlineStr"/>
      <c r="F4" s="7" t="inlineStr"/>
      <c r="G4" s="7" t="inlineStr"/>
    </row>
    <row r="5">
      <c r="A5" s="8" t="inlineStr">
        <is>
          <t>thread_fortune</t>
        </is>
      </c>
      <c r="B5" s="8" t="inlineStr">
        <is>
          <t>행운의 실</t>
        </is>
      </c>
      <c r="C5" s="8" t="inlineStr">
        <is>
          <t>🧵🍀</t>
        </is>
      </c>
      <c r="D5" s="8" t="inlineStr">
        <is>
          <t>축복</t>
        </is>
      </c>
      <c r="E5" s="8" t="inlineStr">
        <is>
          <t>T1/2,000G</t>
        </is>
      </c>
      <c r="F5" s="8" t="inlineStr">
        <is>
          <t>골드+10% (1시간)</t>
        </is>
      </c>
      <c r="G5" s="8" t="inlineStr">
        <is>
          <t>자신 골드-5%</t>
        </is>
      </c>
    </row>
    <row r="6">
      <c r="A6" s="7" t="inlineStr">
        <is>
          <t>thread_vigor</t>
        </is>
      </c>
      <c r="B6" s="7" t="inlineStr">
        <is>
          <t>활력의 실</t>
        </is>
      </c>
      <c r="C6" s="7" t="inlineStr">
        <is>
          <t>🧵💪</t>
        </is>
      </c>
      <c r="D6" s="7" t="inlineStr">
        <is>
          <t>축복</t>
        </is>
      </c>
      <c r="E6" s="7" t="inlineStr">
        <is>
          <t>T1/3,000G</t>
        </is>
      </c>
      <c r="F6" s="7" t="inlineStr">
        <is>
          <t>ATK+8% (1시간)</t>
        </is>
      </c>
      <c r="G6" s="7" t="inlineStr">
        <is>
          <t>자신 ATK-4%</t>
        </is>
      </c>
    </row>
    <row r="7">
      <c r="A7" s="8" t="inlineStr">
        <is>
          <t>thread_wisdom</t>
        </is>
      </c>
      <c r="B7" s="8" t="inlineStr">
        <is>
          <t>지혜의 실</t>
        </is>
      </c>
      <c r="C7" s="8" t="inlineStr">
        <is>
          <t>🧵🧠</t>
        </is>
      </c>
      <c r="D7" s="8" t="inlineStr">
        <is>
          <t>축복</t>
        </is>
      </c>
      <c r="E7" s="8" t="inlineStr">
        <is>
          <t>T2/5,000G</t>
        </is>
      </c>
      <c r="F7" s="8" t="inlineStr">
        <is>
          <t>EXP+15% (1시간)</t>
        </is>
      </c>
      <c r="G7" s="8" t="inlineStr">
        <is>
          <t>자신 EXP-5%</t>
        </is>
      </c>
    </row>
    <row r="8">
      <c r="A8" s="7" t="inlineStr">
        <is>
          <t>thread_guardian</t>
        </is>
      </c>
      <c r="B8" s="7" t="inlineStr">
        <is>
          <t>수호의 실</t>
        </is>
      </c>
      <c r="C8" s="7" t="inlineStr">
        <is>
          <t>🧵🛡️</t>
        </is>
      </c>
      <c r="D8" s="7" t="inlineStr">
        <is>
          <t>축복</t>
        </is>
      </c>
      <c r="E8" s="7" t="inlineStr">
        <is>
          <t>T2/6,000G</t>
        </is>
      </c>
      <c r="F8" s="7" t="inlineStr">
        <is>
          <t>DEF+12%+재생3 (1시간)</t>
        </is>
      </c>
      <c r="G8" s="7" t="inlineStr">
        <is>
          <t>자신 DEF-5%</t>
        </is>
      </c>
    </row>
    <row r="9">
      <c r="A9" s="8" t="inlineStr">
        <is>
          <t>thread_miracle</t>
        </is>
      </c>
      <c r="B9" s="8" t="inlineStr">
        <is>
          <t>기적의 실</t>
        </is>
      </c>
      <c r="C9" s="8" t="inlineStr">
        <is>
          <t>🧵🌟</t>
        </is>
      </c>
      <c r="D9" s="8" t="inlineStr">
        <is>
          <t>축복</t>
        </is>
      </c>
      <c r="E9" s="8" t="inlineStr">
        <is>
          <t>T3/15,000G</t>
        </is>
      </c>
      <c r="F9" s="8" t="inlineStr">
        <is>
          <t>ALL+8 (2시간)</t>
        </is>
      </c>
      <c r="G9" s="8" t="inlineStr">
        <is>
          <t>자신 ALL-3</t>
        </is>
      </c>
    </row>
    <row r="10">
      <c r="A10" s="7" t="inlineStr"/>
      <c r="B10" s="7" t="inlineStr"/>
      <c r="C10" s="7" t="inlineStr"/>
      <c r="D10" s="7" t="inlineStr"/>
      <c r="E10" s="7" t="inlineStr"/>
      <c r="F10" s="7" t="inlineStr"/>
      <c r="G10" s="7" t="inlineStr"/>
    </row>
    <row r="11">
      <c r="A11" s="8">
        <f>== 저주 실 (4종) ===</f>
        <v/>
      </c>
      <c r="B11" s="8" t="inlineStr"/>
      <c r="C11" s="8" t="inlineStr"/>
      <c r="D11" s="8" t="inlineStr"/>
      <c r="E11" s="8" t="inlineStr"/>
      <c r="F11" s="8" t="inlineStr"/>
      <c r="G11" s="8" t="inlineStr"/>
    </row>
    <row r="12">
      <c r="A12" s="7" t="inlineStr">
        <is>
          <t>thread_misfortune</t>
        </is>
      </c>
      <c r="B12" s="7" t="inlineStr">
        <is>
          <t>불운의 실</t>
        </is>
      </c>
      <c r="C12" s="7" t="inlineStr">
        <is>
          <t>🧵💀</t>
        </is>
      </c>
      <c r="D12" s="7" t="inlineStr">
        <is>
          <t>저주</t>
        </is>
      </c>
      <c r="E12" s="7" t="inlineStr">
        <is>
          <t>T1/2,000G</t>
        </is>
      </c>
      <c r="F12" s="7" t="inlineStr">
        <is>
          <t>골드-10% (30분)</t>
        </is>
      </c>
      <c r="G12" s="7" t="inlineStr">
        <is>
          <t>자신 골드-15% / 카르마-5</t>
        </is>
      </c>
    </row>
    <row r="13">
      <c r="A13" s="8" t="inlineStr">
        <is>
          <t>thread_weakness</t>
        </is>
      </c>
      <c r="B13" s="8" t="inlineStr">
        <is>
          <t>쇠약의 실</t>
        </is>
      </c>
      <c r="C13" s="8" t="inlineStr">
        <is>
          <t>🧵😰</t>
        </is>
      </c>
      <c r="D13" s="8" t="inlineStr">
        <is>
          <t>저주</t>
        </is>
      </c>
      <c r="E13" s="8" t="inlineStr">
        <is>
          <t>T1/3,000G</t>
        </is>
      </c>
      <c r="F13" s="8" t="inlineStr">
        <is>
          <t>ATK-10% (30분)</t>
        </is>
      </c>
      <c r="G13" s="8" t="inlineStr">
        <is>
          <t>자신 ATK-12% / 카르마-5</t>
        </is>
      </c>
    </row>
    <row r="14">
      <c r="A14" s="7" t="inlineStr">
        <is>
          <t>thread_confusion</t>
        </is>
      </c>
      <c r="B14" s="7" t="inlineStr">
        <is>
          <t>혼란의 실</t>
        </is>
      </c>
      <c r="C14" s="7" t="inlineStr">
        <is>
          <t>🧵🌀</t>
        </is>
      </c>
      <c r="D14" s="7" t="inlineStr">
        <is>
          <t>저주</t>
        </is>
      </c>
      <c r="E14" s="7" t="inlineStr">
        <is>
          <t>T2/5,000G</t>
        </is>
      </c>
      <c r="F14" s="7" t="inlineStr">
        <is>
          <t>명중-15% (30분)</t>
        </is>
      </c>
      <c r="G14" s="7" t="inlineStr">
        <is>
          <t>자신 명중-20% / 카르마-10</t>
        </is>
      </c>
    </row>
    <row r="15">
      <c r="A15" s="8" t="inlineStr">
        <is>
          <t>thread_decay</t>
        </is>
      </c>
      <c r="B15" s="8" t="inlineStr">
        <is>
          <t>부식의 실</t>
        </is>
      </c>
      <c r="C15" s="8" t="inlineStr">
        <is>
          <t>🧵🦠</t>
        </is>
      </c>
      <c r="D15" s="8" t="inlineStr">
        <is>
          <t>저주</t>
        </is>
      </c>
      <c r="E15" s="8" t="inlineStr">
        <is>
          <t>T3/12,000G</t>
        </is>
      </c>
      <c r="F15" s="8" t="inlineStr">
        <is>
          <t>HP드레인+DEF-15% (30분)</t>
        </is>
      </c>
      <c r="G15" s="8" t="inlineStr">
        <is>
          <t>자신 HP드레인3 / 카르마-15</t>
        </is>
      </c>
    </row>
    <row r="16">
      <c r="A16" s="7" t="inlineStr"/>
      <c r="B16" s="7" t="inlineStr"/>
      <c r="C16" s="7" t="inlineStr"/>
      <c r="D16" s="7" t="inlineStr"/>
      <c r="E16" s="7" t="inlineStr"/>
      <c r="F16" s="7" t="inlineStr"/>
      <c r="G16" s="7" t="inlineStr"/>
    </row>
    <row r="17">
      <c r="A17" s="8">
        <f>== 운명 변조 (2종) ===</f>
        <v/>
      </c>
      <c r="B17" s="8" t="inlineStr"/>
      <c r="C17" s="8" t="inlineStr"/>
      <c r="D17" s="8" t="inlineStr"/>
      <c r="E17" s="8" t="inlineStr"/>
      <c r="F17" s="8" t="inlineStr"/>
      <c r="G17" s="8" t="inlineStr"/>
    </row>
    <row r="18">
      <c r="A18" s="7" t="inlineStr">
        <is>
          <t>thread_swap</t>
        </is>
      </c>
      <c r="B18" s="7" t="inlineStr">
        <is>
          <t>운명 교환</t>
        </is>
      </c>
      <c r="C18" s="7" t="inlineStr">
        <is>
          <t>🧵🔄</t>
        </is>
      </c>
      <c r="D18" s="7" t="inlineStr">
        <is>
          <t>운명</t>
        </is>
      </c>
      <c r="E18" s="7" t="inlineStr">
        <is>
          <t>T3/20,000G</t>
        </is>
      </c>
      <c r="F18" s="7" t="inlineStr">
        <is>
          <t>자신↔대상 버프/디버프 교환</t>
        </is>
      </c>
      <c r="G18" s="7" t="inlineStr">
        <is>
          <t>반작용 없음</t>
        </is>
      </c>
    </row>
    <row r="19">
      <c r="A19" s="8" t="inlineStr">
        <is>
          <t>thread_mirror</t>
        </is>
      </c>
      <c r="B19" s="8" t="inlineStr">
        <is>
          <t>거울 운명</t>
        </is>
      </c>
      <c r="C19" s="8" t="inlineStr">
        <is>
          <t>🧵🪞</t>
        </is>
      </c>
      <c r="D19" s="8" t="inlineStr">
        <is>
          <t>운명</t>
        </is>
      </c>
      <c r="E19" s="8" t="inlineStr">
        <is>
          <t>T3/25,000G</t>
        </is>
      </c>
      <c r="F19" s="8" t="inlineStr">
        <is>
          <t>대상 버프/디버프 자신도 동시 (1시간)</t>
        </is>
      </c>
      <c r="G19" s="8" t="inlineStr">
        <is>
          <t>반작용 없음</t>
        </is>
      </c>
    </row>
    <row r="20">
      <c r="A20" s="7" t="inlineStr"/>
      <c r="B20" s="7" t="inlineStr"/>
      <c r="C20" s="7" t="inlineStr"/>
      <c r="D20" s="7" t="inlineStr"/>
      <c r="E20" s="7" t="inlineStr"/>
      <c r="F20" s="7" t="inlineStr"/>
      <c r="G20" s="7" t="inlineStr"/>
    </row>
    <row r="21">
      <c r="A21" s="8">
        <f>== 시스템 ===</f>
        <v/>
      </c>
      <c r="B21" s="8" t="inlineStr"/>
      <c r="C21" s="8" t="inlineStr"/>
      <c r="D21" s="8" t="inlineStr"/>
      <c r="E21" s="8" t="inlineStr"/>
      <c r="F21" s="8" t="inlineStr"/>
      <c r="G21" s="8" t="inlineStr"/>
    </row>
    <row r="22">
      <c r="A22" s="7" t="inlineStr">
        <is>
          <t>예언</t>
        </is>
      </c>
      <c r="B22" s="7" t="inlineStr">
        <is>
          <t>1일 1회 운명 열람</t>
        </is>
      </c>
      <c r="C22" s="7" t="inlineStr">
        <is>
          <t>🔮</t>
        </is>
      </c>
      <c r="D22" s="7" t="inlineStr">
        <is>
          <t>10종 랜덤 예언</t>
        </is>
      </c>
      <c r="E22" s="7" t="inlineStr"/>
      <c r="F22" s="7" t="inlineStr">
        <is>
          <t>큰 전투, 행운, 배신 등</t>
        </is>
      </c>
      <c r="G22" s="7" t="inlineStr"/>
    </row>
    <row r="23">
      <c r="A23" s="8" t="inlineStr">
        <is>
          <t>등급</t>
        </is>
      </c>
      <c r="B23" s="8" t="inlineStr">
        <is>
          <t>실뽑기→견습직공→운명직공→운명조종자→운명의지배자</t>
        </is>
      </c>
      <c r="C23" s="8" t="inlineStr"/>
      <c r="D23" s="8" t="inlineStr">
        <is>
          <t>0/10/30/60/100회</t>
        </is>
      </c>
      <c r="E23" s="8" t="inlineStr"/>
      <c r="F23" s="8" t="inlineStr">
        <is>
          <t>직조 횟수 기반</t>
        </is>
      </c>
      <c r="G23" s="8" t="inlineStr"/>
    </row>
    <row r="24">
      <c r="A24" s="7" t="inlineStr">
        <is>
          <t>규칙</t>
        </is>
      </c>
      <c r="B24" s="7" t="inlineStr">
        <is>
          <t>저주 시 카르마 감소</t>
        </is>
      </c>
      <c r="C24" s="7" t="inlineStr"/>
      <c r="D24" s="7" t="inlineStr">
        <is>
          <t>축복은 자신에게도 사용 가능</t>
        </is>
      </c>
      <c r="E24" s="7" t="inlineStr"/>
      <c r="F24" s="7" t="inlineStr">
        <is>
          <t>반작용: 저주 강도에 비례한 디버프가 시전자에게도</t>
        </is>
      </c>
      <c r="G24" s="7" t="inlineStr"/>
    </row>
  </sheetData>
  <mergeCells count="1">
    <mergeCell ref="A1:G1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32" customWidth="1" min="9" max="9"/>
    <col width="28" customWidth="1" min="10" max="10"/>
    <col width="10" customWidth="1" min="11" max="11"/>
    <col width="24" customWidth="1" min="12" max="12"/>
    <col width="8" customWidth="1" min="13" max="13"/>
  </cols>
  <sheetData>
    <row r="1">
      <c r="A1" s="5" t="inlineStr">
        <is>
          <t>드래곤 라이딩 시스템 (v2.57)</t>
        </is>
      </c>
    </row>
    <row r="3">
      <c r="A3" s="6" t="inlineStr">
        <is>
          <t>드래곤ID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속성</t>
        </is>
      </c>
      <c r="E3" s="6" t="inlineStr">
        <is>
          <t>HP</t>
        </is>
      </c>
      <c r="F3" s="6" t="inlineStr">
        <is>
          <t>ATK</t>
        </is>
      </c>
      <c r="G3" s="6" t="inlineStr">
        <is>
          <t>DEF</t>
        </is>
      </c>
      <c r="H3" s="6" t="inlineStr">
        <is>
          <t>SPD</t>
        </is>
      </c>
      <c r="I3" s="6" t="inlineStr">
        <is>
          <t>브레스</t>
        </is>
      </c>
      <c r="J3" s="6" t="inlineStr">
        <is>
          <t>패시브</t>
        </is>
      </c>
      <c r="K3" s="6" t="inlineStr">
        <is>
          <t>레어도</t>
        </is>
      </c>
      <c r="L3" s="6" t="inlineStr">
        <is>
          <t>알 획득 방법</t>
        </is>
      </c>
      <c r="M3" s="6" t="inlineStr">
        <is>
          <t>드롭률</t>
        </is>
      </c>
    </row>
    <row r="4">
      <c r="A4" s="7" t="inlineStr">
        <is>
          <t>fire</t>
        </is>
      </c>
      <c r="B4" s="7" t="inlineStr">
        <is>
          <t>화염룡 이그니스</t>
        </is>
      </c>
      <c r="C4" s="7" t="inlineStr">
        <is>
          <t>🔥</t>
        </is>
      </c>
      <c r="D4" s="7" t="inlineStr">
        <is>
          <t>화(火)</t>
        </is>
      </c>
      <c r="E4" s="7" t="n">
        <v>800</v>
      </c>
      <c r="F4" s="7" t="n">
        <v>120</v>
      </c>
      <c r="G4" s="7" t="n">
        <v>60</v>
      </c>
      <c r="H4" s="7" t="n">
        <v>14</v>
      </c>
      <c r="I4" s="7" t="inlineStr">
        <is>
          <t>화염 브레스 (ATK×3 화염)</t>
        </is>
      </c>
      <c r="J4" s="7" t="inlineStr">
        <is>
          <t>화 속성 데미지 +30%</t>
        </is>
      </c>
      <c r="K4" s="7" t="inlineStr">
        <is>
          <t>Rare</t>
        </is>
      </c>
      <c r="L4" s="7" t="inlineStr">
        <is>
          <t>용의 둥지 (화산 지역) 보스</t>
        </is>
      </c>
      <c r="M4" s="7" t="inlineStr">
        <is>
          <t>8%</t>
        </is>
      </c>
    </row>
    <row r="5">
      <c r="A5" s="8" t="inlineStr">
        <is>
          <t>ice</t>
        </is>
      </c>
      <c r="B5" s="8" t="inlineStr">
        <is>
          <t>빙결룡 프로스트</t>
        </is>
      </c>
      <c r="C5" s="8" t="inlineStr">
        <is>
          <t>❄️</t>
        </is>
      </c>
      <c r="D5" s="8" t="inlineStr">
        <is>
          <t>빙(氷)</t>
        </is>
      </c>
      <c r="E5" s="8" t="n">
        <v>900</v>
      </c>
      <c r="F5" s="8" t="n">
        <v>90</v>
      </c>
      <c r="G5" s="8" t="n">
        <v>100</v>
      </c>
      <c r="H5" s="8" t="n">
        <v>11</v>
      </c>
      <c r="I5" s="8" t="inlineStr">
        <is>
          <t>냉기 브레스 (동결3초+ATK×2)</t>
        </is>
      </c>
      <c r="J5" s="8" t="inlineStr">
        <is>
          <t>빙 저항+50%, 적 이속-20%</t>
        </is>
      </c>
      <c r="K5" s="8" t="inlineStr">
        <is>
          <t>Rare</t>
        </is>
      </c>
      <c r="L5" s="8" t="inlineStr">
        <is>
          <t>빙하 동굴 보스</t>
        </is>
      </c>
      <c r="M5" s="8" t="inlineStr">
        <is>
          <t>8%</t>
        </is>
      </c>
    </row>
    <row r="6">
      <c r="A6" s="7" t="inlineStr">
        <is>
          <t>thunder</t>
        </is>
      </c>
      <c r="B6" s="7" t="inlineStr">
        <is>
          <t>뇌전룡 볼텍스</t>
        </is>
      </c>
      <c r="C6" s="7" t="inlineStr">
        <is>
          <t>⚡</t>
        </is>
      </c>
      <c r="D6" s="7" t="inlineStr">
        <is>
          <t>뇌(雷)</t>
        </is>
      </c>
      <c r="E6" s="7" t="n">
        <v>700</v>
      </c>
      <c r="F6" s="7" t="n">
        <v>140</v>
      </c>
      <c r="G6" s="7" t="n">
        <v>50</v>
      </c>
      <c r="H6" s="7" t="n">
        <v>20</v>
      </c>
      <c r="I6" s="7" t="inlineStr">
        <is>
          <t>뇌전 브레스 (랜덤3체 ATK×2.5)</t>
        </is>
      </c>
      <c r="J6" s="7" t="inlineStr">
        <is>
          <t>공속+40%, 크리+15%</t>
        </is>
      </c>
      <c r="K6" s="7" t="inlineStr">
        <is>
          <t>Rare</t>
        </is>
      </c>
      <c r="L6" s="7" t="inlineStr">
        <is>
          <t>뇌운 봉우리 보스</t>
        </is>
      </c>
      <c r="M6" s="7" t="inlineStr">
        <is>
          <t>8%</t>
        </is>
      </c>
    </row>
    <row r="7">
      <c r="A7" s="8" t="inlineStr">
        <is>
          <t>shadow</t>
        </is>
      </c>
      <c r="B7" s="8" t="inlineStr">
        <is>
          <t>암흑룡 네크로스</t>
        </is>
      </c>
      <c r="C7" s="8" t="inlineStr">
        <is>
          <t>🌑</t>
        </is>
      </c>
      <c r="D7" s="8" t="inlineStr">
        <is>
          <t>암(暗)</t>
        </is>
      </c>
      <c r="E7" s="8" t="n">
        <v>850</v>
      </c>
      <c r="F7" s="8" t="n">
        <v>110</v>
      </c>
      <c r="G7" s="8" t="n">
        <v>80</v>
      </c>
      <c r="H7" s="8" t="n">
        <v>13</v>
      </c>
      <c r="I7" s="8" t="inlineStr">
        <is>
          <t>암흑 브레스 (HP흡수 ATK×2+공포2초)</t>
        </is>
      </c>
      <c r="J7" s="8" t="inlineStr">
        <is>
          <t>암 속성+25%, 흡혈+10%</t>
        </is>
      </c>
      <c r="K7" s="8" t="inlineStr">
        <is>
          <t>Epic</t>
        </is>
      </c>
      <c r="L7" s="8" t="inlineStr">
        <is>
          <t>암흑 심연 보스</t>
        </is>
      </c>
      <c r="M7" s="8" t="inlineStr">
        <is>
          <t>5%</t>
        </is>
      </c>
    </row>
    <row r="8">
      <c r="A8" s="7" t="inlineStr">
        <is>
          <t>holy</t>
        </is>
      </c>
      <c r="B8" s="7" t="inlineStr">
        <is>
          <t>성룡 아우렐리우스</t>
        </is>
      </c>
      <c r="C8" s="7" t="inlineStr">
        <is>
          <t>✨</t>
        </is>
      </c>
      <c r="D8" s="7" t="inlineStr">
        <is>
          <t>광(光)</t>
        </is>
      </c>
      <c r="E8" s="7" t="n">
        <v>1000</v>
      </c>
      <c r="F8" s="7" t="n">
        <v>100</v>
      </c>
      <c r="G8" s="7" t="n">
        <v>90</v>
      </c>
      <c r="H8" s="7" t="n">
        <v>15</v>
      </c>
      <c r="I8" s="7" t="inlineStr">
        <is>
          <t>성광 브레스 (ATK×2 광역+아군HP15%회복)</t>
        </is>
      </c>
      <c r="J8" s="7" t="inlineStr">
        <is>
          <t>광 속성+20%, 자동회복3%/초</t>
        </is>
      </c>
      <c r="K8" s="7" t="inlineStr">
        <is>
          <t>Epic</t>
        </is>
      </c>
      <c r="L8" s="7" t="inlineStr">
        <is>
          <t>천상 신전 보스</t>
        </is>
      </c>
      <c r="M8" s="7" t="inlineStr">
        <is>
          <t>5%</t>
        </is>
      </c>
    </row>
    <row r="9">
      <c r="A9" s="8" t="inlineStr">
        <is>
          <t>earth</t>
        </is>
      </c>
      <c r="B9" s="8" t="inlineStr">
        <is>
          <t>대지룡 테라</t>
        </is>
      </c>
      <c r="C9" s="8" t="inlineStr">
        <is>
          <t>🌍</t>
        </is>
      </c>
      <c r="D9" s="8" t="inlineStr">
        <is>
          <t>지(地)</t>
        </is>
      </c>
      <c r="E9" s="8" t="n">
        <v>1200</v>
      </c>
      <c r="F9" s="8" t="n">
        <v>80</v>
      </c>
      <c r="G9" s="8" t="n">
        <v>130</v>
      </c>
      <c r="H9" s="8" t="n">
        <v>9</v>
      </c>
      <c r="I9" s="8" t="inlineStr">
        <is>
          <t>지진 브레스 (주변 ATK×2+스턴2초)</t>
        </is>
      </c>
      <c r="J9" s="8" t="inlineStr">
        <is>
          <t>DEF+40%, 넉백 면역</t>
        </is>
      </c>
      <c r="K9" s="8" t="inlineStr">
        <is>
          <t>Rare</t>
        </is>
      </c>
      <c r="L9" s="8" t="inlineStr">
        <is>
          <t>대지의 심장 보스</t>
        </is>
      </c>
      <c r="M9" s="8" t="inlineStr">
        <is>
          <t>8%</t>
        </is>
      </c>
    </row>
    <row r="10">
      <c r="A10" s="7" t="inlineStr">
        <is>
          <t>void</t>
        </is>
      </c>
      <c r="B10" s="7" t="inlineStr">
        <is>
          <t>공허룡 아비스</t>
        </is>
      </c>
      <c r="C10" s="7" t="inlineStr">
        <is>
          <t>🕳️</t>
        </is>
      </c>
      <c r="D10" s="7" t="inlineStr">
        <is>
          <t>공허</t>
        </is>
      </c>
      <c r="E10" s="7" t="n">
        <v>750</v>
      </c>
      <c r="F10" s="7" t="n">
        <v>160</v>
      </c>
      <c r="G10" s="7" t="n">
        <v>40</v>
      </c>
      <c r="H10" s="7" t="n">
        <v>18</v>
      </c>
      <c r="I10" s="7" t="inlineStr">
        <is>
          <t>공허 브레스 (현재HP 20% 삭제)</t>
        </is>
      </c>
      <c r="J10" s="7" t="inlineStr">
        <is>
          <t>전속성 저항+15%, 회피+10%</t>
        </is>
      </c>
      <c r="K10" s="7" t="inlineStr">
        <is>
          <t>Legendary</t>
        </is>
      </c>
      <c r="L10" s="7" t="inlineStr">
        <is>
          <t>차원의 틈 보스 (Lv.40+)</t>
        </is>
      </c>
      <c r="M10" s="7" t="inlineStr">
        <is>
          <t>3%</t>
        </is>
      </c>
    </row>
    <row r="11">
      <c r="A11" s="8" t="inlineStr">
        <is>
          <t>chaos</t>
        </is>
      </c>
      <c r="B11" s="8" t="inlineStr">
        <is>
          <t>혼돈룡 카오스</t>
        </is>
      </c>
      <c r="C11" s="8" t="inlineStr">
        <is>
          <t>🌀</t>
        </is>
      </c>
      <c r="D11" s="8" t="inlineStr">
        <is>
          <t>혼돈</t>
        </is>
      </c>
      <c r="E11" s="8" t="n">
        <v>1000</v>
      </c>
      <c r="F11" s="8" t="n">
        <v>130</v>
      </c>
      <c r="G11" s="8" t="n">
        <v>70</v>
      </c>
      <c r="H11" s="8" t="n">
        <v>16</v>
      </c>
      <c r="I11" s="8" t="inlineStr">
        <is>
          <t>혼돈 브레스 (랜덤속성 ATK×4+랜덤 버프/디버프)</t>
        </is>
      </c>
      <c r="J11" s="8" t="inlineStr">
        <is>
          <t>전체 스탯+15%, 매10초 랜덤 강력 버프</t>
        </is>
      </c>
      <c r="K11" s="8" t="inlineStr">
        <is>
          <t>Mythic</t>
        </is>
      </c>
      <c r="L11" s="8" t="inlineStr">
        <is>
          <t>7종 드래곤 만렙 달성 보상</t>
        </is>
      </c>
      <c r="M11" s="8" t="inlineStr">
        <is>
          <t>자동 해금</t>
        </is>
      </c>
    </row>
  </sheetData>
  <mergeCells count="1">
    <mergeCell ref="A1:M1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" customWidth="1" min="3" max="3"/>
    <col width="14" customWidth="1" min="4" max="4"/>
    <col width="16" customWidth="1" min="5" max="5"/>
    <col width="20" customWidth="1" min="6" max="6"/>
    <col width="32" customWidth="1" min="7" max="7"/>
  </cols>
  <sheetData>
    <row r="1">
      <c r="A1" s="5" t="inlineStr">
        <is>
          <t>드래곤 성장 &amp; 비행 스킬 상세</t>
        </is>
      </c>
    </row>
    <row r="3">
      <c r="A3" s="6" t="inlineStr">
        <is>
          <t>항목</t>
        </is>
      </c>
      <c r="B3" s="6" t="inlineStr">
        <is>
          <t>단계명</t>
        </is>
      </c>
      <c r="C3" s="6" t="inlineStr">
        <is>
          <t>아이콘</t>
        </is>
      </c>
      <c r="D3" s="6" t="inlineStr">
        <is>
          <t>필요 레벨</t>
        </is>
      </c>
      <c r="E3" s="6" t="inlineStr">
        <is>
          <t>필요 먹이 횟수</t>
        </is>
      </c>
      <c r="F3" s="6" t="inlineStr">
        <is>
          <t>스탯 배율</t>
        </is>
      </c>
      <c r="G3" s="6" t="inlineStr">
        <is>
          <t>설명</t>
        </is>
      </c>
    </row>
    <row r="4">
      <c r="A4" s="7">
        <f>== 성장 단계 (6단계) ===</f>
        <v/>
      </c>
      <c r="B4" s="7" t="inlineStr"/>
      <c r="C4" s="7" t="inlineStr"/>
      <c r="D4" s="7" t="inlineStr"/>
      <c r="E4" s="7" t="inlineStr"/>
      <c r="F4" s="7" t="inlineStr"/>
      <c r="G4" s="7" t="inlineStr"/>
    </row>
    <row r="5">
      <c r="A5" s="8" t="inlineStr">
        <is>
          <t>0</t>
        </is>
      </c>
      <c r="B5" s="8" t="inlineStr">
        <is>
          <t>알</t>
        </is>
      </c>
      <c r="C5" s="8" t="inlineStr">
        <is>
          <t>🥚</t>
        </is>
      </c>
      <c r="D5" s="8" t="n">
        <v>0</v>
      </c>
      <c r="E5" s="8" t="n">
        <v>0</v>
      </c>
      <c r="F5" s="8" t="inlineStr">
        <is>
          <t>0x</t>
        </is>
      </c>
      <c r="G5" s="8" t="inlineStr">
        <is>
          <t>부화를 기다리는 알</t>
        </is>
      </c>
    </row>
    <row r="6">
      <c r="A6" s="7" t="inlineStr">
        <is>
          <t>1</t>
        </is>
      </c>
      <c r="B6" s="7" t="inlineStr">
        <is>
          <t>해츨링</t>
        </is>
      </c>
      <c r="C6" s="7" t="inlineStr">
        <is>
          <t>🐣</t>
        </is>
      </c>
      <c r="D6" s="7" t="n">
        <v>1</v>
      </c>
      <c r="E6" s="7" t="n">
        <v>10</v>
      </c>
      <c r="F6" s="7" t="inlineStr">
        <is>
          <t>0.3x</t>
        </is>
      </c>
      <c r="G6" s="7" t="inlineStr">
        <is>
          <t>갓 태어난 아기 용</t>
        </is>
      </c>
    </row>
    <row r="7">
      <c r="A7" s="8" t="inlineStr">
        <is>
          <t>2</t>
        </is>
      </c>
      <c r="B7" s="8" t="inlineStr">
        <is>
          <t>유룡</t>
        </is>
      </c>
      <c r="C7" s="8" t="inlineStr">
        <is>
          <t>🐉</t>
        </is>
      </c>
      <c r="D7" s="8" t="n">
        <v>5</v>
      </c>
      <c r="E7" s="8" t="n">
        <v>30</v>
      </c>
      <c r="F7" s="8" t="inlineStr">
        <is>
          <t>0.5x</t>
        </is>
      </c>
      <c r="G7" s="8" t="inlineStr">
        <is>
          <t>날개가 자라기 시작 — 탑승 가능!</t>
        </is>
      </c>
    </row>
    <row r="8">
      <c r="A8" s="7" t="inlineStr">
        <is>
          <t>3</t>
        </is>
      </c>
      <c r="B8" s="7" t="inlineStr">
        <is>
          <t>성룡</t>
        </is>
      </c>
      <c r="C8" s="7" t="inlineStr">
        <is>
          <t>🐲</t>
        </is>
      </c>
      <c r="D8" s="7" t="n">
        <v>15</v>
      </c>
      <c r="E8" s="7" t="n">
        <v>60</v>
      </c>
      <c r="F8" s="7" t="inlineStr">
        <is>
          <t>0.8x</t>
        </is>
      </c>
      <c r="G8" s="7" t="inlineStr">
        <is>
          <t>하늘을 나는 성체 용</t>
        </is>
      </c>
    </row>
    <row r="9">
      <c r="A9" s="8" t="inlineStr">
        <is>
          <t>4</t>
        </is>
      </c>
      <c r="B9" s="8" t="inlineStr">
        <is>
          <t>고대룡</t>
        </is>
      </c>
      <c r="C9" s="8" t="inlineStr">
        <is>
          <t>👑</t>
        </is>
      </c>
      <c r="D9" s="8" t="n">
        <v>30</v>
      </c>
      <c r="E9" s="8" t="n">
        <v>100</v>
      </c>
      <c r="F9" s="8" t="inlineStr">
        <is>
          <t>1.0x</t>
        </is>
      </c>
      <c r="G9" s="8" t="inlineStr">
        <is>
          <t>수천 년을 살아온 고대의 존재</t>
        </is>
      </c>
    </row>
    <row r="10">
      <c r="A10" s="7" t="inlineStr">
        <is>
          <t>5</t>
        </is>
      </c>
      <c r="B10" s="7" t="inlineStr">
        <is>
          <t>신룡</t>
        </is>
      </c>
      <c r="C10" s="7" t="inlineStr">
        <is>
          <t>⭐</t>
        </is>
      </c>
      <c r="D10" s="7" t="n">
        <v>50</v>
      </c>
      <c r="E10" s="7" t="n">
        <v>200</v>
      </c>
      <c r="F10" s="7" t="inlineStr">
        <is>
          <t>1.5x</t>
        </is>
      </c>
      <c r="G10" s="7" t="inlineStr">
        <is>
          <t>신의 영역에 도달한 전설의 용</t>
        </is>
      </c>
    </row>
    <row r="11">
      <c r="A11" s="8" t="inlineStr"/>
      <c r="B11" s="8" t="inlineStr"/>
      <c r="C11" s="8" t="inlineStr"/>
      <c r="D11" s="8" t="inlineStr"/>
      <c r="E11" s="8" t="inlineStr"/>
      <c r="F11" s="8" t="inlineStr"/>
      <c r="G11" s="8" t="inlineStr"/>
    </row>
    <row r="12">
      <c r="A12" s="7">
        <f>== 먹이 아이템 ===</f>
        <v/>
      </c>
      <c r="B12" s="7" t="inlineStr"/>
      <c r="C12" s="7" t="inlineStr"/>
      <c r="D12" s="7" t="inlineStr"/>
      <c r="E12" s="7" t="inlineStr"/>
      <c r="F12" s="7" t="inlineStr"/>
      <c r="G12" s="7" t="inlineStr"/>
    </row>
    <row r="13">
      <c r="A13" s="8" t="inlineStr">
        <is>
          <t>dragon_meat</t>
        </is>
      </c>
      <c r="B13" s="8" t="inlineStr">
        <is>
          <t>용의 고기</t>
        </is>
      </c>
      <c r="C13" s="8" t="inlineStr"/>
      <c r="D13" s="8" t="inlineStr"/>
      <c r="E13" s="8" t="inlineStr">
        <is>
          <t>EXP 50</t>
        </is>
      </c>
      <c r="F13" s="8" t="inlineStr">
        <is>
          <t>500G</t>
        </is>
      </c>
      <c r="G13" s="8" t="inlineStr">
        <is>
          <t>기본 먹이</t>
        </is>
      </c>
    </row>
    <row r="14">
      <c r="A14" s="7" t="inlineStr">
        <is>
          <t>dragon_crystal</t>
        </is>
      </c>
      <c r="B14" s="7" t="inlineStr">
        <is>
          <t>마력 결정</t>
        </is>
      </c>
      <c r="C14" s="7" t="inlineStr"/>
      <c r="D14" s="7" t="inlineStr"/>
      <c r="E14" s="7" t="inlineStr">
        <is>
          <t>EXP 150</t>
        </is>
      </c>
      <c r="F14" s="7" t="inlineStr">
        <is>
          <t>2,000G</t>
        </is>
      </c>
      <c r="G14" s="7" t="inlineStr">
        <is>
          <t>마력이 응축된 결정</t>
        </is>
      </c>
    </row>
    <row r="15">
      <c r="A15" s="8" t="inlineStr">
        <is>
          <t>dragon_heart</t>
        </is>
      </c>
      <c r="B15" s="8" t="inlineStr">
        <is>
          <t>드래곤 하트</t>
        </is>
      </c>
      <c r="C15" s="8" t="inlineStr"/>
      <c r="D15" s="8" t="inlineStr"/>
      <c r="E15" s="8" t="inlineStr">
        <is>
          <t>EXP 500</t>
        </is>
      </c>
      <c r="F15" s="8" t="inlineStr">
        <is>
          <t>10,000G</t>
        </is>
      </c>
      <c r="G15" s="8" t="inlineStr">
        <is>
          <t>보스 드래곤의 심장</t>
        </is>
      </c>
    </row>
    <row r="16">
      <c r="A16" s="7" t="inlineStr">
        <is>
          <t>dragon_stardust</t>
        </is>
      </c>
      <c r="B16" s="7" t="inlineStr">
        <is>
          <t>별의 먹지</t>
        </is>
      </c>
      <c r="C16" s="7" t="inlineStr"/>
      <c r="D16" s="7" t="inlineStr"/>
      <c r="E16" s="7" t="inlineStr">
        <is>
          <t>EXP 1,000</t>
        </is>
      </c>
      <c r="F16" s="7" t="inlineStr">
        <is>
          <t>이벤트/레이드</t>
        </is>
      </c>
      <c r="G16" s="7" t="inlineStr">
        <is>
          <t>최상급 먹이</t>
        </is>
      </c>
    </row>
    <row r="17">
      <c r="A17" s="8" t="inlineStr"/>
      <c r="B17" s="8" t="inlineStr"/>
      <c r="C17" s="8" t="inlineStr"/>
      <c r="D17" s="8" t="inlineStr"/>
      <c r="E17" s="8" t="inlineStr"/>
      <c r="F17" s="8" t="inlineStr"/>
      <c r="G17" s="8" t="inlineStr"/>
    </row>
    <row r="18">
      <c r="A18" s="7">
        <f>== 비행 스킬 (탑승 시 사용) ===</f>
        <v/>
      </c>
      <c r="B18" s="7" t="inlineStr"/>
      <c r="C18" s="7" t="inlineStr"/>
      <c r="D18" s="7" t="inlineStr"/>
      <c r="E18" s="7" t="inlineStr"/>
      <c r="F18" s="7" t="inlineStr"/>
      <c r="G18" s="7" t="inlineStr"/>
    </row>
    <row r="19">
      <c r="A19" s="8" t="inlineStr">
        <is>
          <t>divebomb</t>
        </is>
      </c>
      <c r="B19" s="8" t="inlineStr">
        <is>
          <t>급강하 폭격</t>
        </is>
      </c>
      <c r="C19" s="8" t="inlineStr"/>
      <c r="D19" s="8" t="inlineStr">
        <is>
          <t>유룡(2단계)</t>
        </is>
      </c>
      <c r="E19" s="8" t="inlineStr">
        <is>
          <t>쿨 15초</t>
        </is>
      </c>
      <c r="F19" s="8" t="inlineStr">
        <is>
          <t>ATK×5 단일+스턴2초</t>
        </is>
      </c>
      <c r="G19" s="8" t="inlineStr"/>
    </row>
    <row r="20">
      <c r="A20" s="7" t="inlineStr">
        <is>
          <t>wingblade</t>
        </is>
      </c>
      <c r="B20" s="7" t="inlineStr">
        <is>
          <t>날개 칼바람</t>
        </is>
      </c>
      <c r="C20" s="7" t="inlineStr"/>
      <c r="D20" s="7" t="inlineStr">
        <is>
          <t>해츨링(1단계)</t>
        </is>
      </c>
      <c r="E20" s="7" t="inlineStr">
        <is>
          <t>쿨 10초</t>
        </is>
      </c>
      <c r="F20" s="7" t="inlineStr">
        <is>
          <t>주변 ATK×2 광역</t>
        </is>
      </c>
      <c r="G20" s="7" t="inlineStr"/>
    </row>
    <row r="21">
      <c r="A21" s="8" t="inlineStr">
        <is>
          <t>skydance</t>
        </is>
      </c>
      <c r="B21" s="8" t="inlineStr">
        <is>
          <t>하늘춤</t>
        </is>
      </c>
      <c r="C21" s="8" t="inlineStr"/>
      <c r="D21" s="8" t="inlineStr">
        <is>
          <t>성룡(3단계)</t>
        </is>
      </c>
      <c r="E21" s="8" t="inlineStr">
        <is>
          <t>쿨 20초</t>
        </is>
      </c>
      <c r="F21" s="8" t="inlineStr">
        <is>
          <t>5초 무적+회피100%</t>
        </is>
      </c>
      <c r="G21" s="8" t="inlineStr"/>
    </row>
    <row r="22">
      <c r="A22" s="7" t="inlineStr">
        <is>
          <t>dragonroar</t>
        </is>
      </c>
      <c r="B22" s="7" t="inlineStr">
        <is>
          <t>용의 포효</t>
        </is>
      </c>
      <c r="C22" s="7" t="inlineStr"/>
      <c r="D22" s="7" t="inlineStr">
        <is>
          <t>고대룡(4단계)</t>
        </is>
      </c>
      <c r="E22" s="7" t="inlineStr">
        <is>
          <t>쿨 30초</t>
        </is>
      </c>
      <c r="F22" s="7" t="inlineStr">
        <is>
          <t>적 전원 공포3초+DEF-30%</t>
        </is>
      </c>
      <c r="G22" s="7" t="inlineStr"/>
    </row>
    <row r="23">
      <c r="A23" s="8" t="inlineStr">
        <is>
          <t>dracosurge</t>
        </is>
      </c>
      <c r="B23" s="8" t="inlineStr">
        <is>
          <t>드래곤 서지</t>
        </is>
      </c>
      <c r="C23" s="8" t="inlineStr"/>
      <c r="D23" s="8" t="inlineStr">
        <is>
          <t>신룡(5단계)</t>
        </is>
      </c>
      <c r="E23" s="8" t="inlineStr">
        <is>
          <t>쿨 60초</t>
        </is>
      </c>
      <c r="F23" s="8" t="inlineStr">
        <is>
          <t>30초간 스탯2배+브레스 강화</t>
        </is>
      </c>
      <c r="G23" s="8" t="inlineStr"/>
    </row>
    <row r="24">
      <c r="A24" s="7" t="inlineStr"/>
      <c r="B24" s="7" t="inlineStr"/>
      <c r="C24" s="7" t="inlineStr"/>
      <c r="D24" s="7" t="inlineStr"/>
      <c r="E24" s="7" t="inlineStr"/>
      <c r="F24" s="7" t="inlineStr"/>
      <c r="G24" s="7" t="inlineStr"/>
    </row>
    <row r="25">
      <c r="A25" s="8">
        <f>== 친밀도 ===</f>
        <v/>
      </c>
      <c r="B25" s="8" t="inlineStr"/>
      <c r="C25" s="8" t="inlineStr"/>
      <c r="D25" s="8" t="inlineStr"/>
      <c r="E25" s="8" t="inlineStr"/>
      <c r="F25" s="8" t="inlineStr"/>
      <c r="G25" s="8" t="inlineStr"/>
    </row>
    <row r="26">
      <c r="A26" s="7" t="inlineStr">
        <is>
          <t>시스템</t>
        </is>
      </c>
      <c r="B26" s="7" t="inlineStr">
        <is>
          <t>먹이 1회당 +1 (최대 100)</t>
        </is>
      </c>
      <c r="C26" s="7" t="inlineStr"/>
      <c r="D26" s="7" t="inlineStr">
        <is>
          <t>친밀도 50+시 allStats 보너스</t>
        </is>
      </c>
      <c r="E26" s="7" t="inlineStr"/>
      <c r="F26" s="7" t="inlineStr">
        <is>
          <t>보너스 = (친밀도-50) × 0.001</t>
        </is>
      </c>
      <c r="G26" s="7" t="inlineStr">
        <is>
          <t>레벨업 시 스탯 × (1 + 레벨×0.03) × (1 + 친밀도×0.002)</t>
        </is>
      </c>
    </row>
  </sheetData>
  <mergeCells count="1">
    <mergeCell ref="A1:G1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" customWidth="1" min="3" max="3"/>
    <col width="10" customWidth="1" min="4" max="4"/>
    <col width="8" customWidth="1" min="5" max="5"/>
    <col width="8" customWidth="1" min="6" max="6"/>
    <col width="40" customWidth="1" min="7" max="7"/>
    <col width="22" customWidth="1" min="8" max="8"/>
    <col width="14" customWidth="1" min="9" max="9"/>
    <col width="22" customWidth="1" min="10" max="10"/>
    <col width="28" customWidth="1" min="11" max="11"/>
  </cols>
  <sheetData>
    <row r="1">
      <c r="A1" s="5" t="inlineStr">
        <is>
          <t>드래곤 레이드 보스</t>
        </is>
      </c>
    </row>
    <row r="3">
      <c r="A3" s="6" t="inlineStr">
        <is>
          <t>보스ID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HP</t>
        </is>
      </c>
      <c r="E3" s="6" t="inlineStr">
        <is>
          <t>ATK</t>
        </is>
      </c>
      <c r="F3" s="6" t="inlineStr">
        <is>
          <t>DEF</t>
        </is>
      </c>
      <c r="G3" s="6" t="inlineStr">
        <is>
          <t>기믹</t>
        </is>
      </c>
      <c r="H3" s="6" t="inlineStr">
        <is>
          <t>보상</t>
        </is>
      </c>
      <c r="I3" s="6" t="inlineStr">
        <is>
          <t>필요 드래곤 수</t>
        </is>
      </c>
      <c r="J3" s="6" t="inlineStr">
        <is>
          <t>특수 드롭</t>
        </is>
      </c>
      <c r="K3" s="6" t="inlineStr">
        <is>
          <t>드롭 효과</t>
        </is>
      </c>
    </row>
    <row r="4">
      <c r="A4" s="7" t="inlineStr">
        <is>
          <t>ancient_wyrm</t>
        </is>
      </c>
      <c r="B4" s="7" t="inlineStr">
        <is>
          <t>태고의 대사 요르문간드</t>
        </is>
      </c>
      <c r="C4" s="7" t="inlineStr">
        <is>
          <t>🐍</t>
        </is>
      </c>
      <c r="D4" s="7" t="n">
        <v>500000</v>
      </c>
      <c r="E4" s="7" t="n">
        <v>800</v>
      </c>
      <c r="F4" s="7" t="n">
        <v>300</v>
      </c>
      <c r="G4" s="7" t="inlineStr">
        <is>
          <t>독 안개(전체DOT), 꼬리 휩쓸기(넉백), 삼킴(즉사판정)</t>
        </is>
      </c>
      <c r="H4" s="7" t="inlineStr">
        <is>
          <t>50,000G + 차원석20</t>
        </is>
      </c>
      <c r="I4" s="7" t="inlineStr">
        <is>
          <t>3마리 이상</t>
        </is>
      </c>
      <c r="J4" s="7" t="inlineStr">
        <is>
          <t>요르문간드의 비늘 갑옷</t>
        </is>
      </c>
      <c r="K4" s="7" t="inlineStr">
        <is>
          <t>DEF+80, HP+300, 독저항+50%</t>
        </is>
      </c>
    </row>
    <row r="5">
      <c r="A5" s="8" t="inlineStr">
        <is>
          <t>sky_titan</t>
        </is>
      </c>
      <c r="B5" s="8" t="inlineStr">
        <is>
          <t>하늘의 왕 바하무트</t>
        </is>
      </c>
      <c r="C5" s="8" t="inlineStr">
        <is>
          <t>👑</t>
        </is>
      </c>
      <c r="D5" s="8" t="n">
        <v>800000</v>
      </c>
      <c r="E5" s="8" t="n">
        <v>1200</v>
      </c>
      <c r="F5" s="8" t="n">
        <v>500</v>
      </c>
      <c r="G5" s="8" t="inlineStr">
        <is>
          <t>메가 플레어(카운트다운 전체), 차원 이동(페이즈), 브레스 반사</t>
        </is>
      </c>
      <c r="H5" s="8" t="inlineStr">
        <is>
          <t>100,000G + 차원석40</t>
        </is>
      </c>
      <c r="I5" s="8" t="inlineStr">
        <is>
          <t>5마리 이상</t>
        </is>
      </c>
      <c r="J5" s="8" t="inlineStr">
        <is>
          <t>바하무트의 날개</t>
        </is>
      </c>
      <c r="K5" s="8" t="inlineStr">
        <is>
          <t>SPD+10, ATK+50, 전체데미지+15%</t>
        </is>
      </c>
    </row>
    <row r="6">
      <c r="A6" s="7" t="inlineStr">
        <is>
          <t>void_dragon</t>
        </is>
      </c>
      <c r="B6" s="7" t="inlineStr">
        <is>
          <t>차원포식자 니드호그</t>
        </is>
      </c>
      <c r="C6" s="7" t="inlineStr">
        <is>
          <t>🕳️</t>
        </is>
      </c>
      <c r="D6" s="7" t="n">
        <v>1000000</v>
      </c>
      <c r="E6" s="7" t="n">
        <v>1500</v>
      </c>
      <c r="F6" s="7" t="n">
        <v>400</v>
      </c>
      <c r="G6" s="7" t="inlineStr">
        <is>
          <t>차원 붕괴(맵축소), 존재 삭제(HP비율), 공허 폭발(패턴회피)</t>
        </is>
      </c>
      <c r="H6" s="7" t="inlineStr">
        <is>
          <t>200,000G + 차원석80</t>
        </is>
      </c>
      <c r="I6" s="7" t="inlineStr">
        <is>
          <t>7종 전원</t>
        </is>
      </c>
      <c r="J6" s="7" t="inlineStr">
        <is>
          <t>니드호그의 이빨</t>
        </is>
      </c>
      <c r="K6" s="7" t="inlineStr">
        <is>
          <t>ATK+100, 크리티컬 데미지+30%</t>
        </is>
      </c>
    </row>
  </sheetData>
  <mergeCells count="1">
    <mergeCell ref="A1:K1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52" customWidth="1" min="3" max="3"/>
    <col width="30" customWidth="1" min="4" max="4"/>
  </cols>
  <sheetData>
    <row r="1">
      <c r="A1" s="5" t="inlineStr">
        <is>
          <t>v2.37 ~ v2.57 패치노트 &amp; 버그 수정</t>
        </is>
      </c>
    </row>
    <row r="3">
      <c r="A3" s="6" t="inlineStr">
        <is>
          <t>버전</t>
        </is>
      </c>
      <c r="B3" s="6" t="inlineStr">
        <is>
          <t>제목</t>
        </is>
      </c>
      <c r="C3" s="6" t="inlineStr">
        <is>
          <t>주요 변경사항</t>
        </is>
      </c>
      <c r="D3" s="6" t="inlineStr">
        <is>
          <t>영향 범위</t>
        </is>
      </c>
    </row>
    <row r="4">
      <c r="A4" s="7" t="inlineStr">
        <is>
          <t>v2.37</t>
        </is>
      </c>
      <c r="B4" s="7" t="inlineStr">
        <is>
          <t>마법 연구소</t>
        </is>
      </c>
      <c r="C4" s="7" t="inlineStr">
        <is>
          <t>마법 연구 20종, 스킬 합성 4종, 마법서 시스템</t>
        </is>
      </c>
      <c r="D4" s="7" t="inlineStr">
        <is>
          <t>game/magic_lab.js</t>
        </is>
      </c>
    </row>
    <row r="5">
      <c r="A5" s="8" t="inlineStr">
        <is>
          <t>v2.38~v2.56</t>
        </is>
      </c>
      <c r="B5" s="8" t="inlineStr">
        <is>
          <t>19개 판타지 시스템</t>
        </is>
      </c>
      <c r="C5" s="8" t="inlineStr">
        <is>
          <t>달빛 성역, 무기 영혼, 부유 요새, 영체 이탈, 저주 던전, 운명의 결투, 영혼 대장간, 환영 투기장, 꿈의 건축가, 별자리 전쟁, 금서의 도서관, 거수 합체, 상인 캐러밴, 기억 궁전, 마왕의 옥좌, 천상 대장간, 살아있는 마도서, 세계의 씨앗, 운명의 직공</t>
        </is>
      </c>
      <c r="D5" s="8" t="inlineStr">
        <is>
          <t>game/*.js + handlers/</t>
        </is>
      </c>
    </row>
    <row r="6">
      <c r="A6" s="7" t="inlineStr">
        <is>
          <t>v2.57</t>
        </is>
      </c>
      <c r="B6" s="7" t="inlineStr">
        <is>
          <t>드래곤 라이딩</t>
        </is>
      </c>
      <c r="C6" s="7" t="inlineStr">
        <is>
          <t>8종 드래곤 (화/빙/뇌/암/광/지/공/혼), 6단계 성장, 비행 전투, 브레스/스킬, 레이드 보스 3종</t>
        </is>
      </c>
      <c r="D6" s="7" t="inlineStr">
        <is>
          <t>game/dragon_riding.js + handlers/</t>
        </is>
      </c>
    </row>
    <row r="7">
      <c r="A7" s="8" t="inlineStr">
        <is>
          <t>v2.57</t>
        </is>
      </c>
      <c r="B7" s="8" t="inlineStr">
        <is>
          <t>UI 판타지 테마</t>
        </is>
      </c>
      <c r="C7" s="8" t="inlineStr">
        <is>
          <t>Cinzel 판타지 폰트, 마법진 로딩 애니메이션, 아케인 글로우, 파티클 이펙트</t>
        </is>
      </c>
      <c r="D7" s="8" t="inlineStr">
        <is>
          <t>public/css/style.css + index.html</t>
        </is>
      </c>
    </row>
    <row r="8">
      <c r="A8" s="7" t="inlineStr">
        <is>
          <t>v2.57</t>
        </is>
      </c>
      <c r="B8" s="7" t="inlineStr">
        <is>
          <t>보너스 집계 연동</t>
        </is>
      </c>
      <c r="C8" s="7" t="inlineStr">
        <is>
          <t>드래곤 탑승 패시브 → bonus_aggregator 연동, 성장 단계 비례</t>
        </is>
      </c>
      <c r="D8" s="7" t="inlineStr">
        <is>
          <t>game/bonus_aggregator.js</t>
        </is>
      </c>
    </row>
    <row r="9">
      <c r="A9" s="8" t="inlineStr">
        <is>
          <t>v2.57</t>
        </is>
      </c>
      <c r="B9" s="8" t="inlineStr">
        <is>
          <t>NPC 대화 확장</t>
        </is>
      </c>
      <c r="C9" s="8" t="inlineStr">
        <is>
          <t>드래곤 탑승 시 NPC 반응 대사, 7종 마스터 특별 대사</t>
        </is>
      </c>
      <c r="D9" s="8" t="inlineStr">
        <is>
          <t>game/world.js</t>
        </is>
      </c>
    </row>
    <row r="10">
      <c r="A10" s="7" t="inlineStr"/>
      <c r="B10" s="7" t="inlineStr"/>
      <c r="C10" s="7" t="inlineStr"/>
      <c r="D10" s="7" t="inlineStr"/>
    </row>
    <row r="11">
      <c r="A11" s="8">
        <f>== 서버 안정화 (버그 수정) ===</f>
        <v/>
      </c>
      <c r="B11" s="8" t="inlineStr"/>
      <c r="C11" s="8" t="inlineStr"/>
      <c r="D11" s="8" t="inlineStr"/>
    </row>
    <row r="12">
      <c r="A12" s="7" t="inlineStr">
        <is>
          <t>v2.57-fix</t>
        </is>
      </c>
      <c r="B12" s="7" t="inlineStr">
        <is>
          <t>playerId 미정의</t>
        </is>
      </c>
      <c r="C12" s="7" t="inlineStr">
        <is>
          <t>sub-connection 핸들러에 playerId 주입 ($ctx)</t>
        </is>
      </c>
      <c r="D12" s="7" t="inlineStr">
        <is>
          <t>game/handlers/connection.js</t>
        </is>
      </c>
    </row>
    <row r="13">
      <c r="A13" s="8" t="inlineStr">
        <is>
          <t>v2.57-fix</t>
        </is>
      </c>
      <c r="B13" s="8" t="inlineStr">
        <is>
          <t>io 미정의</t>
        </is>
      </c>
      <c r="C13" s="8" t="inlineStr">
        <is>
          <t>$ctx에 io 주입 (채팅/broadcast 복구)</t>
        </is>
      </c>
      <c r="D13" s="8" t="inlineStr">
        <is>
          <t>game/handlers/connection.js</t>
        </is>
      </c>
    </row>
    <row r="14">
      <c r="A14" s="7" t="inlineStr">
        <is>
          <t>v2.57-fix</t>
        </is>
      </c>
      <c r="B14" s="7" t="inlineStr">
        <is>
          <t>TERRAIN_BARRIERS 미정의</t>
        </is>
      </c>
      <c r="C14" s="7" t="inlineStr">
        <is>
          <t>core_connection destructure에 추가</t>
        </is>
      </c>
      <c r="D14" s="7" t="inlineStr">
        <is>
          <t>game/handlers/core_connection.js</t>
        </is>
      </c>
    </row>
    <row r="15">
      <c r="A15" s="8" t="inlineStr">
        <is>
          <t>v2.57-fix</t>
        </is>
      </c>
      <c r="B15" s="8" t="inlineStr">
        <is>
          <t>registerLotteryHandlers 크래시</t>
        </is>
      </c>
      <c r="C15" s="8" t="inlineStr">
        <is>
          <t>inventory_connection.js 중복 핸들러 207줄 제거</t>
        </is>
      </c>
      <c r="D15" s="8" t="inlineStr">
        <is>
          <t>game/handlers/inventory_connection.js</t>
        </is>
      </c>
    </row>
    <row r="16">
      <c r="A16" s="7" t="inlineStr">
        <is>
          <t>v2.57-fix</t>
        </is>
      </c>
      <c r="B16" s="7" t="inlineStr">
        <is>
          <t>giveExp(owner) 버그</t>
        </is>
      </c>
      <c r="C16" s="7" t="inlineStr">
        <is>
          <t>봇 킬 시 경험치가 봇에게 → realOwner로 수정</t>
        </is>
      </c>
      <c r="D16" s="7" t="inlineStr">
        <is>
          <t>game/loops.js</t>
        </is>
      </c>
    </row>
    <row r="17">
      <c r="A17" s="8" t="inlineStr">
        <is>
          <t>v2.57-fix</t>
        </is>
      </c>
      <c r="B17" s="8" t="inlineStr">
        <is>
          <t>entityIdCounter undefined</t>
        </is>
      </c>
      <c r="C17" s="8" t="inlineStr">
        <is>
          <t>$.nextEntityId() 함수 사용으로 교체 (6곳)</t>
        </is>
      </c>
      <c r="D17" s="8" t="inlineStr">
        <is>
          <t>game/loops.js + handlers/</t>
        </is>
      </c>
    </row>
    <row r="18">
      <c r="A18" s="7" t="inlineStr">
        <is>
          <t>v2.57-fix</t>
        </is>
      </c>
      <c r="B18" s="7" t="inlineStr">
        <is>
          <t>worldBoss const 재할당</t>
        </is>
      </c>
      <c r="C18" s="7" t="inlineStr">
        <is>
          <t>$.setWorldBoss(null)로 변경</t>
        </is>
      </c>
      <c r="D18" s="7" t="inlineStr">
        <is>
          <t>game/loops.js</t>
        </is>
      </c>
    </row>
    <row r="19">
      <c r="A19" s="8" t="inlineStr">
        <is>
          <t>v2.57-fix</t>
        </is>
      </c>
      <c r="B19" s="8" t="inlineStr">
        <is>
          <t>투사체 이동 누락</t>
        </is>
      </c>
      <c r="C19" s="8" t="inlineStr">
        <is>
          <t>handleCollisions에 서버 측 투사체 위치 업데이트 추가</t>
        </is>
      </c>
      <c r="D19" s="8" t="inlineStr">
        <is>
          <t>game/loops.js</t>
        </is>
      </c>
    </row>
    <row r="20">
      <c r="A20" s="7" t="inlineStr">
        <is>
          <t>v2.57-fix</t>
        </is>
      </c>
      <c r="B20" s="7" t="inlineStr">
        <is>
          <t>monsterDelta null → Unity 크래시</t>
        </is>
      </c>
      <c r="C20" s="7" t="inlineStr">
        <is>
          <t>삭제 몬스터를 removedMonsters[] 배열로 분리</t>
        </is>
      </c>
      <c r="D20" s="7" t="inlineStr">
        <is>
          <t>game/loops.js</t>
        </is>
      </c>
    </row>
    <row r="21">
      <c r="A21" s="8" t="inlineStr">
        <is>
          <t>v2.57-fix</t>
        </is>
      </c>
      <c r="B21" s="8" t="inlineStr">
        <is>
          <t>minimap null 에러</t>
        </is>
      </c>
      <c r="C21" s="8" t="inlineStr">
        <is>
          <t>null 몬스터 건너뛰기 + delta merge 방식 변경</t>
        </is>
      </c>
      <c r="D21" s="8" t="inlineStr">
        <is>
          <t>public/js/minimap.js</t>
        </is>
      </c>
    </row>
    <row r="22">
      <c r="A22" s="7" t="inlineStr">
        <is>
          <t>v2.57-fix</t>
        </is>
      </c>
      <c r="B22" s="7" t="inlineStr">
        <is>
          <t>서브메뉴 JS 코드 노출</t>
        </is>
      </c>
      <c r="C22" s="7" t="inlineStr">
        <is>
          <t>innerHTML+onclick → createElement+addEventListener</t>
        </is>
      </c>
      <c r="D22" s="7" t="inlineStr">
        <is>
          <t>public/js/effects.js</t>
        </is>
      </c>
    </row>
    <row r="23">
      <c r="A23" s="8" t="inlineStr">
        <is>
          <t>v2.57-fix</t>
        </is>
      </c>
      <c r="B23" s="8" t="inlineStr">
        <is>
          <t>한글 폰트 깨짐</t>
        </is>
      </c>
      <c r="C23" s="8" t="inlineStr">
        <is>
          <t>Cinzel 한글 fallback Noto Sans KR 추가</t>
        </is>
      </c>
      <c r="D23" s="8" t="inlineStr">
        <is>
          <t>public/css/style.css + index.html</t>
        </is>
      </c>
    </row>
    <row r="24">
      <c r="A24" s="7" t="inlineStr">
        <is>
          <t>v2.57-fix</t>
        </is>
      </c>
      <c r="B24" s="7" t="inlineStr">
        <is>
          <t>savePlayer/getExpRequired 미정의</t>
        </is>
      </c>
      <c r="C24" s="7" t="inlineStr">
        <is>
          <t>handleCollisions에 $.savePlayer, $.getExpRequired 추가</t>
        </is>
      </c>
      <c r="D24" s="7" t="inlineStr">
        <is>
          <t>game/loops.js</t>
        </is>
      </c>
    </row>
    <row r="25">
      <c r="A25" s="8" t="inlineStr"/>
      <c r="B25" s="8" t="inlineStr"/>
      <c r="C25" s="8" t="inlineStr"/>
      <c r="D25" s="8" t="inlineStr"/>
    </row>
    <row r="26">
      <c r="A26" s="7">
        <f>== 디버그 시스템 ===</f>
        <v/>
      </c>
      <c r="B26" s="7" t="inlineStr"/>
      <c r="C26" s="7" t="inlineStr"/>
      <c r="D26" s="7" t="inlineStr"/>
    </row>
    <row r="27">
      <c r="A27" s="8" t="inlineStr">
        <is>
          <t>v2.57</t>
        </is>
      </c>
      <c r="B27" s="8" t="inlineStr">
        <is>
          <t>서버 로그 링 버퍼</t>
        </is>
      </c>
      <c r="C27" s="8" t="inlineStr">
        <is>
          <t>console.log/error/warn 200줄 캡처, GET /debug/logs</t>
        </is>
      </c>
      <c r="D27" s="8" t="inlineStr">
        <is>
          <t>server.js</t>
        </is>
      </c>
    </row>
    <row r="28">
      <c r="A28" s="7" t="inlineStr">
        <is>
          <t>v2.57</t>
        </is>
      </c>
      <c r="B28" s="7" t="inlineStr">
        <is>
          <t>클라이언트 에러 수집</t>
        </is>
      </c>
      <c r="C28" s="7" t="inlineStr">
        <is>
          <t>window.onerror → POST /debug/client-error → 오버레이</t>
        </is>
      </c>
      <c r="D28" s="7" t="inlineStr">
        <is>
          <t>public/index.html + server.js</t>
        </is>
      </c>
    </row>
    <row r="29">
      <c r="A29" s="8" t="inlineStr">
        <is>
          <t>v2.57</t>
        </is>
      </c>
      <c r="B29" s="8" t="inlineStr">
        <is>
          <t>크래시 핸들러</t>
        </is>
      </c>
      <c r="C29" s="8" t="inlineStr">
        <is>
          <t>unhandledRejection + uncaughtException 로깅</t>
        </is>
      </c>
      <c r="D29" s="8" t="inlineStr">
        <is>
          <t>server.js</t>
        </is>
      </c>
    </row>
  </sheetData>
  <mergeCells count="1">
    <mergeCell ref="A1:D1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6" customWidth="1" min="3" max="3"/>
    <col width="28" customWidth="1" min="4" max="4"/>
    <col width="20" customWidth="1" min="5" max="5"/>
  </cols>
  <sheetData>
    <row r="1">
      <c r="A1" s="5" t="inlineStr">
        <is>
          <t>시스템 간 시너지 맵</t>
        </is>
      </c>
    </row>
    <row r="3">
      <c r="A3" s="6" t="inlineStr">
        <is>
          <t>시스템 A</t>
        </is>
      </c>
      <c r="B3" s="6" t="inlineStr">
        <is>
          <t>시스템 B</t>
        </is>
      </c>
      <c r="C3" s="6" t="inlineStr">
        <is>
          <t>시너지 내용</t>
        </is>
      </c>
      <c r="D3" s="6" t="inlineStr">
        <is>
          <t>효과</t>
        </is>
      </c>
      <c r="E3" s="6" t="inlineStr">
        <is>
          <t>구현 파일</t>
        </is>
      </c>
    </row>
    <row r="4">
      <c r="A4" s="7" t="inlineStr">
        <is>
          <t>드래곤 라이딩</t>
        </is>
      </c>
      <c r="B4" s="7" t="inlineStr">
        <is>
          <t>보너스 집계</t>
        </is>
      </c>
      <c r="C4" s="7" t="inlineStr">
        <is>
          <t>드래곤 탑승 시 패시브 → 보너스 집계에 표시</t>
        </is>
      </c>
      <c r="D4" s="7" t="inlineStr">
        <is>
          <t>속성 데미지, 회피, 흡혈 등</t>
        </is>
      </c>
      <c r="E4" s="7" t="inlineStr">
        <is>
          <t>bonus_aggregator.js</t>
        </is>
      </c>
    </row>
    <row r="5">
      <c r="A5" s="8" t="inlineStr">
        <is>
          <t>드래곤 라이딩</t>
        </is>
      </c>
      <c r="B5" s="8" t="inlineStr">
        <is>
          <t>NPC 대화</t>
        </is>
      </c>
      <c r="C5" s="8" t="inlineStr">
        <is>
          <t>드래곤 탑승 시 NPC 특수 대사</t>
        </is>
      </c>
      <c r="D5" s="8" t="inlineStr">
        <is>
          <t>대장장이/힐러/상점 반응</t>
        </is>
      </c>
      <c r="E5" s="8" t="inlineStr">
        <is>
          <t>world.js</t>
        </is>
      </c>
    </row>
    <row r="6">
      <c r="A6" s="7" t="inlineStr">
        <is>
          <t>혈통</t>
        </is>
      </c>
      <c r="B6" s="7" t="inlineStr">
        <is>
          <t>PvP</t>
        </is>
      </c>
      <c r="C6" s="7" t="inlineStr">
        <is>
          <t>혈통 상성: 용&gt;정령&gt;천사&gt;악마&gt;용</t>
        </is>
      </c>
      <c r="D6" s="7" t="inlineStr">
        <is>
          <t>상성 유리 시 데미지 +20%</t>
        </is>
      </c>
      <c r="E6" s="7" t="inlineStr">
        <is>
          <t>bloodline.js</t>
        </is>
      </c>
    </row>
    <row r="7">
      <c r="A7" s="8" t="inlineStr">
        <is>
          <t>별자리</t>
        </is>
      </c>
      <c r="B7" s="8" t="inlineStr">
        <is>
          <t>계절</t>
        </is>
      </c>
      <c r="C7" s="8" t="inlineStr">
        <is>
          <t>현재 계절 별자리 = 전투력 1.5배</t>
        </is>
      </c>
      <c r="D7" s="8" t="inlineStr">
        <is>
          <t>봄(양/처녀), 여름(사자/전갈) 등</t>
        </is>
      </c>
      <c r="E7" s="8" t="inlineStr">
        <is>
          <t>constellation.js</t>
        </is>
      </c>
    </row>
    <row r="8">
      <c r="A8" s="7" t="inlineStr">
        <is>
          <t>무기 영혼</t>
        </is>
      </c>
      <c r="B8" s="7" t="inlineStr">
        <is>
          <t>몬스터 처치</t>
        </is>
      </c>
      <c r="C8" s="7" t="inlineStr">
        <is>
          <t>영혼 각인 시 해당 몬스터 스킬 획득</t>
        </is>
      </c>
      <c r="D8" s="7" t="inlineStr">
        <is>
          <t>키메라 무기(2영혼 합성)</t>
        </is>
      </c>
      <c r="E8" s="7" t="inlineStr">
        <is>
          <t>weapon_soul.js</t>
        </is>
      </c>
    </row>
    <row r="9">
      <c r="A9" s="8" t="inlineStr">
        <is>
          <t>저주 던전</t>
        </is>
      </c>
      <c r="B9" s="8" t="inlineStr">
        <is>
          <t>저주 장비</t>
        </is>
      </c>
      <c r="C9" s="8" t="inlineStr">
        <is>
          <t>던전 저주+장비 저주 시너지</t>
        </is>
      </c>
      <c r="D9" s="8" t="inlineStr">
        <is>
          <t>예: 유리몸+피의저주 = 광전사</t>
        </is>
      </c>
      <c r="E9" s="8" t="inlineStr">
        <is>
          <t>cursed_dungeon.js</t>
        </is>
      </c>
    </row>
    <row r="10">
      <c r="A10" s="7" t="inlineStr">
        <is>
          <t>살아있는 마도서</t>
        </is>
      </c>
      <c r="B10" s="7" t="inlineStr">
        <is>
          <t>금서 도서관</t>
        </is>
      </c>
      <c r="C10" s="7" t="inlineStr">
        <is>
          <t>마도서 숙련도 → 금서 시전 대가 감소</t>
        </is>
      </c>
      <c r="D10" s="7" t="inlineStr">
        <is>
          <t>최대 30% 대가 감소</t>
        </is>
      </c>
      <c r="E10" s="7" t="inlineStr">
        <is>
          <t>living_grimoire.js</t>
        </is>
      </c>
    </row>
    <row r="11">
      <c r="A11" s="8" t="inlineStr">
        <is>
          <t>꿈의 건축가</t>
        </is>
      </c>
      <c r="B11" s="8" t="inlineStr">
        <is>
          <t>기억 궁전</t>
        </is>
      </c>
      <c r="C11" s="8" t="inlineStr">
        <is>
          <t>자신의 기억을 던전으로 재현</t>
        </is>
      </c>
      <c r="D11" s="8" t="inlineStr">
        <is>
          <t>악몽 난이도 보상 2.5배</t>
        </is>
      </c>
      <c r="E11" s="8" t="inlineStr">
        <is>
          <t>dream_architect.js</t>
        </is>
      </c>
    </row>
    <row r="12">
      <c r="A12" s="7" t="inlineStr">
        <is>
          <t>영혼 계약</t>
        </is>
      </c>
      <c r="B12" s="7" t="inlineStr">
        <is>
          <t>보스 소환</t>
        </is>
      </c>
      <c r="C12" s="7" t="inlineStr">
        <is>
          <t>보스 영혼 파편 → 계약 → 소환수</t>
        </is>
      </c>
      <c r="D12" s="7" t="inlineStr">
        <is>
          <t>소환수 레벨업 가능</t>
        </is>
      </c>
      <c r="E12" s="7" t="inlineStr">
        <is>
          <t>soul_contract.js</t>
        </is>
      </c>
    </row>
    <row r="13">
      <c r="A13" s="8" t="inlineStr">
        <is>
          <t>고대 언어</t>
        </is>
      </c>
      <c r="B13" s="8" t="inlineStr">
        <is>
          <t>마법 연구소</t>
        </is>
      </c>
      <c r="C13" s="8" t="inlineStr">
        <is>
          <t>6문자 조합 커스텀 마법</t>
        </is>
      </c>
      <c r="D13" s="8" t="inlineStr">
        <is>
          <t>4문자 궁극 주문 "창세의 빛"</t>
        </is>
      </c>
      <c r="E13" s="8" t="inlineStr">
        <is>
          <t>ancient_language.js</t>
        </is>
      </c>
    </row>
    <row r="14">
      <c r="A14" s="7" t="inlineStr">
        <is>
          <t>운명의 직공</t>
        </is>
      </c>
      <c r="B14" s="7" t="inlineStr">
        <is>
          <t>PvP</t>
        </is>
      </c>
      <c r="C14" s="7" t="inlineStr">
        <is>
          <t>저주 실 사용 시 카르마 감소</t>
        </is>
      </c>
      <c r="D14" s="7" t="inlineStr">
        <is>
          <t>반작용: 시전자에게도 디버프</t>
        </is>
      </c>
      <c r="E14" s="7" t="inlineStr">
        <is>
          <t>fate_weaver.js</t>
        </is>
      </c>
    </row>
    <row r="15">
      <c r="A15" s="8" t="inlineStr">
        <is>
          <t>환생</t>
        </is>
      </c>
      <c r="B15" s="8" t="inlineStr">
        <is>
          <t>기억 궁전</t>
        </is>
      </c>
      <c r="C15" s="8" t="inlineStr">
        <is>
          <t>전생 기억 → 던전화</t>
        </is>
      </c>
      <c r="D15" s="8" t="inlineStr">
        <is>
          <t>같은 클래스 환생 시 기억 중첩 (최대 x2.5)</t>
        </is>
      </c>
      <c r="E15" s="8" t="inlineStr">
        <is>
          <t>past_life.js</t>
        </is>
      </c>
    </row>
  </sheetData>
  <mergeCells count="1">
    <mergeCell ref="A1:E1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28" customWidth="1" min="4" max="4"/>
  </cols>
  <sheetData>
    <row r="1">
      <c r="A1" s="5" t="inlineStr">
        <is>
          <t>기술 아키텍처</t>
        </is>
      </c>
    </row>
    <row r="3">
      <c r="A3" s="6" t="inlineStr">
        <is>
          <t>구분</t>
        </is>
      </c>
      <c r="B3" s="6" t="inlineStr">
        <is>
          <t>항목</t>
        </is>
      </c>
      <c r="C3" s="6" t="inlineStr">
        <is>
          <t>설명</t>
        </is>
      </c>
      <c r="D3" s="6" t="inlineStr">
        <is>
          <t>파일 경로</t>
        </is>
      </c>
    </row>
    <row r="4">
      <c r="A4" s="7" t="inlineStr">
        <is>
          <t>서버</t>
        </is>
      </c>
      <c r="B4" s="7" t="inlineStr">
        <is>
          <t>Node.js + Express</t>
        </is>
      </c>
      <c r="C4" s="7" t="inlineStr">
        <is>
          <t>게임 서버 + 정적 파일 서빙</t>
        </is>
      </c>
      <c r="D4" s="7" t="inlineStr">
        <is>
          <t>server.js</t>
        </is>
      </c>
    </row>
    <row r="5">
      <c r="A5" s="8" t="inlineStr">
        <is>
          <t>서버</t>
        </is>
      </c>
      <c r="B5" s="8" t="inlineStr">
        <is>
          <t>Socket.IO</t>
        </is>
      </c>
      <c r="C5" s="8" t="inlineStr">
        <is>
          <t>실시간 양방향 통신</t>
        </is>
      </c>
      <c r="D5" s="8" t="inlineStr">
        <is>
          <t>server.js + handlers/</t>
        </is>
      </c>
    </row>
    <row r="6">
      <c r="A6" s="7" t="inlineStr">
        <is>
          <t>서버</t>
        </is>
      </c>
      <c r="B6" s="7" t="inlineStr">
        <is>
          <t>MySQL (Railway)</t>
        </is>
      </c>
      <c r="C6" s="7" t="inlineStr">
        <is>
          <t>플레이어 저장, 우편함</t>
        </is>
      </c>
      <c r="D6" s="7" t="inlineStr">
        <is>
          <t>server/db.js</t>
        </is>
      </c>
    </row>
    <row r="7">
      <c r="A7" s="8" t="inlineStr">
        <is>
          <t>서버</t>
        </is>
      </c>
      <c r="B7" s="8" t="inlineStr">
        <is>
          <t>게임 루프</t>
        </is>
      </c>
      <c r="C7" s="8" t="inlineStr">
        <is>
          <t>33ms 틱 (30fps): 이동/충돌/AI/스킬</t>
        </is>
      </c>
      <c r="D7" s="8" t="inlineStr">
        <is>
          <t>game/loops.js</t>
        </is>
      </c>
    </row>
    <row r="8">
      <c r="A8" s="7" t="inlineStr">
        <is>
          <t>서버</t>
        </is>
      </c>
      <c r="B8" s="7" t="inlineStr">
        <is>
          <t>핸들러 구조</t>
        </is>
      </c>
      <c r="C8" s="7" t="inlineStr">
        <is>
          <t>connection.js → 6개 sub-connection + 100+ 모듈 핸들러</t>
        </is>
      </c>
      <c r="D8" s="7" t="inlineStr">
        <is>
          <t>game/handlers/</t>
        </is>
      </c>
    </row>
    <row r="9">
      <c r="A9" s="8" t="inlineStr">
        <is>
          <t>서버</t>
        </is>
      </c>
      <c r="B9" s="8" t="inlineStr">
        <is>
          <t>디버그</t>
        </is>
      </c>
      <c r="C9" s="8" t="inlineStr">
        <is>
          <t>GET /debug/logs, /debug/client-errors, /status</t>
        </is>
      </c>
      <c r="D9" s="8" t="inlineStr">
        <is>
          <t>server.js</t>
        </is>
      </c>
    </row>
    <row r="10">
      <c r="A10" s="7" t="inlineStr"/>
      <c r="B10" s="7" t="inlineStr"/>
      <c r="C10" s="7" t="inlineStr"/>
      <c r="D10" s="7" t="inlineStr"/>
    </row>
    <row r="11">
      <c r="A11" s="8" t="inlineStr">
        <is>
          <t>클라이언트</t>
        </is>
      </c>
      <c r="B11" s="8" t="inlineStr">
        <is>
          <t>Unity WebGL</t>
        </is>
      </c>
      <c r="C11" s="8" t="inlineStr">
        <is>
          <t>3D 렌더링, 캐릭터/몬스터 표시</t>
        </is>
      </c>
      <c r="D11" s="8" t="inlineStr">
        <is>
          <t>Assets/Script/GameManager.cs</t>
        </is>
      </c>
    </row>
    <row r="12">
      <c r="A12" s="7" t="inlineStr">
        <is>
          <t>클라이언트</t>
        </is>
      </c>
      <c r="B12" s="7" t="inlineStr">
        <is>
          <t>HTML UI</t>
        </is>
      </c>
      <c r="C12" s="7" t="inlineStr">
        <is>
          <t>메뉴, 인벤토리, 상점, 채팅, 미니맵</t>
        </is>
      </c>
      <c r="D12" s="7" t="inlineStr">
        <is>
          <t>public/index.html + js/</t>
        </is>
      </c>
    </row>
    <row r="13">
      <c r="A13" s="8" t="inlineStr">
        <is>
          <t>클라이언트</t>
        </is>
      </c>
      <c r="B13" s="8" t="inlineStr">
        <is>
          <t>CSS</t>
        </is>
      </c>
      <c r="C13" s="8" t="inlineStr">
        <is>
          <t>다크 판타지 테마 (Cinzel + Noto Sans KR)</t>
        </is>
      </c>
      <c r="D13" s="8" t="inlineStr">
        <is>
          <t>public/css/style.css</t>
        </is>
      </c>
    </row>
    <row r="14">
      <c r="A14" s="7" t="inlineStr"/>
      <c r="B14" s="7" t="inlineStr"/>
      <c r="C14" s="7" t="inlineStr"/>
      <c r="D14" s="7" t="inlineStr"/>
    </row>
    <row r="15">
      <c r="A15" s="8" t="inlineStr">
        <is>
          <t>배포</t>
        </is>
      </c>
      <c r="B15" s="8" t="inlineStr">
        <is>
          <t>Railway</t>
        </is>
      </c>
      <c r="C15" s="8" t="inlineStr">
        <is>
          <t>자동 배포 (git push → build → deploy)</t>
        </is>
      </c>
      <c r="D15" s="8" t="inlineStr">
        <is>
          <t>package.json</t>
        </is>
      </c>
    </row>
    <row r="16">
      <c r="A16" s="7" t="inlineStr">
        <is>
          <t>배포</t>
        </is>
      </c>
      <c r="B16" s="7" t="inlineStr">
        <is>
          <t>MySQL</t>
        </is>
      </c>
      <c r="C16" s="7" t="inlineStr">
        <is>
          <t>Railway MySQL 플러그인 (${{MySQL.MYSQL_URL}})</t>
        </is>
      </c>
      <c r="D16" s="7" t="inlineStr">
        <is>
          <t>환경변수</t>
        </is>
      </c>
    </row>
    <row r="17">
      <c r="A17" s="8" t="inlineStr">
        <is>
          <t>배포</t>
        </is>
      </c>
      <c r="B17" s="8" t="inlineStr">
        <is>
          <t>도메인</t>
        </is>
      </c>
      <c r="C17" s="8" t="inlineStr">
        <is>
          <t>baduk-marble-production.up.railway.app</t>
        </is>
      </c>
      <c r="D17" s="8" t="inlineStr">
        <is>
          <t>Railway 설정</t>
        </is>
      </c>
    </row>
    <row r="18">
      <c r="A18" s="7" t="inlineStr"/>
      <c r="B18" s="7" t="inlineStr"/>
      <c r="C18" s="7" t="inlineStr"/>
      <c r="D18" s="7" t="inlineStr"/>
    </row>
    <row r="19">
      <c r="A19" s="8" t="inlineStr">
        <is>
          <t>모듈 수</t>
        </is>
      </c>
      <c r="B19" s="8" t="inlineStr">
        <is>
          <t>게임 모듈</t>
        </is>
      </c>
      <c r="C19" s="8" t="inlineStr">
        <is>
          <t>140+ .js 파일</t>
        </is>
      </c>
      <c r="D19" s="8" t="inlineStr">
        <is>
          <t>game/</t>
        </is>
      </c>
    </row>
    <row r="20">
      <c r="A20" s="7" t="inlineStr">
        <is>
          <t>모듈 수</t>
        </is>
      </c>
      <c r="B20" s="7" t="inlineStr">
        <is>
          <t>소켓 핸들러</t>
        </is>
      </c>
      <c r="C20" s="7" t="inlineStr">
        <is>
          <t>118+ handler 파일</t>
        </is>
      </c>
      <c r="D20" s="7" t="inlineStr">
        <is>
          <t>game/handlers/</t>
        </is>
      </c>
    </row>
    <row r="21">
      <c r="A21" s="8" t="inlineStr">
        <is>
          <t>모듈 수</t>
        </is>
      </c>
      <c r="B21" s="8" t="inlineStr">
        <is>
          <t>데이터 모듈</t>
        </is>
      </c>
      <c r="C21" s="8" t="inlineStr">
        <is>
          <t>6개 (zones, equipment, quests, economy, world_data, server_data)</t>
        </is>
      </c>
      <c r="D21" s="8" t="inlineStr">
        <is>
          <t>game/data/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2026-04-10T16:05:29Z</dcterms:created>
  <dcterms:modified xsi:type="dcterms:W3CDTF">2026-04-10T16:05:30Z</dcterms:modified>
</cp:coreProperties>
</file>